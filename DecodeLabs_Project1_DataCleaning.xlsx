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xr:revisionPtr revIDLastSave="0" documentId="13_ncr:1000001_{173D4968-48C7-274F-A790-5EB34DEF790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aw Data" sheetId="1" r:id="rId1"/>
    <sheet name="Cleaned Data" sheetId="2" r:id="rId2"/>
    <sheet name="QA Validation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3" l="1"/>
  <c r="C41" i="3"/>
  <c r="B40" i="3"/>
  <c r="C40" i="3"/>
  <c r="B39" i="3"/>
  <c r="C39" i="3"/>
  <c r="B38" i="3"/>
  <c r="C38" i="3"/>
  <c r="B37" i="3"/>
  <c r="C37" i="3"/>
  <c r="B36" i="3"/>
  <c r="C36" i="3"/>
  <c r="B35" i="3"/>
  <c r="C35" i="3"/>
  <c r="B34" i="3"/>
  <c r="C34" i="3"/>
  <c r="B33" i="3"/>
  <c r="C33" i="3"/>
  <c r="B32" i="3"/>
  <c r="C32" i="3"/>
  <c r="B31" i="3"/>
  <c r="C31" i="3"/>
  <c r="B30" i="3"/>
  <c r="C30" i="3"/>
  <c r="B29" i="3"/>
  <c r="C29" i="3"/>
  <c r="B28" i="3"/>
  <c r="C28" i="3"/>
  <c r="B20" i="3"/>
  <c r="B21" i="3"/>
  <c r="B22" i="3"/>
  <c r="B23" i="3"/>
  <c r="B24" i="3"/>
  <c r="B14" i="3"/>
  <c r="B15" i="3"/>
  <c r="B16" i="3"/>
  <c r="B6" i="3"/>
  <c r="B7" i="3"/>
  <c r="B8" i="3"/>
  <c r="B10" i="3"/>
  <c r="B9" i="3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A1140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A1135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A1124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A1123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A1120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A1117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A1115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A1106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A1105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A1104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A1096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A1093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A1091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A1088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A1071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A1063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<sst xmlns="http://schemas.openxmlformats.org/spreadsheetml/2006/main" count="10564" uniqueCount="4307">
  <si>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</si>
  <si>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</si>
  <si>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</si>
  <si>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</si>
  <si>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</si>
  <si>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</si>
  <si>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</si>
  <si>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</si>
  <si>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</si>
  <si>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</si>
  <si>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</si>
  <si>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</si>
  <si>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</si>
  <si>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</si>
  <si>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</si>
  <si>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</si>
  <si>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</si>
  <si>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</si>
  <si>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</si>
  <si>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</si>
  <si>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</si>
  <si>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</si>
  <si>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</si>
  <si>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</si>
  <si>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</si>
  <si>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</si>
  <si>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</si>
  <si>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</si>
  <si>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</si>
  <si>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</si>
  <si>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</si>
  <si>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</si>
  <si>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</si>
  <si>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</si>
  <si>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</si>
  <si>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</si>
  <si>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</si>
  <si>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</si>
  <si>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</si>
  <si>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</si>
  <si>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</si>
  <si>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</si>
  <si>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</si>
  <si>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</si>
  <si>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</si>
  <si>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</si>
  <si>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</si>
  <si>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</si>
  <si>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</si>
  <si>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</si>
  <si>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</si>
  <si>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</si>
  <si>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</si>
  <si>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</si>
  <si>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</si>
  <si>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</si>
  <si>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</si>
  <si>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</si>
  <si>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</si>
  <si>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</si>
  <si>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</si>
  <si>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</si>
  <si>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</si>
  <si>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</si>
  <si>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</si>
  <si>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</si>
  <si>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</si>
  <si>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</si>
  <si>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</si>
  <si>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</si>
  <si>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</si>
  <si>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</si>
  <si>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</si>
  <si>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</si>
  <si>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</si>
  <si>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</si>
  <si>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</si>
  <si>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</si>
  <si>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</si>
  <si>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</si>
  <si>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</si>
  <si>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</si>
  <si>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</si>
  <si>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</si>
  <si>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</si>
  <si>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</si>
  <si>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</si>
  <si>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</si>
  <si>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</si>
  <si>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</si>
  <si>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</si>
  <si>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</si>
  <si>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</si>
  <si>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</si>
  <si>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</si>
  <si>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</si>
  <si>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</si>
  <si>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</si>
  <si>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</si>
  <si>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</si>
  <si>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</si>
  <si>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</si>
  <si>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</si>
  <si>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</si>
  <si>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</si>
  <si>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</si>
  <si>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</si>
  <si>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</si>
  <si>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</si>
  <si>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</si>
  <si>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</si>
  <si>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</si>
  <si>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</si>
  <si>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</si>
  <si>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</si>
  <si>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</si>
  <si>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</si>
  <si>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</si>
  <si>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</si>
  <si>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</si>
  <si>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</si>
  <si>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</si>
  <si>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</si>
  <si>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</si>
  <si>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</si>
  <si>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</si>
  <si>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</si>
  <si>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</si>
  <si>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</si>
  <si>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</si>
  <si>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</si>
  <si>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</si>
  <si>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</si>
  <si>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</si>
  <si>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</si>
  <si>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</si>
  <si>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</si>
  <si>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</si>
  <si>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</si>
  <si>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</si>
  <si>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</si>
  <si>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</si>
  <si>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</si>
  <si>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</si>
  <si>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</si>
  <si>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</si>
  <si>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</si>
  <si>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</si>
  <si>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</si>
  <si>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</si>
  <si>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</si>
  <si>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</si>
  <si>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</si>
  <si>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</si>
  <si>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</si>
  <si>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</si>
  <si>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</si>
  <si>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</si>
  <si>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</si>
  <si>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</si>
  <si>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</si>
  <si>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</si>
  <si>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</si>
  <si>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</si>
  <si>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</si>
  <si>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</si>
  <si>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</si>
  <si>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</si>
  <si>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</si>
  <si>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</si>
  <si>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</si>
  <si>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</si>
  <si>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</si>
  <si>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</si>
  <si>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</si>
  <si>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</si>
  <si>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</si>
  <si>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</si>
  <si>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</si>
  <si>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</si>
  <si>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</si>
  <si>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</si>
  <si>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</si>
  <si>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</si>
  <si>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</si>
  <si>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</si>
  <si>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</si>
  <si>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</si>
  <si>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</si>
  <si>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</si>
  <si>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</si>
  <si>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</si>
  <si>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</si>
  <si>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</si>
  <si>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</si>
  <si>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</si>
  <si>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</si>
  <si>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</si>
  <si>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</si>
  <si>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</si>
  <si>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</si>
  <si>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</si>
  <si>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</si>
  <si>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</si>
  <si>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</si>
  <si>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</si>
  <si>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</si>
  <si>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</si>
  <si>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</si>
  <si>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</si>
  <si>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</si>
  <si>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</si>
  <si>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</si>
  <si>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</si>
  <si>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</si>
  <si>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</si>
  <si>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</si>
  <si>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</si>
  <si>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</si>
  <si>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</si>
  <si>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</si>
  <si>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</si>
  <si>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</si>
  <si>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</si>
  <si>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</si>
  <si>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</si>
  <si>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</si>
  <si>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</si>
  <si>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</si>
  <si>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</si>
  <si>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</si>
  <si>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</si>
  <si>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</si>
  <si>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</si>
  <si>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</si>
  <si>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</si>
  <si>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</si>
  <si>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</si>
  <si>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</si>
  <si>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</si>
  <si>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</si>
  <si>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</si>
  <si>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</si>
  <si>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</si>
  <si>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</si>
  <si>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</si>
  <si>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</si>
  <si>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</si>
  <si>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</si>
  <si>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</si>
  <si>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</si>
  <si>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</si>
  <si>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</si>
  <si>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</si>
  <si>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</si>
  <si>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</si>
  <si>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</si>
  <si>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</si>
  <si>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</si>
  <si>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</si>
  <si>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</si>
  <si>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</si>
  <si>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</si>
  <si>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</si>
  <si>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</si>
  <si>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</si>
  <si>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</si>
  <si>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</si>
  <si>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</si>
  <si>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</si>
  <si>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</si>
  <si>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</si>
  <si>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</si>
  <si>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</si>
  <si>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</si>
  <si>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</si>
  <si>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</si>
  <si>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</si>
  <si>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</si>
  <si>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</si>
  <si>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</si>
  <si>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</si>
  <si>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</si>
  <si>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</si>
  <si>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</si>
  <si>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</si>
  <si>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</si>
  <si>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</si>
  <si>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</si>
  <si>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</si>
  <si>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</si>
  <si>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</si>
  <si>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</si>
  <si>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</si>
  <si>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</si>
  <si>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</si>
  <si>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</si>
  <si>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</si>
  <si>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</si>
  <si>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</si>
  <si>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</si>
  <si>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</si>
  <si>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</si>
  <si>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</si>
  <si>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</si>
  <si>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</si>
  <si>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</si>
  <si>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</si>
  <si>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</si>
  <si>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</si>
  <si>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</si>
  <si>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</si>
  <si>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</si>
  <si>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</si>
  <si>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</si>
  <si>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</si>
  <si>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</si>
  <si>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</si>
  <si>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</si>
  <si>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</si>
  <si>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</si>
  <si>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</si>
  <si>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</si>
  <si>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</si>
  <si>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</si>
  <si>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</si>
  <si>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</si>
  <si>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</si>
  <si>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</si>
  <si>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</si>
  <si>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</si>
  <si>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</si>
  <si>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</si>
  <si>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</si>
  <si>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</si>
  <si>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</si>
  <si>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</si>
  <si>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</si>
  <si>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</si>
  <si>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</si>
  <si>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</si>
  <si>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</si>
  <si>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</si>
  <si>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</si>
  <si>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</si>
  <si>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</si>
  <si>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</si>
  <si>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</si>
  <si>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</si>
  <si>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</si>
  <si>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</si>
  <si>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</si>
  <si>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</si>
  <si>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</si>
  <si>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</si>
  <si>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</si>
  <si>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</si>
  <si>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</si>
  <si>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</si>
  <si>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</si>
  <si>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</si>
  <si>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</si>
  <si>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</si>
  <si>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</si>
  <si>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</si>
  <si>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</si>
  <si>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</si>
  <si>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</si>
  <si>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</si>
  <si>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</si>
  <si>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</si>
  <si>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</si>
  <si>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</si>
  <si>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</si>
  <si>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</si>
  <si>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</si>
  <si>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</si>
  <si>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</si>
  <si>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</si>
  <si>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</si>
  <si>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</si>
  <si>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</si>
  <si>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</si>
  <si>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</si>
  <si>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</si>
  <si>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</si>
  <si>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</si>
  <si>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</si>
  <si>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</si>
  <si>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</si>
  <si>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</si>
  <si>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</si>
  <si>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</si>
  <si>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</si>
  <si>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</si>
  <si>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</si>
  <si>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</si>
  <si>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</si>
  <si>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</si>
  <si>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</si>
  <si>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</si>
  <si>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</si>
  <si>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</si>
  <si>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</si>
  <si>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</si>
  <si>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</si>
  <si>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</si>
  <si>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</si>
  <si>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</si>
  <si>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</si>
  <si>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</si>
  <si>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</si>
  <si>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</si>
  <si>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</si>
  <si>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</si>
  <si>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</si>
  <si>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</si>
  <si>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</si>
  <si>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</si>
  <si>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</si>
  <si>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</si>
  <si>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</si>
  <si>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</si>
  <si>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</si>
  <si>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</si>
  <si>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</si>
  <si>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</si>
  <si>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</si>
  <si>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</si>
  <si>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</si>
  <si>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</si>
  <si>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</si>
  <si>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</si>
  <si>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</si>
  <si>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</si>
  <si>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</si>
  <si>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</si>
  <si>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</si>
  <si>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</si>
  <si>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</si>
  <si>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</si>
  <si>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</si>
  <si>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</si>
  <si>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</si>
  <si>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</si>
  <si>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</si>
  <si>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</si>
  <si>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</si>
  <si>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</si>
  <si>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</si>
  <si>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</si>
  <si>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</si>
  <si>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</si>
  <si>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</si>
  <si>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</si>
  <si>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</si>
  <si>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</si>
  <si>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</si>
  <si>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</si>
  <si>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</si>
  <si>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</si>
  <si>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</si>
  <si>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</si>
  <si>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</si>
  <si>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</si>
  <si>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</si>
  <si>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</si>
  <si>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</si>
  <si>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</si>
  <si>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</si>
  <si>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</si>
  <si>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</si>
  <si>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</si>
  <si>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</si>
  <si>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</si>
  <si>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</si>
  <si>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</si>
  <si>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</si>
  <si>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</si>
  <si>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</si>
  <si>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</si>
  <si>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</si>
  <si>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</si>
  <si>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</si>
  <si>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</si>
  <si>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</si>
  <si>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</si>
  <si>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</si>
  <si>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</si>
  <si>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</si>
  <si>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</si>
  <si>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</si>
  <si>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</si>
  <si>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</si>
  <si>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</si>
  <si>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</si>
  <si>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</si>
  <si>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</si>
  <si>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</si>
  <si>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</si>
  <si>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</si>
  <si>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</si>
  <si>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</si>
  <si>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</si>
  <si>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</si>
  <si>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</si>
  <si>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</si>
  <si>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</si>
  <si>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</si>
  <si>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</si>
  <si>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</si>
  <si>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</si>
  <si>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</si>
  <si>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</si>
  <si>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</si>
  <si>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</si>
  <si>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</si>
  <si>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</si>
  <si>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</si>
  <si>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</si>
  <si>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</si>
  <si>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</si>
  <si>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</si>
  <si>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</si>
  <si>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</si>
  <si>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</si>
  <si>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</si>
  <si>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</si>
  <si>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</si>
  <si>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</si>
  <si>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</si>
  <si>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</si>
  <si>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</si>
  <si>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</si>
  <si>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</si>
  <si>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</si>
  <si>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</si>
  <si>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</si>
  <si>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</si>
  <si>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</si>
  <si>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</si>
  <si>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</si>
  <si>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</si>
  <si>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</si>
  <si>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</si>
  <si>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</si>
  <si>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</si>
  <si>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</si>
  <si>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</si>
  <si>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</si>
  <si>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</si>
  <si>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</si>
  <si>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</si>
  <si>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</si>
  <si>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</si>
  <si>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</si>
  <si>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</si>
  <si>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</si>
  <si>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</si>
  <si>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</si>
  <si>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</si>
  <si>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</si>
  <si>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</si>
  <si>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</si>
  <si>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</si>
  <si>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</si>
  <si>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</si>
  <si>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</si>
  <si>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</si>
  <si>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</si>
  <si>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</si>
  <si>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</si>
  <si>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</si>
  <si>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</si>
  <si>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</si>
  <si>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</si>
  <si>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</si>
  <si>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</si>
  <si>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</si>
  <si>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</si>
  <si>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</si>
  <si>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</si>
  <si>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</si>
  <si>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</si>
  <si>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</si>
  <si>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</si>
  <si>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</si>
  <si>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</si>
  <si>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</si>
  <si>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</si>
  <si>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</si>
  <si>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</si>
  <si>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</si>
  <si>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</si>
  <si>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</si>
  <si>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</si>
  <si>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</si>
  <si>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</si>
  <si>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</si>
  <si>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</si>
  <si>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</si>
  <si>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</si>
  <si>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</si>
  <si>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</si>
  <si>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</si>
  <si>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</si>
  <si>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</si>
  <si>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</si>
  <si>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</si>
  <si>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</si>
  <si>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</si>
  <si>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</si>
  <si>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</si>
  <si>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</si>
  <si>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</si>
  <si>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</si>
  <si>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</si>
  <si>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</si>
  <si>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</si>
  <si>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</si>
  <si>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</si>
  <si>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</si>
  <si>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</si>
  <si>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</si>
  <si>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</si>
  <si>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</si>
  <si>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</si>
  <si>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</si>
  <si>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</si>
  <si>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</si>
  <si>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</si>
  <si>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</si>
  <si>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</si>
  <si>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</si>
  <si>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</si>
  <si>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</si>
  <si>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</si>
  <si>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</si>
  <si>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</si>
  <si>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</si>
  <si>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</si>
  <si>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</si>
  <si>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</si>
  <si>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</si>
  <si>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</si>
  <si>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</si>
  <si>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</si>
  <si>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</si>
  <si>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</si>
  <si>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</si>
  <si>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</si>
  <si>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</si>
  <si>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</si>
  <si>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</si>
  <si>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</si>
  <si>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</si>
  <si>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</si>
  <si>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</si>
  <si>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</si>
  <si>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</si>
  <si>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</si>
  <si>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</si>
  <si>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</si>
  <si>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</si>
  <si>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</si>
  <si>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</si>
  <si>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</si>
  <si>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</si>
  <si>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</si>
  <si>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</si>
  <si>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</si>
  <si>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</si>
  <si>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</si>
  <si>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</si>
  <si>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</si>
  <si>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</si>
  <si>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</si>
  <si>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</si>
  <si>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</si>
  <si>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</si>
  <si>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</si>
  <si>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</si>
  <si>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</si>
  <si>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</si>
  <si>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</si>
  <si>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</si>
  <si>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</si>
  <si>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</si>
  <si>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</si>
  <si>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</si>
  <si>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</si>
  <si>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</si>
  <si>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</si>
  <si>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</si>
  <si>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</si>
  <si>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</si>
  <si>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</si>
  <si>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</si>
  <si>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</si>
  <si>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</si>
  <si>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</si>
  <si>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</si>
  <si>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</si>
  <si>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</si>
  <si>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</si>
  <si>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</si>
  <si>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</si>
  <si>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</si>
  <si>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</si>
  <si>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</si>
  <si>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</si>
  <si>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</si>
  <si>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</si>
  <si>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</si>
  <si>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</si>
  <si>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</si>
  <si>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</si>
  <si>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</si>
  <si>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</si>
  <si>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</si>
  <si>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</si>
  <si>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</si>
  <si>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</si>
  <si>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</si>
  <si>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</si>
  <si>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</si>
  <si>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</si>
  <si>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</si>
  <si>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</si>
  <si>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</si>
  <si>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</si>
  <si>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</si>
  <si>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</si>
  <si>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</si>
  <si>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</si>
  <si>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</si>
  <si>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</si>
  <si>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</si>
  <si>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</si>
  <si>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</si>
  <si>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</si>
  <si>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</si>
  <si>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</si>
  <si>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</si>
  <si>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</si>
  <si>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</si>
  <si>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</si>
  <si>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</si>
  <si>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</si>
  <si>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</si>
  <si>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</si>
  <si>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</si>
  <si>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</si>
  <si>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</si>
  <si>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</si>
  <si>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</si>
  <si>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</si>
  <si>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</si>
  <si>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</si>
  <si>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</si>
  <si>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</si>
  <si>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</si>
  <si>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</si>
  <si>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</si>
  <si>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</si>
  <si>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</si>
  <si>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</si>
  <si>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</si>
  <si>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</si>
  <si>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</si>
  <si>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</si>
  <si>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</si>
  <si>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</si>
  <si>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</si>
  <si>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</si>
  <si>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</si>
  <si>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</si>
  <si>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</si>
  <si>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</si>
  <si>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</si>
  <si>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</si>
  <si>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</si>
  <si>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</si>
  <si>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</si>
  <si>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</si>
  <si>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</si>
  <si>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</si>
  <si>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</si>
  <si>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</si>
  <si>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</si>
  <si>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</si>
  <si>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</si>
  <si>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</si>
  <si>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</si>
  <si>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</si>
  <si>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</si>
  <si>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</si>
  <si>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</si>
  <si>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</si>
  <si>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</si>
  <si>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</si>
  <si>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</si>
  <si>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</si>
  <si>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</si>
  <si>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</si>
  <si>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</si>
  <si>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</si>
  <si>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</si>
  <si>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</si>
  <si>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</si>
  <si>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</si>
  <si>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</si>
  <si>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</si>
  <si>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</si>
  <si>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</si>
  <si>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</si>
  <si>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</si>
  <si>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</si>
  <si>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</si>
  <si>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</si>
  <si>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</si>
  <si>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</si>
  <si>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</si>
  <si>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</si>
  <si>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</si>
  <si>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</si>
  <si>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</si>
  <si>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</si>
  <si>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</si>
  <si>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</si>
  <si>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</si>
  <si>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</si>
  <si>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</si>
  <si>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</si>
  <si>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</si>
  <si>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</si>
  <si>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</si>
  <si>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</si>
  <si>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</si>
  <si>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</si>
  <si>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</si>
  <si>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</si>
  <si>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</si>
  <si>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</si>
  <si>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</si>
  <si>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</si>
  <si>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</si>
  <si>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</si>
  <si>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</si>
  <si>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</si>
  <si>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</si>
  <si>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</si>
  <si>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</si>
  <si>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</si>
  <si>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</si>
  <si>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</si>
  <si>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</si>
  <si>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</si>
  <si>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</si>
  <si>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</si>
  <si>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</si>
  <si>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</si>
  <si>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</si>
  <si>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</si>
  <si>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</si>
  <si>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</si>
  <si>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</si>
  <si>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</si>
  <si>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</si>
  <si>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</si>
  <si>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</si>
  <si>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</si>
  <si>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</si>
  <si>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</si>
  <si>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</si>
  <si>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</si>
  <si>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</si>
  <si>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</si>
  <si>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</si>
  <si>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</si>
  <si>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</si>
  <si>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</si>
  <si>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</si>
  <si>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</si>
  <si>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</si>
  <si>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</si>
  <si>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</si>
  <si>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</si>
  <si>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</si>
  <si>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</si>
  <si>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</si>
  <si>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</si>
  <si>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</si>
  <si>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</si>
  <si>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</si>
  <si>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</si>
  <si>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</si>
  <si>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</si>
  <si>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</si>
  <si>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</si>
  <si>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</si>
  <si>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</si>
  <si>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</si>
  <si>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</si>
  <si>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</si>
  <si>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</si>
  <si>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</si>
  <si>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</si>
  <si>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</si>
  <si>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</si>
  <si>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</si>
  <si>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</si>
  <si>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</si>
  <si>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</si>
  <si>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</si>
  <si>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</si>
  <si>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</si>
  <si>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</si>
  <si>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</si>
  <si>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</si>
  <si>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</si>
  <si>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</si>
  <si>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</si>
  <si>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</si>
  <si>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</si>
  <si>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</si>
  <si>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</si>
  <si>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</si>
  <si>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</si>
  <si>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</si>
  <si>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</si>
  <si>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</si>
  <si>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</si>
  <si>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</si>
  <si>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</si>
  <si>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</si>
  <si>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</si>
  <si>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</si>
  <si>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</si>
  <si>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</si>
  <si>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</si>
  <si>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</si>
  <si>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</si>
  <si>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</si>
  <si>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</si>
  <si>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</si>
  <si>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</si>
  <si>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</si>
  <si>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</si>
  <si>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</si>
  <si>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</si>
  <si>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</si>
  <si>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</si>
  <si>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</si>
  <si>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</si>
  <si>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</si>
  <si>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</si>
  <si>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</si>
  <si>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</si>
  <si>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</si>
  <si>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</si>
  <si>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</si>
  <si>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</si>
  <si>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</si>
  <si>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</si>
  <si>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</si>
  <si>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</si>
  <si>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</si>
  <si>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</si>
  <si>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</si>
  <si>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</si>
  <si>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</si>
  <si>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</si>
  <si>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</si>
  <si>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</si>
  <si>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</si>
  <si>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</si>
  <si>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</si>
  <si>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</si>
  <si>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</si>
  <si>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</si>
  <si>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</si>
  <si>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</si>
  <si>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</si>
  <si>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</si>
  <si>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</si>
  <si>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</si>
  <si>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</si>
  <si>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</si>
  <si>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</si>
  <si>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</si>
  <si>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</si>
  <si>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</si>
  <si>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</si>
  <si>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</si>
  <si>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</si>
  <si>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</si>
  <si>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</si>
  <si>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</si>
  <si>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</si>
  <si>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</si>
  <si>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</si>
  <si>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</si>
  <si>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</si>
  <si>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</si>
  <si>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</si>
  <si>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</si>
  <si>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</si>
  <si>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</si>
  <si>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</si>
  <si>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</si>
  <si>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</si>
  <si>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</si>
  <si>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</si>
  <si>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</si>
  <si>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</si>
  <si>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</si>
  <si>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</si>
  <si>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</si>
  <si>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</si>
  <si>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</si>
  <si>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</si>
  <si>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</si>
  <si>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</si>
  <si>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</si>
  <si>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</si>
  <si>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</si>
  <si>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</si>
  <si>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</si>
  <si>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</si>
  <si>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</si>
  <si>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</si>
  <si>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</si>
  <si>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</si>
  <si>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</si>
  <si>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</si>
  <si>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</si>
  <si>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</si>
  <si>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</si>
  <si>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</si>
  <si>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</si>
  <si>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</si>
  <si>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</si>
  <si>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</si>
  <si>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</si>
  <si>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</si>
  <si>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</si>
  <si>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</si>
  <si>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</si>
  <si>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</si>
  <si>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</si>
  <si>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</si>
  <si>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</si>
  <si>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</si>
  <si>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</si>
  <si>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</si>
  <si>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</si>
  <si>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</si>
  <si>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</si>
  <si>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</si>
  <si>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</si>
  <si>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</si>
  <si>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</si>
  <si>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</si>
  <si>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</si>
  <si>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</si>
  <si>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</si>
  <si>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</si>
  <si>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</si>
  <si>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</si>
  <si>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</si>
  <si>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</si>
  <si>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</si>
  <si>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</si>
  <si>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</si>
  <si>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</si>
  <si>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</si>
  <si>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</si>
  <si>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</si>
  <si>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</si>
  <si>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</si>
  <si>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</si>
  <si>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</si>
  <si>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</si>
  <si>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</si>
  <si>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</si>
  <si>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</si>
  <si>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</si>
  <si>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</si>
  <si>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</si>
  <si>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</si>
  <si>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</si>
  <si>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</si>
  <si>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</si>
  <si>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</si>
  <si>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</si>
  <si>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</si>
  <si>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</si>
  <si>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</si>
  <si>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</si>
  <si>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</si>
  <si>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</si>
  <si>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</si>
  <si>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</si>
  <si>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</si>
  <si>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</si>
  <si>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</si>
  <si>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</si>
  <si>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</si>
  <si>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</si>
  <si>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</si>
  <si>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</si>
  <si>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</si>
  <si>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</si>
  <si>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</si>
  <si>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</si>
  <si>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</si>
  <si>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</si>
  <si>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</si>
  <si>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</si>
  <si>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</si>
  <si>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</si>
  <si>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</si>
  <si>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</si>
  <si>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</si>
  <si>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</si>
  <si>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</si>
  <si>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</si>
  <si>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</si>
  <si>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</si>
  <si>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</si>
  <si>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</si>
  <si>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</si>
  <si>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</si>
  <si>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</si>
  <si>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</si>
  <si>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</si>
  <si>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</si>
  <si>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</si>
  <si>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</si>
  <si>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</si>
  <si>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</si>
  <si>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</si>
  <si>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</si>
  <si>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</si>
  <si>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</si>
  <si>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</si>
  <si>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</si>
  <si>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</si>
  <si>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</si>
  <si>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</si>
  <si>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</si>
  <si>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</si>
  <si>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</si>
  <si>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</si>
  <si>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</si>
  <si>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</si>
  <si>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</si>
  <si>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</si>
  <si>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</si>
  <si>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</si>
  <si>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</si>
  <si>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</si>
  <si>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</si>
  <si>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</si>
  <si>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</si>
  <si>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</si>
  <si>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</si>
  <si>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</si>
  <si>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</si>
  <si>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</si>
  <si>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</si>
  <si>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</si>
  <si>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</si>
  <si>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</si>
  <si>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</si>
  <si>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</si>
  <si>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</si>
  <si>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</si>
  <si>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</si>
  <si>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</si>
  <si>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</si>
  <si>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</si>
  <si>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</si>
  <si>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</si>
  <si>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</si>
  <si>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</si>
  <si>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</si>
  <si>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</si>
  <si>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</si>
  <si>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</si>
  <si>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</si>
  <si>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</si>
  <si>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</si>
  <si>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</si>
  <si>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</si>
  <si>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</si>
  <si>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</si>
  <si>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</si>
  <si>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</si>
  <si>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</si>
  <si>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</si>
  <si>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</si>
  <si>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</si>
  <si>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</si>
  <si>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</si>
  <si>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</si>
  <si>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</si>
  <si>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</si>
  <si>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</si>
  <si>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</si>
  <si>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</si>
  <si>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</si>
  <si>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</si>
  <si>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</si>
  <si>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</si>
  <si>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</si>
  <si>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</si>
  <si>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</si>
  <si>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</si>
  <si>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</si>
  <si>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</si>
  <si>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</si>
  <si>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</si>
  <si>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</si>
  <si>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</si>
  <si>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</si>
  <si>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</si>
  <si>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</si>
  <si>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</si>
  <si>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</si>
  <si>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</si>
  <si>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</si>
  <si>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</si>
  <si>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</si>
  <si>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</si>
  <si>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</si>
  <si>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</si>
  <si>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</si>
  <si>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</si>
  <si>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</si>
  <si>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</si>
  <si>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</si>
  <si>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</si>
  <si>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</si>
  <si>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</si>
  <si>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</si>
  <si>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</si>
  <si>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</si>
  <si>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</si>
  <si>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</si>
  <si>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</si>
  <si>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</si>
  <si>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</si>
  <si>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</si>
  <si>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</si>
  <si>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</si>
  <si>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</si>
  <si>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</si>
  <si>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</si>
  <si>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</si>
  <si>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</si>
  <si>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</si>
  <si>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</si>
  <si>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</si>
  <si>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</si>
  <si>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</si>
  <si>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</si>
  <si>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</si>
  <si>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</si>
  <si>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</si>
  <si>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</si>
  <si>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</si>
  <si>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</si>
  <si>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</si>
  <si>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</si>
  <si>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</si>
  <si>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</si>
  <si>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</si>
  <si>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</si>
  <si>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</si>
  <si>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</si>
  <si>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</si>
  <si>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</si>
  <si>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</si>
  <si>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</si>
  <si>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</si>
  <si>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</si>
  <si>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</si>
  <si>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</si>
  <si>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</si>
  <si>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</si>
  <si>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</si>
  <si>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</si>
  <si>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</si>
  <si>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</si>
  <si>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</si>
  <si>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</si>
  <si>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</si>
  <si>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</si>
  <si>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</si>
  <si>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</si>
  <si>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</si>
  <si>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</si>
  <si>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</si>
  <si>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</si>
  <si>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</si>
  <si>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</si>
  <si>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</si>
  <si>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</si>
  <si>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</si>
  <si>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</si>
  <si>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</si>
  <si>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</si>
  <si>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</si>
  <si>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</si>
  <si>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</si>
  <si>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</si>
  <si>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</si>
  <si>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</si>
  <si>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</si>
  <si>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</si>
  <si>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</si>
  <si>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</si>
  <si>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</si>
  <si>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</si>
  <si>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</si>
  <si>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</si>
  <si>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</si>
  <si>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</si>
  <si>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</si>
  <si>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</si>
  <si>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</si>
  <si>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</si>
  <si>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</si>
  <si>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</si>
  <si>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</si>
  <si>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</si>
  <si>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</si>
  <si>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</si>
  <si>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</si>
  <si>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</si>
  <si>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</si>
  <si>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</si>
  <si>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</si>
  <si>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</si>
  <si>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</si>
  <si>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</si>
  <si>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</si>
  <si>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</si>
  <si>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</si>
  <si>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</si>
  <si>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</si>
  <si>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</si>
  <si>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</si>
  <si>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</si>
  <si>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</si>
  <si>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</si>
  <si>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</si>
  <si>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</si>
  <si>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</si>
  <si>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</si>
  <si>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</si>
  <si>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</si>
  <si>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</si>
  <si>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</si>
  <si>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</si>
  <si>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</si>
  <si>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</si>
  <si>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</si>
  <si>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</si>
  <si>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</si>
  <si>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</si>
  <si>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</si>
  <si>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</si>
  <si>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</si>
  <si>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</si>
  <si>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</si>
  <si>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</si>
  <si>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</si>
  <si>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</si>
  <si>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</si>
  <si>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</si>
  <si>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</si>
  <si>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</si>
  <si>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</si>
  <si>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</si>
  <si>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</si>
  <si>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</si>
  <si>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</si>
  <si>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</si>
  <si>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</si>
  <si>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</si>
  <si>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</si>
  <si>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</si>
  <si>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</si>
  <si>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</si>
  <si>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</si>
  <si>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</si>
  <si>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</si>
  <si>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</si>
  <si>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</si>
  <si>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</si>
  <si>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</si>
  <si>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</si>
  <si>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</si>
  <si>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</si>
  <si>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</si>
  <si>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</si>
  <si>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</si>
  <si>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</si>
  <si>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</si>
  <si>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</si>
  <si>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</si>
  <si>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</si>
  <si>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</si>
  <si>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</si>
  <si>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</si>
  <si>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</si>
  <si>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</si>
  <si>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</si>
  <si>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</si>
  <si>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</si>
  <si>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</si>
  <si>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</si>
  <si>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</si>
  <si>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</si>
  <si>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</si>
  <si>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</si>
  <si>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</si>
  <si>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</si>
  <si>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</si>
  <si>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</si>
  <si>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</si>
  <si>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</si>
  <si>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</si>
  <si>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</si>
  <si>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</si>
  <si>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</si>
  <si>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</si>
  <si>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</si>
  <si>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</si>
  <si>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</si>
  <si>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</si>
  <si>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</si>
  <si>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</si>
  <si>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</si>
  <si>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</si>
  <si>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</si>
  <si>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</si>
  <si>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</si>
  <si>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</si>
  <si>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</si>
  <si>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</si>
  <si>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</si>
  <si>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</si>
  <si>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</si>
  <si>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</si>
  <si>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</si>
  <si>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</si>
  <si>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</si>
  <si>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</si>
  <si>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</si>
  <si>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</si>
  <si>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</si>
  <si>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</si>
  <si>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</si>
  <si>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</si>
  <si>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</si>
  <si>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</si>
  <si>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</si>
  <si>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</si>
  <si>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</si>
  <si>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</si>
  <si>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</si>
  <si>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</si>
  <si>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</si>
  <si>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</si>
  <si>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</si>
  <si>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</si>
  <si>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</si>
  <si>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</si>
  <si>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</si>
  <si>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</si>
  <si>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</si>
  <si>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</si>
  <si>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</si>
  <si>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</si>
  <si>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</si>
  <si>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</si>
  <si>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</si>
  <si>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</si>
  <si>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</si>
  <si>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</si>
  <si>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</si>
  <si>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</si>
  <si>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</si>
  <si>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</si>
  <si>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</si>
  <si>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</si>
  <si>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</si>
  <si>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</si>
  <si>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</si>
  <si>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</si>
  <si>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</si>
  <si>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</si>
  <si>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</si>
  <si>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</si>
  <si>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</si>
  <si>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</si>
  <si>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</si>
  <si>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</si>
  <si>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</si>
  <si>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</si>
  <si>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</si>
  <si>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</si>
  <si>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</si>
  <si>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</si>
  <si>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</si>
  <si>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</si>
  <si>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</si>
  <si>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</si>
  <si>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</si>
  <si>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</si>
  <si>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</si>
  <si>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</si>
  <si>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</si>
  <si>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</si>
  <si>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</si>
  <si>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</si>
  <si>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</si>
  <si>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</si>
  <si>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</si>
  <si>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</si>
  <si>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</si>
  <si>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</si>
  <si>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</si>
  <si>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</si>
  <si>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</si>
  <si>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</si>
  <si>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</si>
  <si>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</si>
  <si>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</si>
  <si>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</si>
  <si>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</si>
  <si>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</si>
  <si>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</si>
  <si>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</si>
  <si>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</si>
  <si>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</si>
  <si>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</si>
  <si>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</si>
  <si>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</si>
  <si>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</si>
  <si>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</si>
  <si>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</si>
  <si>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</si>
  <si>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</si>
  <si>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</si>
  <si>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</si>
  <si>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</si>
  <si>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</si>
  <si>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</si>
  <si>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</si>
  <si>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</si>
  <si>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</si>
  <si>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</si>
  <si>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</si>
  <si>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</si>
  <si>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</si>
  <si>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</si>
  <si>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</si>
  <si>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</si>
  <si>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</si>
  <si>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</si>
  <si>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</si>
  <si>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</si>
  <si>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</si>
  <si>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</si>
  <si>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</si>
  <si>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</si>
  <si>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</si>
  <si>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</si>
  <si>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</si>
  <si>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</si>
  <si>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</si>
  <si>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</si>
  <si>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</si>
  <si>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</si>
  <si>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</si>
  <si>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</si>
  <si>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</si>
  <si>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</si>
  <si>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</si>
  <si>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</si>
  <si>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</si>
  <si>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</si>
  <si>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</si>
  <si>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</si>
  <si>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</si>
  <si>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</si>
  <si>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</si>
  <si>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</si>
  <si>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</si>
  <si>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</si>
  <si>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</si>
  <si>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</si>
  <si>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</si>
  <si>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</si>
  <si>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</si>
  <si>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</si>
  <si>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</si>
  <si>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</si>
  <si>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</si>
  <si>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</si>
  <si>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</si>
  <si>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</si>
  <si>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</si>
  <si>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</si>
  <si>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</si>
  <si>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</si>
  <si>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</si>
  <si>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</si>
  <si>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</si>
  <si>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</si>
  <si>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</si>
  <si>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</si>
  <si>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</si>
  <si>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</si>
  <si>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</si>
  <si>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</si>
  <si>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</si>
  <si>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</si>
  <si>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</si>
  <si>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</si>
  <si>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</si>
  <si>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</si>
  <si>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</si>
  <si>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</si>
  <si>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</si>
  <si>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</si>
  <si>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</si>
  <si>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</si>
  <si>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</si>
  <si>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</si>
  <si>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</si>
  <si>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</si>
  <si>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</si>
  <si>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</si>
  <si>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</si>
  <si>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</si>
  <si>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</si>
  <si>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</si>
  <si>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</si>
  <si>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</si>
  <si>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</si>
  <si>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</si>
  <si>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</si>
  <si>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</si>
  <si>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</si>
  <si>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</si>
  <si>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</si>
  <si>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</si>
  <si>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</si>
  <si>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</si>
  <si>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</si>
  <si>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</si>
  <si>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</si>
  <si>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</si>
  <si>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</si>
  <si>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</si>
  <si>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</si>
  <si>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</si>
  <si>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</si>
  <si>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</si>
  <si>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</si>
  <si>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</si>
  <si>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</si>
  <si>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</si>
  <si>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</si>
  <si>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</si>
  <si>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</si>
  <si>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</si>
  <si>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</si>
  <si>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</si>
  <si>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</si>
  <si>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</si>
  <si>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</si>
  <si>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</si>
  <si>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</si>
  <si>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</si>
  <si>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</si>
  <si>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</si>
  <si>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</si>
  <si>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</si>
  <si>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</si>
  <si>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</si>
  <si>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</si>
  <si>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</si>
  <si>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</si>
  <si>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</si>
  <si>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</si>
  <si>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</si>
  <si>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</si>
  <si>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</si>
  <si>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</si>
  <si>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</si>
  <si>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</si>
  <si>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</si>
  <si>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</si>
  <si>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</si>
  <si>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</si>
  <si>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</si>
  <si>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</si>
  <si>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</si>
  <si>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</si>
  <si>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</si>
  <si>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</si>
  <si>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</si>
  <si>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</si>
  <si>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</si>
  <si>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</si>
  <si>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</si>
  <si>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</si>
  <si>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</si>
  <si>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</si>
  <si>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</si>
  <si>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</si>
  <si>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</si>
  <si>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</si>
  <si>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</si>
  <si>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</si>
  <si>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</si>
  <si>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</si>
  <si>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</si>
  <si>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</si>
  <si>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</si>
  <si>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</si>
  <si>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</si>
  <si>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</si>
  <si>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</si>
  <si>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</si>
  <si>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</si>
  <si>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</si>
  <si>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</si>
  <si>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</si>
  <si>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</si>
  <si>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</si>
  <si>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</si>
  <si>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</si>
  <si>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</si>
  <si>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</si>
  <si>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</si>
  <si>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</si>
  <si>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</si>
  <si>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</si>
  <si>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</si>
  <si>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</si>
  <si>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</si>
  <si>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</si>
  <si>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</si>
  <si>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</si>
  <si>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</si>
  <si>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</si>
  <si>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</si>
  <si>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</si>
  <si>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</si>
  <si>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</si>
  <si>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</si>
  <si>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</si>
  <si>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</si>
  <si>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</si>
  <si>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</si>
  <si>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</si>
  <si>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</si>
  <si>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</si>
  <si>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</si>
  <si>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</si>
  <si>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</si>
  <si>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</si>
  <si>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</si>
  <si>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</si>
  <si>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</si>
  <si>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</si>
  <si>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</si>
  <si>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</si>
  <si>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</si>
  <si>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</si>
  <si>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</si>
  <si>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</si>
  <si>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</si>
  <si>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</si>
  <si>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</si>
  <si>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</si>
  <si>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</si>
  <si>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</si>
  <si>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</si>
  <si>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</si>
  <si>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</si>
  <si>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</si>
  <si>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</si>
  <si>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</si>
  <si>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</si>
  <si>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</si>
  <si>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</si>
  <si>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</si>
  <si>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</si>
  <si>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</si>
  <si>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</si>
  <si>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</si>
  <si>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</si>
  <si>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</si>
  <si>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</si>
  <si>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</si>
  <si>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</si>
  <si>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</si>
  <si>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</si>
  <si>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</si>
  <si>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</si>
  <si>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</si>
  <si>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</si>
  <si>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</si>
  <si>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</si>
  <si>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</si>
  <si>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</si>
  <si>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</si>
  <si>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</si>
  <si>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</si>
  <si>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</si>
  <si>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</si>
  <si>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</si>
  <si>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</si>
  <si>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</si>
  <si>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</si>
  <si>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</si>
  <si>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</si>
  <si>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</si>
  <si>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</si>
  <si>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</si>
  <si>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</si>
  <si>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</si>
  <si>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</si>
  <si>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</si>
  <si>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</si>
  <si>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</si>
  <si>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</si>
  <si>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</si>
  <si>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</si>
  <si>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</si>
  <si>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</si>
  <si>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</si>
  <si>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</si>
  <si>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</si>
  <si>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</si>
  <si>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</si>
  <si>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</si>
  <si>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</si>
  <si>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</si>
  <si>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</si>
  <si>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</si>
  <si>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</si>
  <si>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</si>
  <si>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</si>
  <si>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</si>
  <si>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</si>
  <si>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</si>
  <si>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</si>
  <si>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</si>
  <si>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</si>
  <si>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</si>
  <si>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</si>
  <si>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</si>
  <si>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</si>
  <si>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</si>
  <si>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</si>
  <si>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</si>
  <si>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</si>
  <si>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</si>
  <si>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</si>
  <si>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</si>
  <si>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</si>
  <si>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</si>
  <si>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</si>
  <si>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</si>
  <si>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</si>
  <si>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</si>
  <si>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</si>
  <si>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</si>
  <si>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</si>
  <si>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</si>
  <si>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</si>
  <si>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</si>
  <si>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</si>
  <si>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</si>
  <si>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</si>
  <si>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</si>
  <si>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</si>
  <si>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</si>
  <si>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</si>
  <si>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</si>
  <si>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</si>
  <si>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</si>
  <si>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</si>
  <si>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</si>
  <si>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</si>
  <si>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</si>
  <si>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</si>
  <si>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</si>
  <si>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</si>
  <si>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</si>
  <si>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</si>
  <si>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</si>
  <si>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</si>
  <si>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</si>
  <si>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</si>
  <si>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</si>
  <si>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</si>
  <si>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</si>
  <si>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</si>
  <si>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</si>
  <si>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</si>
  <si>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</si>
  <si>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</si>
  <si>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</si>
  <si>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</si>
  <si>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</si>
  <si>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</si>
  <si>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</si>
  <si>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</si>
  <si>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</si>
  <si>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</si>
  <si>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</si>
  <si>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</si>
  <si>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</si>
  <si>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</si>
  <si>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</si>
  <si>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</si>
  <si>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</si>
  <si>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</si>
  <si>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</si>
  <si>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</si>
  <si>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</si>
  <si>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</si>
  <si>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</si>
  <si>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</si>
  <si>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</si>
  <si>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</si>
  <si>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</si>
  <si>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</si>
  <si>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</si>
  <si>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</si>
  <si>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</si>
  <si>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</si>
  <si>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</si>
  <si>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</si>
  <si>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</si>
  <si>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</si>
  <si>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</si>
  <si>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</si>
  <si>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</si>
  <si>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</si>
  <si>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</si>
  <si>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</si>
  <si>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</si>
  <si>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</si>
  <si>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</si>
  <si>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</si>
  <si>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</si>
  <si>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</si>
  <si>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</si>
  <si>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</si>
  <si>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</si>
  <si>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</si>
  <si>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</si>
  <si>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</si>
  <si>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</si>
  <si>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</si>
  <si>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</si>
  <si>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</si>
  <si>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</si>
  <si>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</si>
  <si>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</si>
  <si>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</si>
  <si>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</si>
  <si>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</si>
  <si>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</si>
  <si>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</si>
  <si>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</si>
  <si>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</si>
  <si>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</si>
  <si>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</si>
  <si>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</si>
  <si>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</si>
  <si>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</si>
  <si>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</si>
  <si>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</si>
  <si>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</si>
  <si>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</si>
  <si>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</si>
  <si>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</si>
  <si>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</si>
  <si>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</si>
  <si>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</si>
  <si>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</si>
  <si>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</si>
  <si>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</si>
  <si>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</si>
  <si>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</si>
  <si>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</si>
  <si>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</si>
  <si>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</si>
  <si>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</si>
  <si>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</si>
  <si>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</si>
  <si>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</si>
  <si>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</si>
  <si>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</si>
  <si>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</si>
  <si>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</si>
  <si>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</si>
  <si>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</si>
  <si>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</si>
  <si>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</si>
  <si>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</si>
  <si>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</si>
  <si>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</si>
  <si>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</si>
  <si>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</si>
  <si>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</si>
  <si>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</si>
  <si>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</si>
  <si>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</si>
  <si>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</si>
  <si>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</si>
  <si>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</si>
  <si>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</si>
  <si>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</si>
  <si>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</si>
  <si>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</si>
  <si>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</si>
  <si>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</si>
  <si>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</si>
  <si>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</si>
  <si>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</si>
  <si>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</si>
  <si>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</si>
  <si>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</si>
  <si>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</si>
  <si>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</si>
  <si>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</si>
  <si>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</si>
  <si>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</si>
  <si>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</si>
  <si>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</si>
  <si>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</si>
  <si>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</si>
  <si>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</si>
  <si>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</si>
  <si>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</si>
  <si>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</si>
  <si>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</si>
  <si>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</si>
  <si>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</si>
  <si>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</si>
  <si>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</si>
  <si>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</si>
  <si>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</si>
  <si>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</si>
  <si>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</si>
  <si>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</si>
  <si>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</si>
  <si>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</si>
  <si>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</si>
  <si>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</si>
  <si>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</si>
  <si>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</si>
  <si>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</si>
  <si>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</si>
  <si>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</si>
  <si>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</si>
  <si>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</si>
  <si>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</si>
  <si>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</si>
  <si>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</si>
  <si>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</si>
  <si>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</si>
  <si>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</si>
  <si>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</si>
  <si>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</si>
  <si>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</si>
  <si>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</si>
  <si>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</si>
  <si>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</si>
  <si>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</si>
  <si>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</si>
  <si>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</si>
  <si>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</si>
  <si>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</si>
  <si>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</si>
  <si>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</si>
  <si>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</si>
  <si>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</si>
  <si>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</si>
  <si>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</si>
  <si>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</si>
  <si>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</si>
  <si>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</si>
  <si>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</si>
  <si>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</si>
  <si>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</si>
  <si>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</si>
  <si>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</si>
  <si>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</si>
  <si>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</si>
  <si>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</si>
  <si>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</si>
  <si>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</si>
  <si>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</si>
  <si>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</si>
  <si>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</si>
  <si>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</si>
  <si>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</si>
  <si>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</si>
  <si>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</si>
  <si>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</si>
  <si>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</si>
  <si>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</si>
  <si>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</si>
  <si>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</si>
  <si>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</si>
  <si>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</si>
  <si>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</si>
  <si>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</si>
  <si>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</si>
  <si>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</si>
  <si>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</si>
  <si>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</si>
  <si>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</si>
  <si>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</si>
  <si>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</si>
  <si>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</si>
  <si>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</si>
  <si>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</si>
  <si>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</si>
  <si>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</si>
  <si>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</si>
  <si>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</si>
  <si>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</si>
  <si>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</si>
  <si>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</si>
  <si>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</si>
  <si>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</si>
  <si>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</si>
  <si>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</si>
  <si>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</si>
  <si>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</si>
  <si>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</si>
  <si>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</si>
  <si>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</si>
  <si>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</si>
  <si>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</si>
  <si>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</si>
  <si>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</si>
  <si>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</si>
  <si>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</si>
  <si>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</si>
  <si>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</si>
  <si>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</si>
  <si>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</si>
  <si>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</si>
  <si>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</si>
  <si>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</si>
  <si>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</si>
  <si>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</si>
  <si>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</si>
  <si>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</si>
  <si>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</si>
  <si>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</si>
  <si>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</si>
  <si>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</si>
  <si>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</si>
  <si>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</si>
  <si>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</si>
  <si>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</si>
  <si>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</si>
  <si>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</si>
  <si>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</si>
  <si>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</si>
  <si>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</si>
  <si>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</si>
  <si>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</si>
  <si>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</si>
  <si>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</si>
  <si>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</si>
  <si>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</si>
  <si>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</si>
  <si>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</si>
  <si>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</si>
  <si>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</si>
  <si>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</si>
  <si>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</si>
  <si>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</si>
  <si>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</si>
  <si>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</si>
  <si>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</si>
  <si>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</si>
  <si>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</si>
  <si>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</si>
  <si>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</si>
  <si>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</si>
  <si>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</si>
  <si>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</si>
  <si>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</si>
  <si>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</si>
  <si>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</si>
  <si>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</si>
  <si>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</si>
  <si>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</si>
  <si>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</si>
  <si>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</si>
  <si>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</si>
  <si>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</si>
  <si>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</si>
  <si>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</si>
  <si>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</si>
  <si>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</si>
  <si>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</si>
  <si>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</si>
  <si>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</si>
  <si>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</si>
  <si>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</si>
  <si>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</si>
  <si>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</si>
  <si>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</si>
  <si>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</si>
  <si>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</si>
  <si>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</si>
  <si>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</si>
  <si>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</si>
  <si>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</si>
  <si>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</si>
  <si>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</si>
  <si>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</si>
  <si>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</si>
  <si>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</si>
  <si>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</si>
  <si>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</si>
  <si>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</si>
  <si>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</si>
  <si>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</si>
  <si>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</si>
  <si>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</si>
  <si>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</si>
  <si>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</si>
  <si>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</si>
  <si>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</si>
  <si>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</si>
  <si>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</si>
  <si>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</si>
  <si>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</si>
  <si>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</si>
  <si>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</si>
  <si>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</si>
  <si>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</si>
  <si>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</si>
  <si>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</si>
  <si>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</si>
  <si>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</si>
  <si>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</si>
  <si>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</si>
  <si>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</si>
  <si>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</si>
  <si>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</si>
  <si>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</si>
  <si>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</si>
  <si>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</si>
  <si>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</si>
  <si>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</si>
  <si>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</si>
  <si>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</si>
  <si>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</si>
  <si>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</si>
  <si>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</si>
  <si>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</si>
  <si>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</si>
  <si>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</si>
  <si>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</si>
  <si>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</si>
  <si>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</si>
  <si>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</si>
  <si>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</si>
  <si>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</si>
  <si>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</si>
  <si>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</si>
  <si>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</si>
  <si>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</si>
  <si>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</si>
  <si>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</si>
  <si>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</si>
  <si>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</si>
  <si>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</si>
  <si>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</si>
  <si>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</si>
  <si>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</si>
  <si>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</si>
  <si>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</si>
  <si>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</si>
  <si>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</si>
  <si>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</si>
  <si>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</si>
  <si>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</si>
  <si>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</si>
  <si>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</si>
  <si>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</si>
  <si>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</si>
  <si>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</si>
  <si>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</si>
  <si>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</si>
  <si>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</si>
  <si>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</si>
  <si>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</si>
  <si>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</si>
  <si>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</si>
  <si>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</si>
  <si>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</si>
  <si>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</si>
  <si>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</si>
  <si>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</si>
  <si>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</si>
  <si>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</si>
  <si>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</si>
  <si>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</si>
  <si>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</si>
  <si>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</si>
  <si>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</si>
  <si>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</si>
  <si>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</si>
  <si>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</si>
  <si>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</si>
  <si>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</si>
  <si>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</si>
  <si>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</si>
  <si>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</si>
  <si>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</si>
  <si>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</si>
  <si>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</si>
  <si>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</si>
  <si>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</si>
  <si>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</si>
  <si>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</si>
  <si>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</si>
  <si>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</si>
  <si>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</si>
  <si>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</si>
  <si>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</si>
  <si>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</si>
  <si>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</si>
  <si>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</si>
  <si>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</si>
  <si>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</si>
  <si>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</si>
  <si>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</si>
  <si>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</si>
  <si>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</si>
  <si>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</si>
  <si>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</si>
  <si>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</si>
  <si>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</si>
  <si>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</si>
  <si>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</si>
  <si>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</si>
  <si>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</si>
  <si>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</si>
  <si>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</si>
  <si>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</si>
  <si>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</si>
  <si>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</si>
  <si>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</si>
  <si>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</si>
  <si>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</si>
  <si>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</si>
  <si>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</si>
  <si>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</si>
  <si>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</si>
  <si>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</si>
  <si>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</si>
  <si>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</si>
  <si>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</si>
  <si>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</si>
  <si>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</si>
  <si>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</si>
  <si>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</si>
  <si>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</si>
  <si>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</si>
  <si>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</si>
  <si>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</si>
  <si>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</si>
  <si>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</si>
  <si>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</si>
  <si>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</si>
  <si>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</si>
  <si>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</si>
  <si>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</si>
  <si>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</si>
  <si>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</si>
  <si>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</si>
  <si>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</si>
  <si>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</si>
  <si>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</si>
  <si>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</si>
  <si>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</si>
  <si>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</si>
  <si>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</si>
  <si>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</si>
  <si>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</si>
  <si>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</si>
  <si>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</si>
  <si>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</si>
  <si>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</si>
  <si>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</si>
  <si>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</si>
  <si>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</si>
  <si>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</si>
  <si>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</si>
  <si>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</si>
  <si>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</si>
  <si>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</si>
  <si>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</si>
  <si>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</si>
  <si>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</si>
  <si>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</si>
  <si>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</si>
  <si>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</si>
  <si>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</si>
  <si>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</si>
  <si>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</si>
  <si>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</si>
  <si>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</si>
  <si>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</si>
  <si>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</si>
  <si>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</si>
  <si>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</si>
  <si>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</si>
  <si>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</si>
  <si>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</si>
  <si>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</si>
  <si>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</si>
  <si>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</si>
  <si>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</si>
  <si>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</si>
  <si>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</si>
  <si>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</si>
  <si>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</si>
  <si>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</si>
  <si>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</si>
  <si>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</si>
  <si>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</si>
  <si>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</si>
  <si>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</si>
  <si>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</si>
  <si>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</si>
  <si>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</si>
  <si>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</si>
  <si>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</si>
  <si>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</si>
  <si>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</si>
  <si>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</si>
  <si>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</si>
  <si>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</si>
  <si>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</si>
  <si>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</si>
  <si>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</si>
  <si>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</si>
  <si>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</si>
  <si>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</si>
  <si>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</si>
  <si>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</si>
  <si>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</si>
  <si>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</si>
  <si>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</si>
  <si>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</si>
  <si>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</si>
  <si>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</si>
  <si>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</si>
  <si>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</si>
  <si>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</si>
  <si>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</si>
  <si>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</si>
  <si>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</si>
  <si>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</si>
  <si>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</si>
  <si>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</si>
  <si>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</si>
  <si>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</si>
  <si>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</si>
  <si>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</si>
  <si>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</si>
  <si>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</si>
  <si>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</si>
  <si>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</si>
  <si>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</si>
  <si>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</si>
  <si>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</si>
  <si>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</si>
  <si>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</si>
  <si>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</si>
  <si>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</si>
  <si>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</si>
  <si>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</si>
  <si>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</si>
  <si>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</si>
  <si>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</si>
  <si>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</si>
  <si>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</si>
  <si>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</si>
  <si>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</si>
  <si>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</si>
  <si>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</si>
  <si>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</si>
  <si>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</si>
  <si>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</si>
  <si>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</si>
  <si>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</si>
  <si>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</si>
  <si>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</si>
  <si>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</si>
  <si>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</si>
  <si>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</si>
  <si>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</si>
  <si>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</si>
  <si>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</si>
  <si>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</si>
  <si>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</si>
  <si>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</si>
  <si>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</si>
  <si>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</si>
  <si>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</si>
  <si>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</si>
  <si>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</si>
  <si>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</si>
  <si>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</si>
  <si>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</si>
  <si>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</si>
  <si>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</si>
  <si>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</si>
  <si>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</si>
  <si>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</si>
  <si>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</si>
  <si>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</si>
  <si>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</si>
  <si>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</si>
  <si>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</si>
  <si>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</si>
  <si>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</si>
  <si>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</si>
  <si>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</si>
  <si>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</si>
  <si>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</si>
  <si>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</si>
  <si>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</si>
  <si>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</si>
  <si>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</si>
  <si>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</si>
  <si>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</si>
  <si>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</si>
  <si>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</si>
  <si>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</si>
  <si>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</si>
  <si>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</si>
  <si>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</si>
  <si>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</si>
  <si>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</si>
  <si>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</si>
  <si>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</si>
  <si>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</si>
  <si>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</si>
  <si>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</si>
  <si>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</si>
  <si>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</si>
  <si>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</si>
  <si>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</si>
  <si>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</si>
  <si>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</si>
  <si>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</si>
  <si>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</si>
  <si>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</si>
  <si>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</si>
  <si>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</si>
  <si>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</si>
  <si>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</si>
  <si>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</si>
  <si>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</si>
  <si>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</si>
  <si>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</si>
  <si>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</si>
  <si>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</si>
  <si>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</si>
  <si>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</si>
  <si>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</si>
  <si>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</si>
  <si>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</si>
  <si>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</si>
  <si>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</si>
  <si>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</si>
  <si>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</si>
  <si>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</si>
  <si>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</si>
  <si>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</si>
  <si>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</si>
  <si>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</si>
  <si>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</si>
  <si>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</si>
  <si>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</si>
  <si>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</si>
  <si>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</si>
  <si>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</si>
  <si>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</si>
  <si>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</si>
  <si>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</si>
  <si>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</si>
  <si>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</si>
  <si>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</si>
  <si>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</si>
  <si>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</si>
  <si>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</si>
  <si>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</si>
  <si>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</si>
  <si>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</si>
  <si>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</si>
  <si>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</si>
  <si>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</si>
  <si>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</si>
  <si>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</si>
  <si>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</si>
  <si>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</si>
  <si>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</si>
  <si>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</si>
  <si>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</si>
  <si>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</si>
  <si>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</si>
  <si>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</si>
  <si>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</si>
  <si>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</si>
  <si>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</si>
  <si>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</si>
  <si>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</si>
  <si>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</si>
  <si>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</si>
  <si>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</si>
  <si>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</si>
  <si>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</si>
  <si>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</si>
  <si>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</si>
  <si>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</si>
  <si>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</si>
  <si>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</si>
  <si>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</si>
  <si>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</si>
  <si>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</si>
  <si>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</si>
  <si>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</si>
  <si>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</si>
  <si>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</si>
  <si>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</si>
  <si>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</si>
  <si>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</si>
  <si>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</si>
  <si>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</si>
  <si>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</si>
  <si>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</si>
  <si>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</si>
  <si>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</si>
  <si>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</si>
  <si>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</si>
  <si>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</si>
  <si>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</si>
  <si>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</si>
  <si>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</si>
  <si>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</si>
  <si>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</si>
  <si>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</si>
  <si>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</si>
  <si>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</si>
  <si>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</si>
  <si>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</si>
  <si>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</si>
  <si>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</si>
  <si>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</si>
  <si>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</si>
  <si>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</si>
  <si>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</si>
  <si>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</si>
  <si>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</si>
  <si>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</si>
  <si>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</si>
  <si>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</si>
  <si>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</si>
  <si>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</si>
  <si>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</si>
  <si>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</si>
  <si>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</si>
  <si>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</si>
  <si>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</si>
  <si>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</si>
  <si>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</si>
  <si>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</si>
  <si>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</si>
  <si>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</si>
  <si>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</si>
  <si>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</si>
  <si>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</si>
  <si>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</si>
  <si>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</si>
  <si>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</si>
  <si>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</si>
  <si>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</si>
  <si>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</si>
  <si>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</si>
  <si>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</si>
  <si>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</si>
  <si>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</si>
  <si>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</si>
  <si>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</si>
  <si>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</si>
  <si>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</si>
  <si>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</si>
  <si>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</si>
  <si>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</si>
  <si>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</si>
  <si>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</si>
  <si>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</si>
  <si>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</si>
  <si>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</si>
  <si>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</si>
  <si>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</si>
  <si>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</si>
  <si>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</si>
  <si>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</si>
  <si>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</si>
  <si>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</si>
  <si>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</si>
  <si>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</si>
  <si>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</si>
  <si>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</si>
  <si>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</si>
  <si>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</si>
  <si>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</si>
  <si>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</si>
  <si>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</si>
  <si>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</si>
  <si>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</si>
  <si>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</si>
  <si>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</si>
  <si>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</si>
  <si>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</si>
  <si>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</si>
  <si>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</si>
  <si>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</si>
  <si>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</si>
  <si>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</si>
  <si>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</si>
  <si>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</si>
  <si>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</si>
  <si>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</si>
  <si>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</si>
  <si>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</si>
  <si>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</si>
  <si>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</si>
  <si>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</si>
  <si>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</si>
  <si>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</si>
  <si>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</si>
  <si>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</si>
  <si>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</si>
  <si>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</si>
  <si>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</si>
  <si>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</si>
  <si>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</si>
  <si>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</si>
  <si>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</si>
  <si>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</si>
  <si>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</si>
  <si>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</si>
  <si>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</si>
  <si>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</si>
  <si>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</si>
  <si>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</si>
  <si>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</si>
  <si>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</si>
  <si>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</si>
  <si>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</si>
  <si>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</si>
  <si>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</si>
  <si>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</si>
  <si>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</si>
  <si>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</si>
  <si>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</si>
  <si>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</si>
  <si>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</si>
  <si>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</si>
  <si>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</si>
  <si>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</si>
  <si>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</si>
  <si>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</si>
  <si>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</si>
  <si>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</si>
  <si>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</si>
  <si>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</si>
  <si>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</si>
  <si>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</si>
  <si>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</si>
  <si>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</si>
  <si>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</si>
  <si>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</si>
  <si>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</si>
  <si>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</si>
  <si>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</si>
  <si>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</si>
  <si>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</si>
  <si>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</si>
  <si>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</si>
  <si>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</si>
  <si>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</si>
  <si>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</si>
  <si>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</si>
  <si>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</si>
  <si>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</si>
  <si>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</si>
  <si>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</si>
  <si>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</si>
  <si>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</si>
  <si>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</si>
  <si>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</si>
  <si>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</si>
  <si>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</si>
  <si>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</si>
  <si>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</si>
  <si>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</si>
  <si>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</si>
  <si>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</si>
  <si>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</si>
  <si>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</si>
  <si>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</si>
  <si>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</si>
  <si>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</si>
  <si>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</si>
  <si>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</si>
  <si>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</si>
  <si>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</si>
  <si>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</si>
  <si>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</si>
  <si>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</si>
  <si>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</si>
  <si>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</si>
  <si>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</si>
  <si>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</si>
  <si>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</si>
  <si>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</si>
  <si>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</si>
  <si>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</si>
  <si>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</si>
  <si>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</si>
  <si>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</si>
  <si>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</si>
  <si>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</si>
  <si>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</si>
  <si>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</si>
  <si>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</si>
  <si>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</si>
  <si>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</si>
  <si>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</si>
  <si>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</si>
  <si>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</si>
  <si>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</si>
  <si>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</si>
  <si>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</si>
  <si>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</si>
  <si>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</si>
  <si>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</si>
  <si>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</si>
  <si>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</si>
  <si>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</si>
  <si>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</si>
  <si>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</si>
  <si>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</si>
  <si>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</si>
  <si>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</si>
  <si>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</si>
  <si>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</si>
  <si>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</si>
  <si>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</si>
  <si>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</si>
  <si>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</si>
  <si>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</si>
  <si>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</si>
  <si>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</si>
  <si>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</si>
  <si>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</si>
  <si>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</si>
  <si>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</si>
  <si>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</si>
  <si>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</si>
  <si>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</si>
  <si>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</si>
  <si>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</si>
  <si>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</si>
  <si>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</si>
  <si>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</si>
  <si>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</si>
  <si>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</si>
  <si>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</si>
  <si>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</si>
  <si>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</si>
  <si>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</si>
  <si>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</si>
  <si>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</si>
  <si>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</si>
  <si>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</si>
  <si>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</si>
  <si>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</si>
  <si>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</si>
  <si>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</si>
  <si>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</si>
  <si>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</si>
  <si>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</si>
  <si>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</si>
  <si>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</si>
  <si>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</si>
  <si>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</si>
  <si>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</si>
  <si>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</si>
  <si>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</si>
  <si>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</si>
  <si>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</si>
  <si>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</si>
  <si>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</si>
  <si>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</si>
  <si>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</si>
  <si>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</si>
  <si>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</si>
  <si>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</si>
  <si>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</si>
  <si>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</si>
  <si>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</si>
  <si>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</si>
  <si>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</si>
  <si>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</si>
  <si>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</si>
  <si>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</si>
  <si>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</si>
  <si>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</si>
  <si>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</si>
  <si>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</si>
  <si>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</si>
  <si>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</si>
  <si>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</si>
  <si>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</si>
  <si>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</si>
  <si>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</si>
  <si>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</si>
  <si>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</si>
  <si>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</si>
  <si>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</si>
  <si>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</si>
  <si>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</si>
  <si>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</si>
  <si>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</si>
  <si>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</si>
  <si>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</si>
  <si>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</si>
  <si>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</si>
  <si>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</si>
  <si>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</si>
  <si>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</si>
  <si>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</si>
  <si>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</si>
  <si>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</si>
  <si>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</si>
  <si>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</si>
  <si>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</si>
  <si>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</si>
  <si>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</si>
  <si>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</si>
  <si>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</si>
  <si>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</si>
  <si>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</si>
  <si>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</si>
  <si>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</si>
  <si>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</si>
  <si>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</si>
  <si>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</si>
  <si>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</si>
  <si>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</si>
  <si>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</si>
  <si>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</si>
  <si>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</si>
  <si>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</si>
  <si>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</si>
  <si>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</si>
  <si>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</si>
  <si>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</si>
  <si>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</si>
  <si>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</si>
  <si>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</si>
  <si>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</si>
  <si>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</si>
  <si>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</si>
  <si>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</si>
  <si>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</si>
  <si>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</si>
  <si>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</si>
  <si>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</si>
  <si>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</si>
  <si>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</si>
  <si>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</si>
  <si>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</si>
  <si>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</si>
  <si>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</si>
  <si>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</si>
  <si>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</si>
  <si>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</si>
  <si>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</si>
  <si>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</si>
  <si>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</si>
  <si>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</si>
  <si>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</si>
  <si>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</si>
  <si>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</si>
  <si>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</si>
  <si>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</si>
  <si>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</si>
  <si>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</si>
  <si>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</si>
  <si>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</si>
  <si>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</si>
  <si>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</si>
  <si>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</si>
  <si>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</si>
  <si>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</si>
  <si>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</si>
  <si>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</si>
  <si>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</si>
  <si>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</si>
  <si>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</si>
  <si>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</si>
  <si>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</si>
  <si>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</si>
  <si>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</si>
  <si>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</si>
  <si>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</si>
  <si>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</si>
  <si>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</si>
  <si>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</si>
  <si>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</si>
  <si>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</si>
  <si>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</si>
  <si>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</si>
  <si>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</si>
  <si>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</si>
  <si>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</si>
  <si>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</si>
  <si>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</si>
  <si>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</si>
  <si>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</si>
  <si>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</si>
  <si>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</si>
  <si>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</si>
  <si>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</si>
  <si>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</si>
  <si>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</si>
  <si>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</si>
  <si>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</si>
  <si>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</si>
  <si>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</si>
  <si>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</si>
  <si>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</si>
  <si>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</si>
  <si>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</si>
  <si>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</si>
  <si>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</si>
  <si>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</si>
  <si>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</si>
  <si>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</si>
  <si>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</si>
  <si>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</si>
  <si>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</si>
  <si>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</si>
  <si>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</si>
  <si>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</si>
  <si>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</si>
  <si>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</si>
  <si>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</si>
  <si>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</si>
  <si>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</si>
  <si>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</si>
  <si>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</si>
  <si>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</si>
  <si>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</si>
  <si>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</si>
  <si>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</si>
  <si>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</si>
  <si>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</si>
  <si>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</si>
  <si>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</si>
  <si>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</si>
  <si>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</si>
  <si>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</si>
  <si>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</si>
  <si>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</si>
  <si>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</si>
  <si>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</si>
  <si>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</si>
  <si>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</si>
  <si>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</si>
  <si>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</si>
  <si>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</si>
  <si>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</si>
  <si>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</si>
  <si>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</si>
  <si>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</si>
  <si>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</si>
  <si>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</si>
  <si>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</si>
  <si>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</si>
  <si>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</si>
  <si>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</si>
  <si>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</si>
  <si>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</si>
  <si>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</si>
  <si>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</si>
  <si>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</si>
  <si>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</si>
  <si>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</si>
  <si>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</si>
  <si>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</si>
  <si>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</si>
  <si>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</si>
  <si>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</si>
  <si>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</si>
  <si>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</si>
  <si>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</si>
  <si>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</si>
  <si>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</si>
  <si>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</si>
  <si>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</si>
  <si>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</si>
  <si>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</si>
  <si>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</si>
  <si>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</si>
  <si>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</si>
  <si>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</si>
  <si>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</si>
  <si>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</si>
  <si>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</si>
  <si>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</si>
  <si>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</si>
  <si>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</si>
  <si>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</si>
  <si>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</si>
  <si>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</si>
  <si>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</si>
  <si>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</si>
  <si>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</si>
  <si>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</si>
  <si>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</si>
  <si>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</si>
  <si>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</si>
  <si>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</si>
  <si>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</si>
  <si>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</si>
  <si>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</si>
  <si>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</si>
  <si>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</si>
  <si>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</si>
  <si>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</si>
  <si>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</si>
  <si>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</si>
  <si>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</si>
  <si>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</si>
  <si>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</si>
  <si>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</si>
  <si>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</si>
  <si>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</si>
  <si>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</si>
  <si>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</si>
  <si>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</si>
  <si>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</si>
  <si>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</si>
  <si>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</si>
  <si>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</si>
  <si>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</si>
  <si>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</si>
  <si>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</si>
  <si>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</si>
  <si>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</si>
  <si>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</si>
  <si>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</si>
  <si>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</si>
  <si>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</si>
  <si>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</si>
  <si>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</si>
  <si>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</si>
  <si>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</si>
  <si>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</si>
  <si>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</si>
  <si>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</si>
  <si>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</si>
  <si>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</si>
  <si>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</si>
  <si>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</si>
  <si>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</si>
  <si>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</si>
  <si>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</si>
  <si>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</si>
  <si>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</si>
  <si>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</si>
  <si>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</si>
  <si>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</si>
  <si>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</si>
  <si>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</si>
  <si>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</si>
  <si>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</si>
  <si>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</si>
  <si>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</si>
  <si>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</si>
  <si>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</si>
  <si>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</si>
  <si>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</si>
  <si>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</si>
  <si>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</si>
  <si>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</si>
  <si>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</si>
  <si>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</si>
  <si>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</si>
  <si>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</si>
  <si>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</si>
  <si>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</si>
  <si>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</si>
  <si>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</si>
  <si>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</si>
  <si>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</si>
  <si>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</si>
  <si>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</si>
  <si>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</si>
  <si>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</si>
  <si>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</si>
  <si>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</si>
  <si>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</si>
  <si>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</si>
  <si>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</si>
  <si>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</si>
  <si>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</si>
  <si>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</si>
  <si>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</si>
  <si>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</si>
  <si>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</si>
  <si>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</si>
  <si>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</si>
  <si>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</si>
  <si>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</si>
  <si>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</si>
  <si>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</si>
  <si>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</si>
  <si>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</si>
  <si>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</si>
  <si>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</si>
  <si>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</si>
  <si>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</si>
  <si>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</si>
  <si>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</si>
  <si>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</si>
  <si>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</si>
  <si>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</si>
  <si>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</si>
  <si>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</si>
  <si>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</si>
  <si>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</si>
  <si>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</si>
  <si>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</si>
  <si>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</si>
  <si>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</si>
  <si>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</si>
  <si>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</si>
  <si>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</si>
  <si>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</si>
  <si>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</si>
  <si>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</si>
  <si>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</si>
  <si>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</si>
  <si>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</si>
  <si>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</si>
  <si>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</si>
  <si>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</si>
  <si>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</si>
  <si>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</si>
  <si>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</si>
  <si>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</si>
  <si>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</si>
  <si>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</si>
  <si>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</si>
  <si>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</si>
  <si>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</si>
  <si>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</si>
  <si>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</si>
  <si>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</si>
  <si>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</si>
  <si>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</si>
  <si>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</si>
  <si>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</si>
  <si>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</si>
  <si>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</si>
  <si>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</si>
  <si>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</si>
  <si>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</si>
  <si>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</si>
  <si>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</si>
  <si>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</si>
  <si>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</si>
  <si>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</si>
  <si>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</si>
  <si>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</si>
  <si>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</si>
  <si>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</si>
  <si>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</si>
  <si>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</si>
  <si>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</si>
  <si>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</si>
  <si>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</si>
  <si>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</si>
  <si>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</si>
  <si>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</si>
  <si>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</si>
  <si>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</si>
  <si>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</si>
  <si>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</si>
  <si>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</si>
  <si>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</si>
  <si>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</si>
  <si>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</si>
  <si>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</si>
  <si>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</si>
  <si>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</si>
  <si>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</si>
  <si>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</si>
  <si>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</si>
  <si>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</si>
  <si>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</si>
  <si>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</si>
  <si>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</si>
  <si>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</si>
  <si>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</si>
  <si>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</si>
  <si>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</si>
  <si>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</si>
  <si>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</si>
  <si>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</si>
  <si>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</si>
  <si>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</si>
  <si>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</si>
  <si>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</si>
  <si>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</si>
  <si>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</si>
  <si>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</si>
  <si>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</si>
  <si>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</si>
  <si>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</si>
  <si>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</si>
  <si>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</si>
  <si>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</si>
  <si>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</si>
  <si>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</si>
  <si>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</si>
  <si>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</si>
  <si>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</si>
  <si>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</si>
  <si>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</si>
  <si>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</si>
  <si>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</si>
  <si>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</si>
  <si>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</si>
  <si>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</si>
  <si>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</si>
  <si>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</si>
  <si>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</si>
  <si>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</si>
  <si>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</si>
  <si>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</si>
  <si>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</si>
  <si>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</si>
  <si>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</si>
  <si>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</si>
  <si>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</si>
  <si>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</si>
  <si>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</si>
  <si>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</si>
  <si>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</si>
  <si>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</si>
  <si>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</si>
  <si>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</si>
  <si>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</si>
  <si>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</si>
  <si>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</si>
  <si>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</si>
  <si>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</si>
  <si>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</si>
  <si>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</si>
  <si>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</si>
  <si>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</si>
  <si>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</si>
  <si>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</si>
  <si>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</si>
  <si>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</si>
  <si>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</si>
  <si>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</si>
  <si>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</si>
  <si>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</si>
  <si>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</si>
  <si>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</si>
  <si>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</si>
  <si>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</si>
  <si>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</si>
  <si>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</si>
  <si>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</si>
  <si>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</si>
  <si>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</si>
  <si>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</si>
  <si>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</si>
  <si>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</si>
  <si>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</si>
  <si>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</si>
  <si>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</si>
  <si>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</si>
  <si>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</si>
  <si>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</si>
  <si>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</si>
  <si>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</si>
  <si>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</si>
  <si>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</si>
  <si>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</si>
  <si>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</si>
  <si>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</si>
  <si>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</si>
  <si>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</si>
  <si>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</si>
  <si>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</si>
  <si>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</si>
  <si>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</si>
  <si>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</si>
  <si>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</si>
  <si>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</si>
  <si>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</si>
  <si>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</si>
  <si>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</si>
  <si>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</si>
  <si>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</si>
  <si>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</si>
  <si>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</si>
  <si>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</si>
  <si>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</si>
  <si>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</si>
  <si>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</si>
  <si>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</si>
  <si>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</si>
  <si>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</si>
  <si>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</si>
  <si>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</si>
  <si>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</si>
  <si>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</si>
  <si>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</si>
  <si>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</si>
  <si>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</si>
  <si>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</si>
  <si>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</si>
  <si>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</si>
  <si>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</si>
  <si>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</si>
  <si>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</si>
  <si>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</si>
  <si>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</si>
  <si>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</si>
  <si>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</si>
  <si>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</si>
  <si>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</si>
  <si>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</si>
  <si>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</si>
  <si>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</si>
  <si>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</si>
  <si>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</si>
  <si>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</si>
  <si>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</si>
  <si>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</si>
  <si>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</si>
  <si>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</si>
  <si>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</si>
  <si>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</si>
  <si>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</si>
  <si>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</si>
  <si>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</si>
  <si>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</si>
  <si>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</si>
  <si>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</si>
  <si>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</si>
  <si>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</si>
  <si>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</si>
  <si>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</si>
  <si>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</si>
  <si>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</si>
  <si>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</si>
  <si>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</si>
  <si>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</si>
  <si>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</si>
  <si>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</si>
  <si>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</si>
  <si>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</si>
  <si>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</si>
  <si>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</si>
  <si>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</si>
  <si>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</si>
  <si>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</si>
  <si>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</si>
  <si>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</si>
  <si>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</si>
  <si>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</si>
  <si>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</si>
  <si>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</si>
  <si>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</si>
  <si>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</si>
  <si>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</si>
  <si>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</si>
  <si>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</si>
  <si>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</si>
  <si>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</si>
  <si>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</si>
  <si>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</si>
  <si>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</si>
  <si>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</si>
  <si>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</si>
  <si>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</si>
  <si>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</si>
  <si>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</si>
  <si>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</si>
  <si>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</si>
  <si>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</si>
  <si>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</si>
  <si>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</si>
  <si>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</si>
  <si>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</si>
  <si>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</si>
  <si>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</si>
  <si>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</si>
  <si>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</si>
  <si>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</si>
  <si>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</si>
  <si>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</si>
  <si>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</si>
  <si>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</si>
  <si>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</si>
  <si>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</si>
  <si>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</si>
  <si>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</si>
  <si>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</si>
  <si>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</si>
  <si>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</si>
  <si>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</si>
  <si>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</si>
  <si>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</si>
  <si>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</si>
  <si>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</si>
  <si>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</si>
  <si>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</si>
  <si>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</si>
  <si>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</si>
  <si>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</si>
  <si>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</si>
  <si>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</si>
  <si>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</si>
  <si>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</si>
  <si>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</si>
  <si>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</si>
  <si>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</si>
  <si>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</si>
  <si>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</si>
  <si>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</si>
  <si>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</si>
  <si>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</si>
  <si>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</si>
  <si>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</si>
  <si>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</si>
  <si>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</si>
  <si>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</si>
  <si>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</si>
  <si>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</si>
  <si>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</si>
  <si>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</si>
  <si>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</si>
  <si>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</si>
  <si>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</si>
  <si>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</si>
  <si>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</si>
  <si>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</si>
  <si>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</si>
  <si>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</si>
  <si>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</si>
  <si>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</si>
  <si>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</si>
  <si>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</si>
  <si>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</si>
  <si>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</si>
  <si>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</si>
  <si>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</si>
  <si>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</si>
  <si>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</si>
  <si>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</si>
  <si>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</si>
  <si>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</si>
  <si>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</si>
  <si>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</si>
  <si>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</si>
  <si>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</si>
  <si>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</si>
  <si>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</si>
  <si>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</si>
  <si>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</si>
  <si>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</si>
  <si>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</si>
  <si>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</si>
  <si>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</si>
  <si>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</si>
  <si>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</si>
  <si>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</si>
  <si>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</si>
  <si>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</si>
  <si>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</si>
  <si>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</si>
  <si>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</si>
  <si>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</si>
  <si>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</si>
  <si>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</si>
  <si>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</si>
  <si>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</si>
  <si>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</si>
  <si>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</si>
  <si>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</si>
  <si>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</si>
  <si>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</si>
  <si>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</si>
  <si>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</si>
  <si>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</si>
  <si>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</si>
  <si>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</si>
  <si>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</si>
  <si>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</si>
  <si>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</si>
  <si>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</si>
  <si>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</si>
  <si>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</si>
  <si>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</si>
  <si>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</si>
  <si>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</si>
  <si>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</si>
  <si>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</si>
  <si>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</si>
  <si>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</si>
  <si>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</si>
  <si>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</si>
  <si>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</si>
  <si>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</si>
  <si>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</si>
  <si>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</si>
  <si>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</si>
  <si>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</si>
  <si>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</si>
  <si>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</si>
  <si>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</si>
  <si>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</si>
  <si>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</si>
  <si>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</si>
  <si>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</si>
  <si>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</si>
  <si>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</si>
  <si>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</si>
  <si>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</si>
  <si>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</si>
  <si>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</si>
  <si>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</si>
  <si>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</si>
  <si>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</si>
  <si>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</si>
  <si>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</si>
  <si>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</si>
  <si>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</si>
  <si>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</si>
  <si>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</si>
  <si>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</si>
  <si>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</si>
  <si>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</si>
  <si>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</si>
  <si>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</si>
  <si>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</si>
  <si>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</si>
  <si>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</si>
  <si>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</si>
  <si>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</si>
  <si>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</si>
  <si>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</si>
  <si>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</si>
  <si>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</si>
  <si>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</si>
  <si>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</si>
  <si>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</si>
  <si>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</si>
  <si>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</si>
  <si>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</si>
  <si>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</si>
  <si>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</si>
  <si>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</si>
  <si>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</si>
  <si>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</si>
  <si>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</si>
  <si>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</si>
  <si>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</si>
  <si>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</si>
  <si>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</si>
  <si>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</si>
  <si>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</si>
  <si>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</si>
  <si>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</si>
  <si>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</si>
  <si>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</si>
  <si>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</si>
  <si>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</si>
  <si>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</si>
  <si>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</si>
  <si>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</si>
  <si>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</si>
  <si>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</si>
  <si>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</si>
  <si>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</si>
  <si>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</si>
  <si>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</si>
  <si>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</si>
  <si>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</si>
  <si>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</si>
  <si>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</si>
  <si>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</si>
  <si>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</si>
  <si>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</si>
  <si>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</si>
  <si>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</si>
  <si>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</si>
  <si>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</si>
  <si>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</si>
  <si>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</si>
  <si>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</si>
  <si>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</si>
  <si>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</si>
  <si>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</si>
  <si>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</si>
  <si>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</si>
  <si>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</si>
  <si>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</si>
  <si>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</si>
  <si>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</si>
  <si>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</si>
  <si>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</si>
  <si>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</si>
  <si>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</si>
  <si>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</si>
  <si>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</si>
  <si>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</si>
  <si>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</si>
  <si>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</si>
  <si>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</si>
  <si>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</si>
  <si>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</si>
  <si>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</si>
  <si>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</si>
  <si>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</si>
  <si>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</si>
  <si>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</si>
  <si>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</si>
  <si>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</si>
  <si>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</si>
  <si>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</si>
  <si>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</si>
  <si>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</si>
  <si>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</si>
  <si>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</si>
  <si>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</si>
  <si>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</si>
  <si>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</si>
  <si>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</si>
  <si>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</si>
  <si>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</si>
  <si>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</si>
  <si>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</si>
  <si>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</si>
  <si>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</si>
  <si>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</si>
  <si>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</si>
  <si>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</si>
  <si>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</si>
  <si>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</si>
  <si>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</si>
  <si>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</si>
  <si>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</si>
  <si>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</si>
  <si>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</si>
  <si>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</si>
  <si>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</si>
  <si>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</si>
  <si>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</si>
  <si>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</si>
  <si>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</si>
  <si>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</si>
  <si>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</si>
  <si>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</si>
  <si>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</si>
  <si>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</si>
  <si>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</si>
  <si>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</si>
  <si>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</si>
  <si>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</si>
  <si>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</si>
  <si>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</si>
  <si>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</si>
  <si>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</si>
  <si>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</si>
  <si>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</si>
  <si>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</si>
  <si>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</si>
  <si>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</si>
  <si>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</si>
  <si>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</si>
  <si>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</si>
  <si>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</si>
  <si>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</si>
  <si>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</si>
  <si>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</si>
  <si>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</si>
  <si>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</si>
  <si>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</si>
  <si>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</si>
  <si>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</si>
  <si>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</si>
  <si>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</si>
  <si>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</si>
  <si>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</si>
  <si>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</si>
  <si>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</si>
  <si>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</si>
  <si>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</si>
  <si>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</si>
  <si>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</si>
  <si>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</si>
  <si>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</si>
  <si>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</si>
  <si>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</si>
  <si>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</si>
  <si>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</si>
  <si>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</si>
  <si>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</si>
  <si>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</si>
  <si>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</si>
  <si>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</si>
  <si>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</si>
  <si>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</si>
  <si>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</si>
  <si>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</si>
  <si>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</si>
  <si>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</si>
  <si>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</si>
  <si>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</si>
  <si>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</si>
  <si>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</si>
  <si>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</si>
  <si>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</si>
  <si>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</si>
  <si>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</si>
  <si>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</si>
  <si>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</si>
  <si>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</si>
  <si>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</si>
  <si>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</si>
  <si>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</si>
  <si>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</si>
  <si>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</si>
  <si>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</si>
  <si>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</si>
  <si>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</si>
  <si>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</si>
  <si>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</si>
  <si>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</si>
  <si>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</si>
  <si>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</si>
  <si>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</si>
  <si>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</si>
  <si>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</si>
  <si>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</si>
  <si>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</si>
  <si>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</si>
  <si>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</si>
  <si>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</si>
  <si>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</si>
  <si>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</si>
  <si>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</si>
  <si>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</si>
  <si>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</si>
  <si>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</si>
  <si>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</si>
  <si>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</si>
  <si>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</si>
  <si>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</si>
  <si>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</si>
  <si>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</si>
  <si>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</si>
  <si>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</si>
  <si>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</si>
  <si>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</si>
  <si>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</si>
  <si>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</si>
  <si>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</si>
  <si>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</si>
  <si>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</si>
  <si>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</si>
  <si>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</si>
  <si>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</si>
  <si>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</si>
  <si>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</si>
  <si>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</si>
  <si>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</si>
  <si>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</si>
  <si>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</si>
  <si>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</si>
  <si>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</si>
  <si>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</si>
  <si>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</si>
  <si>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</si>
  <si>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</si>
  <si>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</si>
  <si>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</si>
  <si>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</si>
  <si>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</si>
  <si>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</si>
  <si>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</si>
  <si>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</si>
  <si>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</si>
  <si>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</si>
  <si>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</si>
  <si>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</si>
  <si>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</si>
  <si>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</si>
  <si>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</si>
  <si>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</si>
  <si>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</si>
  <si>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</si>
  <si>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</si>
  <si>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</si>
  <si>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</si>
  <si>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</si>
  <si>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</si>
  <si>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</si>
  <si>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</si>
  <si>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</si>
  <si>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</si>
  <si>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</si>
  <si>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</si>
  <si>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</si>
  <si>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</si>
  <si>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</si>
  <si>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</si>
  <si>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</si>
  <si>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</si>
  <si>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</si>
  <si>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</si>
  <si>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</si>
  <si>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</si>
  <si>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</si>
  <si>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</si>
  <si>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</si>
  <si>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</si>
  <si>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</si>
  <si>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</si>
  <si>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</si>
  <si>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</si>
  <si>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</si>
  <si>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</si>
  <si>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</si>
  <si>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</si>
  <si>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</si>
  <si>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</si>
  <si>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</si>
  <si>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</si>
  <si>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</si>
  <si>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</si>
  <si>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</si>
  <si>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</si>
  <si>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</si>
  <si>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</si>
  <si>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</si>
  <si>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</si>
  <si>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</si>
  <si>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</si>
  <si>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</si>
  <si>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</si>
  <si>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</si>
  <si>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</si>
  <si>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</si>
  <si>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</si>
  <si>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</si>
  <si>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</si>
  <si>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</si>
  <si>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</si>
  <si>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</si>
  <si>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</si>
  <si>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</si>
  <si>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</si>
  <si>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</si>
  <si>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</si>
  <si>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</si>
  <si>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</si>
  <si>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</si>
  <si>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</si>
  <si>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</si>
  <si>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</si>
  <si>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</si>
  <si>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</si>
  <si>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</si>
  <si>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</si>
  <si>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</si>
  <si>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</si>
  <si>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</si>
  <si>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</si>
  <si>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</si>
  <si>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</si>
  <si>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</si>
  <si>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</si>
  <si>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</si>
  <si>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</si>
  <si>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</si>
  <si>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</si>
  <si>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</si>
  <si>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</si>
  <si>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</si>
  <si>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</si>
  <si>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</si>
  <si>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</si>
  <si>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</si>
  <si>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</si>
  <si>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</si>
  <si>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</si>
  <si>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</si>
  <si>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</si>
  <si>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</si>
  <si>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</si>
  <si>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</si>
  <si>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</si>
  <si>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</si>
  <si>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</si>
  <si>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</si>
  <si>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</si>
  <si>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</si>
  <si>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</si>
  <si>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</si>
  <si>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</si>
  <si>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</si>
  <si>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</si>
  <si>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</si>
  <si>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</si>
  <si>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</si>
  <si>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</si>
  <si>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</si>
  <si>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</si>
  <si>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</si>
  <si>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</si>
  <si>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</si>
  <si>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</si>
  <si>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</si>
  <si>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</si>
  <si>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</si>
  <si>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</si>
  <si>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</si>
  <si>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</si>
  <si>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</si>
  <si>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</si>
  <si>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</si>
  <si>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</si>
  <si>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</si>
  <si>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</si>
  <si>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</si>
  <si>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</si>
  <si>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</si>
  <si>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</si>
  <si>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</si>
  <si>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</si>
  <si>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</si>
  <si>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</si>
  <si>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</si>
  <si>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</si>
  <si>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</si>
  <si>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</si>
  <si>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</si>
  <si>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</si>
  <si>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</si>
  <si>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</si>
  <si>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</si>
  <si>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</si>
  <si>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</si>
  <si>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</si>
  <si>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</si>
  <si>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</si>
  <si>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</si>
  <si>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</si>
  <si>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</si>
  <si>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</si>
  <si>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</si>
  <si>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</si>
  <si>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</si>
  <si>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</si>
  <si>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</si>
  <si>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</si>
  <si>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</si>
  <si>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</si>
  <si>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</si>
  <si>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</si>
  <si>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</si>
  <si>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</si>
  <si>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</si>
  <si>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</si>
  <si>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</si>
  <si>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</si>
  <si>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</si>
  <si>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</si>
  <si>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</si>
  <si>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</si>
  <si>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</si>
  <si>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</si>
  <si>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</si>
  <si>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</si>
  <si>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</si>
  <si>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</si>
  <si>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</si>
  <si>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</si>
  <si>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</si>
  <si>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</si>
  <si>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</si>
  <si>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</si>
  <si>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</si>
  <si>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</si>
  <si>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</si>
  <si>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</si>
  <si>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</si>
  <si>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</si>
  <si>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</si>
  <si>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</si>
  <si>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</si>
  <si>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</si>
  <si>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</si>
  <si>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</si>
  <si>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</si>
  <si>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</si>
  <si>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</si>
  <si>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</si>
  <si>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</si>
  <si>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</si>
  <si>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</si>
  <si>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</si>
  <si>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</si>
  <si>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</si>
  <si>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</si>
  <si>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</si>
  <si>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</si>
  <si>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</si>
  <si>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</si>
  <si>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</si>
  <si>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</si>
  <si>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</si>
  <si>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</si>
  <si>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</si>
  <si>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</si>
  <si>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</si>
  <si>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</si>
  <si>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</si>
  <si>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</si>
  <si>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</si>
  <si>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</si>
  <si>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</si>
  <si>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</si>
  <si>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</si>
  <si>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</si>
  <si>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</si>
  <si>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</si>
  <si>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</si>
  <si>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</si>
  <si>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</si>
  <si>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</si>
  <si>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</si>
  <si>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</si>
  <si>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</si>
  <si>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</si>
  <si>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</si>
  <si>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</si>
  <si>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</si>
  <si>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</si>
  <si>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</si>
  <si>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</si>
  <si>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</si>
  <si>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</si>
  <si>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</si>
  <si>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</si>
  <si>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</si>
  <si>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</si>
  <si>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</si>
  <si>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</si>
  <si>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</si>
  <si>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</si>
  <si>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</si>
  <si>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</si>
  <si>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</si>
  <si>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</si>
  <si>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</si>
  <si>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</si>
  <si>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</si>
  <si>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</si>
  <si>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</si>
  <si>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</si>
  <si>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</si>
  <si>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</si>
  <si>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</si>
  <si>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</si>
  <si>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</si>
  <si>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</si>
  <si>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</si>
  <si>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</si>
  <si>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</si>
  <si>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</si>
  <si>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</si>
  <si>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</si>
  <si>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</si>
  <si>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</si>
  <si>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</si>
  <si>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</si>
  <si>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</si>
  <si>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</si>
  <si>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</si>
  <si>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</si>
  <si>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</si>
  <si>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</si>
  <si>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</si>
  <si>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</si>
  <si>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</si>
  <si>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</si>
  <si>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</si>
  <si>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</si>
  <si>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</si>
  <si>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</si>
  <si>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</si>
  <si>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</si>
  <si>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</si>
  <si>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</si>
  <si>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</si>
  <si>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</si>
  <si>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</si>
  <si>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</si>
  <si>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</si>
  <si>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</si>
  <si>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</si>
  <si>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</si>
  <si>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</si>
  <si>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</si>
  <si>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</si>
  <si>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</si>
  <si>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</si>
  <si>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</si>
  <si>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</si>
  <si>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</si>
  <si>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</si>
  <si>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</si>
  <si>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</si>
  <si>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</si>
  <si>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</si>
  <si>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</si>
  <si>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</si>
  <si>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Quality Validation Report</t>
  </si>
  <si>
    <t>DecodeLabs | Project 1: Data Cleaning &amp; Preparation</t>
  </si>
  <si>
    <t>1. Unique Identifier Check (OrderID)</t>
  </si>
  <si>
    <t>Metric</t>
  </si>
  <si>
    <t>Result</t>
  </si>
  <si>
    <t>Total Rows</t>
  </si>
  <si>
    <t>Unique OrderIDs</t>
  </si>
  <si>
    <t>Duplicate Count</t>
  </si>
  <si>
    <t>Duplicate Error Rate</t>
  </si>
  <si>
    <t>Status</t>
  </si>
  <si>
    <t>2. Unique Identifier Check (TrackingNumber)</t>
  </si>
  <si>
    <t>Unique TrackingNumbers</t>
  </si>
  <si>
    <t>3. Date Format Validation</t>
  </si>
  <si>
    <t>Total Date Entries</t>
  </si>
  <si>
    <t>Valid Date Values</t>
  </si>
  <si>
    <t>Invalid/Text Dates</t>
  </si>
  <si>
    <t>Dates Outside Expected Range (2023-2025)</t>
  </si>
  <si>
    <t>4. Missing Value Audit (All Columns)</t>
  </si>
  <si>
    <t>Column</t>
  </si>
  <si>
    <t>Missing Count</t>
  </si>
  <si>
    <t>Missing %</t>
  </si>
  <si>
    <t>Note: CouponCode is the only column with missing values (309 blanks, 25.8%). This is a valid business state, not a data error, it represents orders placed without a coupon. In the Cleaned Data sheet, these blanks are labeled 'No Coupon' for clarity rather than left blank.</t>
  </si>
  <si>
    <t>Overall Project Scorecard</t>
  </si>
  <si>
    <t>✔ Unique Identifiers: 0% duplicate error rate (OrderID and TrackingNumber both fully unique)
✔ Date Formats: 0% format error rate (all 1,200 dates valid and within expected range)
✔ Missing Values: identified and handled (CouponCode blanks labeled "No Coupon")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</si>
</sst>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8"/>
      <color rgb="FF1A1A1A"/>
      <name val="Arial"/>
      <charset val="1"/>
    </font>
    <font>
      <i/>
      <sz val="10"/>
      <color rgb="FF6B6B6B"/>
      <name val="Arial"/>
      <charset val="1"/>
    </font>
    <font>
      <b/>
      <sz val="13"/>
      <color rgb="FF0F8B8D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E714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8B8D"/>
        <bgColor rgb="FF339966"/>
      </patternFill>
    </fill>
    <fill>
      <patternFill patternType="solid">
        <fgColor rgb="FFE8F5E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3" borderId="0" xfId="0" applyFont="1" applyFill="1" applyBorder="1" applyAlignment="1">
      <alignment vertical="top" wrapText="1"/>
    </xf>
    <xf numFmtId="0" fontId="3" fillId="0" borderId="0" xfId="0" applyFont="1" applyBorder="1" applyAlignment="1"/>
    <xf numFmtId="0" fontId="2" fillId="0" borderId="0" xfId="0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/>
    <xf numFmtId="0" fontId="3" fillId="0" borderId="0" xfId="0" applyFont="1" applyAlignment="1"/>
    <xf numFmtId="0" fontId="4" fillId="0" borderId="0" xfId="0" applyFont="1" applyAlignment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6" fillId="0" borderId="1" xfId="0" applyFont="1" applyBorder="1" applyAlignment="1"/>
    <xf numFmtId="165" fontId="6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0C0C0"/>
      <rgbColor rgb="FF808080"/>
      <rgbColor rgb="FF9999FF"/>
      <rgbColor rgb="FF993366"/>
      <rgbColor rgb="FFE8F5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" displayName="RawData" ref="A1:N1201" totalsRowShown="0">
  <autoFilter ref="A1:N1201" xr:uid="{00000000-0009-0000-0100-000002000000}"/>
  <tableColumns count="14">
    <tableColumn id="1" xr3:uid="{00000000-0010-0000-0000-000001000000}" name="OrderID"/>
    <tableColumn id="2" xr3:uid="{00000000-0010-0000-0000-000002000000}" name="Date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edData" displayName="CleanedData" ref="A1:N1201" totalsRowShown="0">
  <autoFilter ref="A1:N1201" xr:uid="{00000000-0009-0000-0100-000001000000}"/>
  <tableColumns count="14">
    <tableColumn id="1" xr3:uid="{00000000-0010-0000-0100-000001000000}" name="OrderID"/>
    <tableColumn id="2" xr3:uid="{00000000-0010-0000-0100-000002000000}" name="Date"/>
    <tableColumn id="3" xr3:uid="{00000000-0010-0000-0100-000003000000}" name="CustomerID"/>
    <tableColumn id="4" xr3:uid="{00000000-0010-0000-0100-000004000000}" name="Product"/>
    <tableColumn id="5" xr3:uid="{00000000-0010-0000-0100-000005000000}" name="Quantity"/>
    <tableColumn id="6" xr3:uid="{00000000-0010-0000-0100-000006000000}" name="UnitPrice"/>
    <tableColumn id="7" xr3:uid="{00000000-0010-0000-0100-000007000000}" name="ShippingAddress"/>
    <tableColumn id="8" xr3:uid="{00000000-0010-0000-0100-000008000000}" name="PaymentMethod"/>
    <tableColumn id="9" xr3:uid="{00000000-0010-0000-0100-000009000000}" name="OrderStatus"/>
    <tableColumn id="10" xr3:uid="{00000000-0010-0000-0100-00000A000000}" name="TrackingNumber"/>
    <tableColumn id="11" xr3:uid="{00000000-0010-0000-0100-00000B000000}" name="ItemsInCart"/>
    <tableColumn id="12" xr3:uid="{00000000-0010-0000-0100-00000C000000}" name="CouponCode"/>
    <tableColumn id="13" xr3:uid="{00000000-0010-0000-0100-00000D000000}" name="ReferralSource"/>
    <tableColumn id="14" xr3:uid="{00000000-0010-0000-0100-00000E000000}" name="Total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K1" zoomScaleNormal="100" workbookViewId="0">
      <pane ySplit="1" topLeftCell="K2" activePane="bottomLeft" state="frozen"/>
      <selection pane="bottomLeft" activeCell="C1" sqref="C1:C1048576"/>
    </sheetView>
  </sheetViews>
  <sheetFormatPr defaultColWidth="8.7421875" defaultRowHeight="15" x14ac:dyDescent="0.2"/>
  <cols>
    <col min="1" max="2" width="11.97265625" style="4" customWidth="1"/>
    <col min="3" max="3" width="11.02734375" style="4" customWidth="1"/>
    <col min="4" max="5" width="9.01171875" style="4" customWidth="1"/>
    <col min="6" max="6" width="9.953125" style="4" customWidth="1"/>
    <col min="7" max="7" width="16.0078125" style="4" customWidth="1"/>
    <col min="8" max="8" width="13.046875" style="4" customWidth="1"/>
    <col min="9" max="9" width="11.02734375" style="4" customWidth="1"/>
    <col min="10" max="10" width="13.046875" style="4" customWidth="1"/>
    <col min="11" max="12" width="11.02734375" style="4" customWidth="1"/>
    <col min="13" max="13" width="13.98828125" style="4" customWidth="1"/>
    <col min="14" max="14" width="11.02734375" style="4" customWidth="1"/>
  </cols>
  <sheetData>
    <row r="1" spans="1:14" ht="1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5" customHeight="1" x14ac:dyDescent="0.2">
      <c r="A2" s="4" t="s">
        <v>14</v>
      </c>
      <c r="B2" s="6">
        <v>44930</v>
      </c>
      <c r="C2" s="4" t="s">
        <v>15</v>
      </c>
      <c r="D2" s="4" t="s">
        <v>16</v>
      </c>
      <c r="E2" s="4">
        <v>5</v>
      </c>
      <c r="F2" s="4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</v>
      </c>
      <c r="L2" s="4" t="s">
        <v>21</v>
      </c>
      <c r="M2" s="4" t="s">
        <v>22</v>
      </c>
      <c r="N2" s="4">
        <v>2853.1</v>
      </c>
    </row>
    <row r="3" spans="1:14" ht="15" customHeight="1" x14ac:dyDescent="0.2">
      <c r="A3" s="4" t="s">
        <v>23</v>
      </c>
      <c r="B3" s="6">
        <v>45527</v>
      </c>
      <c r="C3" s="4" t="s">
        <v>24</v>
      </c>
      <c r="D3" s="4" t="s">
        <v>25</v>
      </c>
      <c r="E3" s="4">
        <v>2</v>
      </c>
      <c r="F3" s="4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</v>
      </c>
      <c r="L3" s="4" t="s">
        <v>21</v>
      </c>
      <c r="M3" s="4" t="s">
        <v>29</v>
      </c>
      <c r="N3" s="4">
        <v>302.7</v>
      </c>
    </row>
    <row r="4" spans="1:14" ht="15" customHeight="1" x14ac:dyDescent="0.2">
      <c r="A4" s="4" t="s">
        <v>30</v>
      </c>
      <c r="B4" s="6">
        <v>45349</v>
      </c>
      <c r="C4" s="4" t="s">
        <v>31</v>
      </c>
      <c r="D4" s="4" t="s">
        <v>32</v>
      </c>
      <c r="E4" s="4">
        <v>5</v>
      </c>
      <c r="F4" s="4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</v>
      </c>
      <c r="L4" s="4" t="s">
        <v>37</v>
      </c>
      <c r="M4" s="4" t="s">
        <v>38</v>
      </c>
      <c r="N4" s="4">
        <v>2753.4</v>
      </c>
    </row>
    <row r="5" spans="1:14" ht="15" customHeight="1" x14ac:dyDescent="0.2">
      <c r="A5" s="4" t="s">
        <v>39</v>
      </c>
      <c r="B5" s="6">
        <v>45214</v>
      </c>
      <c r="C5" s="4" t="s">
        <v>40</v>
      </c>
      <c r="D5" s="4" t="s">
        <v>41</v>
      </c>
      <c r="E5" s="4">
        <v>1</v>
      </c>
      <c r="F5" s="4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</v>
      </c>
      <c r="L5" s="4" t="s">
        <v>21</v>
      </c>
      <c r="M5" s="4" t="s">
        <v>45</v>
      </c>
      <c r="N5" s="4">
        <v>273.19</v>
      </c>
    </row>
    <row r="6" spans="1:14" ht="15" customHeight="1" x14ac:dyDescent="0.2">
      <c r="A6" s="4" t="s">
        <v>46</v>
      </c>
      <c r="B6" s="6">
        <v>45785</v>
      </c>
      <c r="C6" s="4" t="s">
        <v>47</v>
      </c>
      <c r="D6" s="4" t="s">
        <v>48</v>
      </c>
      <c r="E6" s="4">
        <v>4</v>
      </c>
      <c r="F6" s="4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</v>
      </c>
      <c r="L6" s="4" t="s">
        <v>21</v>
      </c>
      <c r="M6" s="4" t="s">
        <v>38</v>
      </c>
      <c r="N6" s="4">
        <v>2504.04</v>
      </c>
    </row>
    <row r="7" spans="1:14" ht="15" customHeight="1" x14ac:dyDescent="0.2">
      <c r="A7" s="4" t="s">
        <v>52</v>
      </c>
      <c r="B7" s="6">
        <v>45222</v>
      </c>
      <c r="C7" s="4" t="s">
        <v>53</v>
      </c>
      <c r="D7" s="4" t="s">
        <v>25</v>
      </c>
      <c r="E7" s="4">
        <v>2</v>
      </c>
      <c r="F7" s="4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</v>
      </c>
      <c r="L7" s="4" t="s">
        <v>21</v>
      </c>
      <c r="M7" s="4" t="s">
        <v>22</v>
      </c>
      <c r="N7" s="4">
        <v>491.72</v>
      </c>
    </row>
    <row r="8" spans="1:14" ht="15" customHeight="1" x14ac:dyDescent="0.2">
      <c r="A8" s="4" t="s">
        <v>56</v>
      </c>
      <c r="B8" s="6">
        <v>45825</v>
      </c>
      <c r="C8" s="4" t="s">
        <v>57</v>
      </c>
      <c r="D8" s="4" t="s">
        <v>58</v>
      </c>
      <c r="E8" s="4">
        <v>1</v>
      </c>
      <c r="F8" s="4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</v>
      </c>
      <c r="L8" s="4" t="s">
        <v>21</v>
      </c>
      <c r="M8" s="4" t="s">
        <v>45</v>
      </c>
      <c r="N8" s="4">
        <v>664.42</v>
      </c>
    </row>
    <row r="9" spans="1:14" ht="15" customHeight="1" x14ac:dyDescent="0.2">
      <c r="A9" s="4" t="s">
        <v>62</v>
      </c>
      <c r="B9" s="6">
        <v>45058</v>
      </c>
      <c r="C9" s="4" t="s">
        <v>63</v>
      </c>
      <c r="D9" s="4" t="s">
        <v>16</v>
      </c>
      <c r="E9" s="4">
        <v>5</v>
      </c>
      <c r="F9" s="4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</v>
      </c>
      <c r="L9" s="4" t="s">
        <v>37</v>
      </c>
      <c r="M9" s="4" t="s">
        <v>45</v>
      </c>
      <c r="N9" s="4">
        <v>747.75</v>
      </c>
    </row>
    <row r="10" spans="1:14" ht="15" customHeight="1" x14ac:dyDescent="0.2">
      <c r="A10" s="4" t="s">
        <v>67</v>
      </c>
      <c r="B10" s="6">
        <v>45749</v>
      </c>
      <c r="C10" s="4" t="s">
        <v>68</v>
      </c>
      <c r="D10" s="4" t="s">
        <v>25</v>
      </c>
      <c r="E10" s="4">
        <v>2</v>
      </c>
      <c r="F10" s="4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</v>
      </c>
      <c r="M10" s="4" t="s">
        <v>38</v>
      </c>
      <c r="N10" s="4">
        <v>268.56</v>
      </c>
    </row>
    <row r="11" spans="1:14" ht="15" customHeight="1" x14ac:dyDescent="0.2">
      <c r="A11" s="4" t="s">
        <v>71</v>
      </c>
      <c r="B11" s="6">
        <v>45251</v>
      </c>
      <c r="C11" s="4" t="s">
        <v>72</v>
      </c>
      <c r="D11" s="4" t="s">
        <v>73</v>
      </c>
      <c r="E11" s="4">
        <v>4</v>
      </c>
      <c r="F11" s="4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4">
        <v>6</v>
      </c>
      <c r="L11" s="4" t="s">
        <v>21</v>
      </c>
      <c r="M11" s="4" t="s">
        <v>76</v>
      </c>
      <c r="N11" s="4">
        <v>2037.52</v>
      </c>
    </row>
    <row r="12" spans="1:14" ht="15" customHeight="1" x14ac:dyDescent="0.2">
      <c r="A12" s="4" t="s">
        <v>77</v>
      </c>
      <c r="B12" s="6">
        <v>45289</v>
      </c>
      <c r="C12" s="4" t="s">
        <v>78</v>
      </c>
      <c r="D12" s="4" t="s">
        <v>32</v>
      </c>
      <c r="E12" s="4">
        <v>5</v>
      </c>
      <c r="F12" s="4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4">
        <v>9</v>
      </c>
      <c r="L12" s="4" t="s">
        <v>81</v>
      </c>
      <c r="M12" s="4" t="s">
        <v>22</v>
      </c>
      <c r="N12" s="4">
        <v>3129.85</v>
      </c>
    </row>
    <row r="13" spans="1:14" ht="15" customHeight="1" x14ac:dyDescent="0.2">
      <c r="A13" s="4" t="s">
        <v>82</v>
      </c>
      <c r="B13" s="6">
        <v>45339</v>
      </c>
      <c r="C13" s="4" t="s">
        <v>83</v>
      </c>
      <c r="D13" s="4" t="s">
        <v>16</v>
      </c>
      <c r="E13" s="4">
        <v>3</v>
      </c>
      <c r="F13" s="4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4">
        <v>7</v>
      </c>
      <c r="L13" s="4" t="s">
        <v>21</v>
      </c>
      <c r="M13" s="4" t="s">
        <v>38</v>
      </c>
      <c r="N13" s="4">
        <v>147.41999999999999</v>
      </c>
    </row>
    <row r="14" spans="1:14" ht="15" customHeight="1" x14ac:dyDescent="0.2">
      <c r="A14" s="4" t="s">
        <v>86</v>
      </c>
      <c r="B14" s="6">
        <v>45580</v>
      </c>
      <c r="C14" s="4" t="s">
        <v>87</v>
      </c>
      <c r="D14" s="4" t="s">
        <v>16</v>
      </c>
      <c r="E14" s="4">
        <v>2</v>
      </c>
      <c r="F14" s="4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4">
        <v>6</v>
      </c>
      <c r="L14" s="4" t="s">
        <v>37</v>
      </c>
      <c r="M14" s="4" t="s">
        <v>29</v>
      </c>
      <c r="N14" s="4">
        <v>361</v>
      </c>
    </row>
    <row r="15" spans="1:14" ht="15" customHeight="1" x14ac:dyDescent="0.2">
      <c r="A15" s="4" t="s">
        <v>91</v>
      </c>
      <c r="B15" s="6">
        <v>45168</v>
      </c>
      <c r="C15" s="4" t="s">
        <v>92</v>
      </c>
      <c r="D15" s="4" t="s">
        <v>58</v>
      </c>
      <c r="E15" s="4">
        <v>3</v>
      </c>
      <c r="F15" s="4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4">
        <v>4</v>
      </c>
      <c r="L15" s="4" t="s">
        <v>37</v>
      </c>
      <c r="M15" s="4" t="s">
        <v>45</v>
      </c>
      <c r="N15" s="4">
        <v>604.47</v>
      </c>
    </row>
    <row r="16" spans="1:14" ht="15" customHeight="1" x14ac:dyDescent="0.2">
      <c r="A16" s="4" t="s">
        <v>95</v>
      </c>
      <c r="B16" s="6">
        <v>45012</v>
      </c>
      <c r="C16" s="4" t="s">
        <v>96</v>
      </c>
      <c r="D16" s="4" t="s">
        <v>32</v>
      </c>
      <c r="E16" s="4">
        <v>2</v>
      </c>
      <c r="F16" s="4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4">
        <v>3</v>
      </c>
      <c r="L16" s="4" t="s">
        <v>21</v>
      </c>
      <c r="M16" s="4" t="s">
        <v>22</v>
      </c>
      <c r="N16" s="4">
        <v>786.66</v>
      </c>
    </row>
    <row r="17" spans="1:14" ht="15" customHeight="1" x14ac:dyDescent="0.2">
      <c r="A17" s="4" t="s">
        <v>99</v>
      </c>
      <c r="B17" s="6">
        <v>45124</v>
      </c>
      <c r="C17" s="4" t="s">
        <v>100</v>
      </c>
      <c r="D17" s="4" t="s">
        <v>48</v>
      </c>
      <c r="E17" s="4">
        <v>1</v>
      </c>
      <c r="F17" s="4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4">
        <v>3</v>
      </c>
      <c r="M17" s="4" t="s">
        <v>76</v>
      </c>
      <c r="N17" s="4">
        <v>473.96</v>
      </c>
    </row>
    <row r="18" spans="1:14" ht="15" customHeight="1" x14ac:dyDescent="0.2">
      <c r="A18" s="4" t="s">
        <v>103</v>
      </c>
      <c r="B18" s="6">
        <v>44950</v>
      </c>
      <c r="C18" s="4" t="s">
        <v>104</v>
      </c>
      <c r="D18" s="4" t="s">
        <v>48</v>
      </c>
      <c r="E18" s="4">
        <v>2</v>
      </c>
      <c r="F18" s="4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4">
        <v>3</v>
      </c>
      <c r="L18" s="4" t="s">
        <v>37</v>
      </c>
      <c r="M18" s="4" t="s">
        <v>38</v>
      </c>
      <c r="N18" s="4">
        <v>1067.6199999999999</v>
      </c>
    </row>
    <row r="19" spans="1:14" ht="15" customHeight="1" x14ac:dyDescent="0.2">
      <c r="A19" s="4" t="s">
        <v>107</v>
      </c>
      <c r="B19" s="6">
        <v>45353</v>
      </c>
      <c r="C19" s="4" t="s">
        <v>108</v>
      </c>
      <c r="D19" s="4" t="s">
        <v>32</v>
      </c>
      <c r="E19" s="4">
        <v>1</v>
      </c>
      <c r="F19" s="4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4">
        <v>3</v>
      </c>
      <c r="M19" s="4" t="s">
        <v>29</v>
      </c>
      <c r="N19" s="4">
        <v>423.4</v>
      </c>
    </row>
    <row r="20" spans="1:14" ht="15" customHeight="1" x14ac:dyDescent="0.2">
      <c r="A20" s="4" t="s">
        <v>111</v>
      </c>
      <c r="B20" s="6">
        <v>45742</v>
      </c>
      <c r="C20" s="4" t="s">
        <v>112</v>
      </c>
      <c r="D20" s="4" t="s">
        <v>73</v>
      </c>
      <c r="E20" s="4">
        <v>1</v>
      </c>
      <c r="F20" s="4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4">
        <v>3</v>
      </c>
      <c r="L20" s="4" t="s">
        <v>21</v>
      </c>
      <c r="M20" s="4" t="s">
        <v>45</v>
      </c>
      <c r="N20" s="4">
        <v>431.44</v>
      </c>
    </row>
    <row r="21" spans="1:14" ht="15" customHeight="1" x14ac:dyDescent="0.2">
      <c r="A21" s="4" t="s">
        <v>115</v>
      </c>
      <c r="B21" s="6">
        <v>44949</v>
      </c>
      <c r="C21" s="4" t="s">
        <v>116</v>
      </c>
      <c r="D21" s="4" t="s">
        <v>16</v>
      </c>
      <c r="E21" s="4">
        <v>5</v>
      </c>
      <c r="F21" s="4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4">
        <v>9</v>
      </c>
      <c r="L21" s="4" t="s">
        <v>21</v>
      </c>
      <c r="M21" s="4" t="s">
        <v>76</v>
      </c>
      <c r="N21" s="4">
        <v>1120</v>
      </c>
    </row>
    <row r="22" spans="1:14" ht="15" customHeight="1" x14ac:dyDescent="0.2">
      <c r="A22" s="4" t="s">
        <v>119</v>
      </c>
      <c r="B22" s="6">
        <v>45054</v>
      </c>
      <c r="C22" s="4" t="s">
        <v>120</v>
      </c>
      <c r="D22" s="4" t="s">
        <v>41</v>
      </c>
      <c r="E22" s="4">
        <v>5</v>
      </c>
      <c r="F22" s="4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4">
        <v>9</v>
      </c>
      <c r="L22" s="4" t="s">
        <v>81</v>
      </c>
      <c r="M22" s="4" t="s">
        <v>22</v>
      </c>
      <c r="N22" s="4">
        <v>312.55</v>
      </c>
    </row>
    <row r="23" spans="1:14" ht="15" customHeight="1" x14ac:dyDescent="0.2">
      <c r="A23" s="4" t="s">
        <v>123</v>
      </c>
      <c r="B23" s="6">
        <v>45613</v>
      </c>
      <c r="C23" s="4" t="s">
        <v>124</v>
      </c>
      <c r="D23" s="4" t="s">
        <v>16</v>
      </c>
      <c r="E23" s="4">
        <v>4</v>
      </c>
      <c r="F23" s="4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4">
        <v>6</v>
      </c>
      <c r="M23" s="4" t="s">
        <v>76</v>
      </c>
      <c r="N23" s="4">
        <v>1371.8</v>
      </c>
    </row>
    <row r="24" spans="1:14" ht="15" customHeight="1" x14ac:dyDescent="0.2">
      <c r="A24" s="4" t="s">
        <v>127</v>
      </c>
      <c r="B24" s="6">
        <v>44955</v>
      </c>
      <c r="C24" s="4" t="s">
        <v>128</v>
      </c>
      <c r="D24" s="4" t="s">
        <v>16</v>
      </c>
      <c r="E24" s="4">
        <v>2</v>
      </c>
      <c r="F24" s="4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4">
        <v>2</v>
      </c>
      <c r="L24" s="4" t="s">
        <v>21</v>
      </c>
      <c r="M24" s="4" t="s">
        <v>76</v>
      </c>
      <c r="N24" s="4">
        <v>99.24</v>
      </c>
    </row>
    <row r="25" spans="1:14" ht="15" customHeight="1" x14ac:dyDescent="0.2">
      <c r="A25" s="4" t="s">
        <v>131</v>
      </c>
      <c r="B25" s="6">
        <v>45756</v>
      </c>
      <c r="C25" s="4" t="s">
        <v>132</v>
      </c>
      <c r="D25" s="4" t="s">
        <v>25</v>
      </c>
      <c r="E25" s="4">
        <v>4</v>
      </c>
      <c r="F25" s="4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4">
        <v>5</v>
      </c>
      <c r="L25" s="4" t="s">
        <v>37</v>
      </c>
      <c r="M25" s="4" t="s">
        <v>29</v>
      </c>
      <c r="N25" s="4">
        <v>1093</v>
      </c>
    </row>
    <row r="26" spans="1:14" ht="15" customHeight="1" x14ac:dyDescent="0.2">
      <c r="A26" s="4" t="s">
        <v>135</v>
      </c>
      <c r="B26" s="6">
        <v>45595</v>
      </c>
      <c r="C26" s="4" t="s">
        <v>136</v>
      </c>
      <c r="D26" s="4" t="s">
        <v>58</v>
      </c>
      <c r="E26" s="4">
        <v>2</v>
      </c>
      <c r="F26" s="4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4">
        <v>3</v>
      </c>
      <c r="L26" s="4" t="s">
        <v>81</v>
      </c>
      <c r="M26" s="4" t="s">
        <v>29</v>
      </c>
      <c r="N26" s="4">
        <v>461.9</v>
      </c>
    </row>
    <row r="27" spans="1:14" ht="15" customHeight="1" x14ac:dyDescent="0.2">
      <c r="A27" s="4" t="s">
        <v>139</v>
      </c>
      <c r="B27" s="6">
        <v>45497</v>
      </c>
      <c r="C27" s="4" t="s">
        <v>140</v>
      </c>
      <c r="D27" s="4" t="s">
        <v>16</v>
      </c>
      <c r="E27" s="4">
        <v>1</v>
      </c>
      <c r="F27" s="4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4">
        <v>3</v>
      </c>
      <c r="L27" s="4" t="s">
        <v>81</v>
      </c>
      <c r="M27" s="4" t="s">
        <v>38</v>
      </c>
      <c r="N27" s="4">
        <v>399.98</v>
      </c>
    </row>
    <row r="28" spans="1:14" ht="15" customHeight="1" x14ac:dyDescent="0.2">
      <c r="A28" s="4" t="s">
        <v>143</v>
      </c>
      <c r="B28" s="6">
        <v>45357</v>
      </c>
      <c r="C28" s="4" t="s">
        <v>144</v>
      </c>
      <c r="D28" s="4" t="s">
        <v>58</v>
      </c>
      <c r="E28" s="4">
        <v>5</v>
      </c>
      <c r="F28" s="4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4">
        <v>6</v>
      </c>
      <c r="M28" s="4" t="s">
        <v>29</v>
      </c>
      <c r="N28" s="4">
        <v>297.75</v>
      </c>
    </row>
    <row r="29" spans="1:14" ht="15" customHeight="1" x14ac:dyDescent="0.2">
      <c r="A29" s="4" t="s">
        <v>147</v>
      </c>
      <c r="B29" s="6">
        <v>45344</v>
      </c>
      <c r="C29" s="4" t="s">
        <v>148</v>
      </c>
      <c r="D29" s="4" t="s">
        <v>48</v>
      </c>
      <c r="E29" s="4">
        <v>1</v>
      </c>
      <c r="F29" s="4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4">
        <v>6</v>
      </c>
      <c r="L29" s="4" t="s">
        <v>81</v>
      </c>
      <c r="M29" s="4" t="s">
        <v>76</v>
      </c>
      <c r="N29" s="4">
        <v>472.74</v>
      </c>
    </row>
    <row r="30" spans="1:14" ht="15" customHeight="1" x14ac:dyDescent="0.2">
      <c r="A30" s="4" t="s">
        <v>151</v>
      </c>
      <c r="B30" s="6">
        <v>45251</v>
      </c>
      <c r="C30" s="4" t="s">
        <v>152</v>
      </c>
      <c r="D30" s="4" t="s">
        <v>25</v>
      </c>
      <c r="E30" s="4">
        <v>4</v>
      </c>
      <c r="F30" s="4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4">
        <v>5</v>
      </c>
      <c r="M30" s="4" t="s">
        <v>38</v>
      </c>
      <c r="N30" s="4">
        <v>640.28</v>
      </c>
    </row>
    <row r="31" spans="1:14" ht="15" customHeight="1" x14ac:dyDescent="0.2">
      <c r="A31" s="4" t="s">
        <v>155</v>
      </c>
      <c r="B31" s="6">
        <v>45555</v>
      </c>
      <c r="C31" s="4" t="s">
        <v>156</v>
      </c>
      <c r="D31" s="4" t="s">
        <v>73</v>
      </c>
      <c r="E31" s="4">
        <v>3</v>
      </c>
      <c r="F31" s="4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4">
        <v>6</v>
      </c>
      <c r="L31" s="4" t="s">
        <v>21</v>
      </c>
      <c r="M31" s="4" t="s">
        <v>29</v>
      </c>
      <c r="N31" s="4">
        <v>1270.5899999999999</v>
      </c>
    </row>
    <row r="32" spans="1:14" ht="15" customHeight="1" x14ac:dyDescent="0.2">
      <c r="A32" s="4" t="s">
        <v>159</v>
      </c>
      <c r="B32" s="6">
        <v>45738</v>
      </c>
      <c r="C32" s="4" t="s">
        <v>160</v>
      </c>
      <c r="D32" s="4" t="s">
        <v>16</v>
      </c>
      <c r="E32" s="4">
        <v>2</v>
      </c>
      <c r="F32" s="4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4">
        <v>5</v>
      </c>
      <c r="L32" s="4" t="s">
        <v>21</v>
      </c>
      <c r="M32" s="4" t="s">
        <v>29</v>
      </c>
      <c r="N32" s="4">
        <v>853.4</v>
      </c>
    </row>
    <row r="33" spans="1:14" ht="15" customHeight="1" x14ac:dyDescent="0.2">
      <c r="A33" s="4" t="s">
        <v>163</v>
      </c>
      <c r="B33" s="6">
        <v>45107</v>
      </c>
      <c r="C33" s="4" t="s">
        <v>164</v>
      </c>
      <c r="D33" s="4" t="s">
        <v>41</v>
      </c>
      <c r="E33" s="4">
        <v>3</v>
      </c>
      <c r="F33" s="4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4">
        <v>6</v>
      </c>
      <c r="M33" s="4" t="s">
        <v>45</v>
      </c>
      <c r="N33" s="4">
        <v>1500.24</v>
      </c>
    </row>
    <row r="34" spans="1:14" ht="15" customHeight="1" x14ac:dyDescent="0.2">
      <c r="A34" s="4" t="s">
        <v>167</v>
      </c>
      <c r="B34" s="6">
        <v>45047</v>
      </c>
      <c r="C34" s="4" t="s">
        <v>168</v>
      </c>
      <c r="D34" s="4" t="s">
        <v>32</v>
      </c>
      <c r="E34" s="4">
        <v>5</v>
      </c>
      <c r="F34" s="4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4">
        <v>10</v>
      </c>
      <c r="M34" s="4" t="s">
        <v>38</v>
      </c>
      <c r="N34" s="4">
        <v>2683.6</v>
      </c>
    </row>
    <row r="35" spans="1:14" ht="15" customHeight="1" x14ac:dyDescent="0.2">
      <c r="A35" s="4" t="s">
        <v>171</v>
      </c>
      <c r="B35" s="6">
        <v>45082</v>
      </c>
      <c r="C35" s="4" t="s">
        <v>172</v>
      </c>
      <c r="D35" s="4" t="s">
        <v>41</v>
      </c>
      <c r="E35" s="4">
        <v>1</v>
      </c>
      <c r="F35" s="4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4">
        <v>4</v>
      </c>
      <c r="L35" s="4" t="s">
        <v>81</v>
      </c>
      <c r="M35" s="4" t="s">
        <v>45</v>
      </c>
      <c r="N35" s="4">
        <v>162.77000000000001</v>
      </c>
    </row>
    <row r="36" spans="1:14" ht="15" customHeight="1" x14ac:dyDescent="0.2">
      <c r="A36" s="4" t="s">
        <v>175</v>
      </c>
      <c r="B36" s="6">
        <v>44933</v>
      </c>
      <c r="C36" s="4" t="s">
        <v>176</v>
      </c>
      <c r="D36" s="4" t="s">
        <v>41</v>
      </c>
      <c r="E36" s="4">
        <v>4</v>
      </c>
      <c r="F36" s="4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4">
        <v>5</v>
      </c>
      <c r="L36" s="4" t="s">
        <v>81</v>
      </c>
      <c r="M36" s="4" t="s">
        <v>45</v>
      </c>
      <c r="N36" s="4">
        <v>2306.08</v>
      </c>
    </row>
    <row r="37" spans="1:14" ht="15" customHeight="1" x14ac:dyDescent="0.2">
      <c r="A37" s="4" t="s">
        <v>179</v>
      </c>
      <c r="B37" s="6">
        <v>45633</v>
      </c>
      <c r="C37" s="4" t="s">
        <v>180</v>
      </c>
      <c r="D37" s="4" t="s">
        <v>16</v>
      </c>
      <c r="E37" s="4">
        <v>2</v>
      </c>
      <c r="F37" s="4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4">
        <v>2</v>
      </c>
      <c r="L37" s="4" t="s">
        <v>21</v>
      </c>
      <c r="M37" s="4" t="s">
        <v>45</v>
      </c>
      <c r="N37" s="4">
        <v>930.3</v>
      </c>
    </row>
    <row r="38" spans="1:14" ht="15" customHeight="1" x14ac:dyDescent="0.2">
      <c r="A38" s="4" t="s">
        <v>183</v>
      </c>
      <c r="B38" s="6">
        <v>45785</v>
      </c>
      <c r="C38" s="4" t="s">
        <v>184</v>
      </c>
      <c r="D38" s="4" t="s">
        <v>58</v>
      </c>
      <c r="E38" s="4">
        <v>2</v>
      </c>
      <c r="F38" s="4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4">
        <v>5</v>
      </c>
      <c r="M38" s="4" t="s">
        <v>45</v>
      </c>
      <c r="N38" s="4">
        <v>1068.8599999999999</v>
      </c>
    </row>
    <row r="39" spans="1:14" ht="15" customHeight="1" x14ac:dyDescent="0.2">
      <c r="A39" s="4" t="s">
        <v>187</v>
      </c>
      <c r="B39" s="6">
        <v>45579</v>
      </c>
      <c r="C39" s="4" t="s">
        <v>188</v>
      </c>
      <c r="D39" s="4" t="s">
        <v>58</v>
      </c>
      <c r="E39" s="4">
        <v>2</v>
      </c>
      <c r="F39" s="4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4">
        <v>7</v>
      </c>
      <c r="L39" s="4" t="s">
        <v>21</v>
      </c>
      <c r="M39" s="4" t="s">
        <v>22</v>
      </c>
      <c r="N39" s="4">
        <v>153.47999999999999</v>
      </c>
    </row>
    <row r="40" spans="1:14" ht="15" customHeight="1" x14ac:dyDescent="0.2">
      <c r="A40" s="4" t="s">
        <v>191</v>
      </c>
      <c r="B40" s="6">
        <v>45645</v>
      </c>
      <c r="C40" s="4" t="s">
        <v>192</v>
      </c>
      <c r="D40" s="4" t="s">
        <v>58</v>
      </c>
      <c r="E40" s="4">
        <v>1</v>
      </c>
      <c r="F40" s="4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4">
        <v>3</v>
      </c>
      <c r="L40" s="4" t="s">
        <v>21</v>
      </c>
      <c r="M40" s="4" t="s">
        <v>76</v>
      </c>
      <c r="N40" s="4">
        <v>245.89</v>
      </c>
    </row>
    <row r="41" spans="1:14" ht="15" customHeight="1" x14ac:dyDescent="0.2">
      <c r="A41" s="4" t="s">
        <v>195</v>
      </c>
      <c r="B41" s="6">
        <v>45715</v>
      </c>
      <c r="C41" s="4" t="s">
        <v>196</v>
      </c>
      <c r="D41" s="4" t="s">
        <v>48</v>
      </c>
      <c r="E41" s="4">
        <v>3</v>
      </c>
      <c r="F41" s="4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4">
        <v>4</v>
      </c>
      <c r="L41" s="4" t="s">
        <v>21</v>
      </c>
      <c r="M41" s="4" t="s">
        <v>29</v>
      </c>
      <c r="N41" s="4">
        <v>769.38</v>
      </c>
    </row>
    <row r="42" spans="1:14" ht="15" customHeight="1" x14ac:dyDescent="0.2">
      <c r="A42" s="4" t="s">
        <v>199</v>
      </c>
      <c r="B42" s="6">
        <v>45158</v>
      </c>
      <c r="C42" s="4" t="s">
        <v>200</v>
      </c>
      <c r="D42" s="4" t="s">
        <v>73</v>
      </c>
      <c r="E42" s="4">
        <v>2</v>
      </c>
      <c r="F42" s="4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4">
        <v>4</v>
      </c>
      <c r="L42" s="4" t="s">
        <v>37</v>
      </c>
      <c r="M42" s="4" t="s">
        <v>22</v>
      </c>
      <c r="N42" s="4">
        <v>688.04</v>
      </c>
    </row>
    <row r="43" spans="1:14" ht="15" customHeight="1" x14ac:dyDescent="0.2">
      <c r="A43" s="4" t="s">
        <v>203</v>
      </c>
      <c r="B43" s="6">
        <v>45265</v>
      </c>
      <c r="C43" s="4" t="s">
        <v>204</v>
      </c>
      <c r="D43" s="4" t="s">
        <v>16</v>
      </c>
      <c r="E43" s="4">
        <v>3</v>
      </c>
      <c r="F43" s="4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4">
        <v>4</v>
      </c>
      <c r="L43" s="4" t="s">
        <v>37</v>
      </c>
      <c r="M43" s="4" t="s">
        <v>22</v>
      </c>
      <c r="N43" s="4">
        <v>1834.35</v>
      </c>
    </row>
    <row r="44" spans="1:14" ht="15" customHeight="1" x14ac:dyDescent="0.2">
      <c r="A44" s="4" t="s">
        <v>207</v>
      </c>
      <c r="B44" s="6">
        <v>45418</v>
      </c>
      <c r="C44" s="4" t="s">
        <v>208</v>
      </c>
      <c r="D44" s="4" t="s">
        <v>48</v>
      </c>
      <c r="E44" s="4">
        <v>2</v>
      </c>
      <c r="F44" s="4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4">
        <v>6</v>
      </c>
      <c r="M44" s="4" t="s">
        <v>22</v>
      </c>
      <c r="N44" s="4">
        <v>303.32</v>
      </c>
    </row>
    <row r="45" spans="1:14" ht="15" customHeight="1" x14ac:dyDescent="0.2">
      <c r="A45" s="4" t="s">
        <v>210</v>
      </c>
      <c r="B45" s="6">
        <v>45274</v>
      </c>
      <c r="C45" s="4" t="s">
        <v>211</v>
      </c>
      <c r="D45" s="4" t="s">
        <v>41</v>
      </c>
      <c r="E45" s="4">
        <v>3</v>
      </c>
      <c r="F45" s="4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4">
        <v>8</v>
      </c>
      <c r="M45" s="4" t="s">
        <v>22</v>
      </c>
      <c r="N45" s="4">
        <v>1497.63</v>
      </c>
    </row>
    <row r="46" spans="1:14" ht="15" customHeight="1" x14ac:dyDescent="0.2">
      <c r="A46" s="4" t="s">
        <v>214</v>
      </c>
      <c r="B46" s="6">
        <v>45768</v>
      </c>
      <c r="C46" s="4" t="s">
        <v>215</v>
      </c>
      <c r="D46" s="4" t="s">
        <v>25</v>
      </c>
      <c r="E46" s="4">
        <v>2</v>
      </c>
      <c r="F46" s="4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4">
        <v>3</v>
      </c>
      <c r="L46" s="4" t="s">
        <v>37</v>
      </c>
      <c r="M46" s="4" t="s">
        <v>29</v>
      </c>
      <c r="N46" s="4">
        <v>1100.3599999999999</v>
      </c>
    </row>
    <row r="47" spans="1:14" ht="15" customHeight="1" x14ac:dyDescent="0.2">
      <c r="A47" s="4" t="s">
        <v>217</v>
      </c>
      <c r="B47" s="6">
        <v>45332</v>
      </c>
      <c r="C47" s="4" t="s">
        <v>218</v>
      </c>
      <c r="D47" s="4" t="s">
        <v>41</v>
      </c>
      <c r="E47" s="4">
        <v>1</v>
      </c>
      <c r="F47" s="4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4">
        <v>1</v>
      </c>
      <c r="L47" s="4" t="s">
        <v>21</v>
      </c>
      <c r="M47" s="4" t="s">
        <v>45</v>
      </c>
      <c r="N47" s="4">
        <v>317.25</v>
      </c>
    </row>
    <row r="48" spans="1:14" ht="15" customHeight="1" x14ac:dyDescent="0.2">
      <c r="A48" s="4" t="s">
        <v>221</v>
      </c>
      <c r="B48" s="6">
        <v>45469</v>
      </c>
      <c r="C48" s="4" t="s">
        <v>222</v>
      </c>
      <c r="D48" s="4" t="s">
        <v>16</v>
      </c>
      <c r="E48" s="4">
        <v>4</v>
      </c>
      <c r="F48" s="4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4">
        <v>4</v>
      </c>
      <c r="L48" s="4" t="s">
        <v>37</v>
      </c>
      <c r="M48" s="4" t="s">
        <v>22</v>
      </c>
      <c r="N48" s="4">
        <v>2200.56</v>
      </c>
    </row>
    <row r="49" spans="1:14" ht="15" customHeight="1" x14ac:dyDescent="0.2">
      <c r="A49" s="4" t="s">
        <v>225</v>
      </c>
      <c r="B49" s="6">
        <v>45126</v>
      </c>
      <c r="C49" s="4" t="s">
        <v>226</v>
      </c>
      <c r="D49" s="4" t="s">
        <v>73</v>
      </c>
      <c r="E49" s="4">
        <v>2</v>
      </c>
      <c r="F49" s="4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4">
        <v>3</v>
      </c>
      <c r="L49" s="4" t="s">
        <v>37</v>
      </c>
      <c r="M49" s="4" t="s">
        <v>38</v>
      </c>
      <c r="N49" s="4">
        <v>419.88</v>
      </c>
    </row>
    <row r="50" spans="1:14" ht="15" customHeight="1" x14ac:dyDescent="0.2">
      <c r="A50" s="4" t="s">
        <v>229</v>
      </c>
      <c r="B50" s="6">
        <v>45164</v>
      </c>
      <c r="C50" s="4" t="s">
        <v>230</v>
      </c>
      <c r="D50" s="4" t="s">
        <v>16</v>
      </c>
      <c r="E50" s="4">
        <v>2</v>
      </c>
      <c r="F50" s="4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4">
        <v>4</v>
      </c>
      <c r="M50" s="4" t="s">
        <v>76</v>
      </c>
      <c r="N50" s="4">
        <v>161.54</v>
      </c>
    </row>
    <row r="51" spans="1:14" ht="15" customHeight="1" x14ac:dyDescent="0.2">
      <c r="A51" s="4" t="s">
        <v>233</v>
      </c>
      <c r="B51" s="6">
        <v>45206</v>
      </c>
      <c r="C51" s="4" t="s">
        <v>234</v>
      </c>
      <c r="D51" s="4" t="s">
        <v>48</v>
      </c>
      <c r="E51" s="4">
        <v>1</v>
      </c>
      <c r="F51" s="4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4">
        <v>1</v>
      </c>
      <c r="L51" s="4" t="s">
        <v>21</v>
      </c>
      <c r="M51" s="4" t="s">
        <v>38</v>
      </c>
      <c r="N51" s="4">
        <v>30.44</v>
      </c>
    </row>
    <row r="52" spans="1:14" ht="15" customHeight="1" x14ac:dyDescent="0.2">
      <c r="A52" s="4" t="s">
        <v>236</v>
      </c>
      <c r="B52" s="6">
        <v>45138</v>
      </c>
      <c r="C52" s="4" t="s">
        <v>237</v>
      </c>
      <c r="D52" s="4" t="s">
        <v>32</v>
      </c>
      <c r="E52" s="4">
        <v>1</v>
      </c>
      <c r="F52" s="4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4">
        <v>6</v>
      </c>
      <c r="L52" s="4" t="s">
        <v>37</v>
      </c>
      <c r="M52" s="4" t="s">
        <v>22</v>
      </c>
      <c r="N52" s="4">
        <v>179.22</v>
      </c>
    </row>
    <row r="53" spans="1:14" ht="15" customHeight="1" x14ac:dyDescent="0.2">
      <c r="A53" s="4" t="s">
        <v>240</v>
      </c>
      <c r="B53" s="6">
        <v>45656</v>
      </c>
      <c r="C53" s="4" t="s">
        <v>241</v>
      </c>
      <c r="D53" s="4" t="s">
        <v>32</v>
      </c>
      <c r="E53" s="4">
        <v>1</v>
      </c>
      <c r="F53" s="4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4">
        <v>2</v>
      </c>
      <c r="L53" s="4" t="s">
        <v>21</v>
      </c>
      <c r="M53" s="4" t="s">
        <v>45</v>
      </c>
      <c r="N53" s="4">
        <v>388.33</v>
      </c>
    </row>
    <row r="54" spans="1:14" ht="15" customHeight="1" x14ac:dyDescent="0.2">
      <c r="A54" s="4" t="s">
        <v>244</v>
      </c>
      <c r="B54" s="6">
        <v>45543</v>
      </c>
      <c r="C54" s="4" t="s">
        <v>245</v>
      </c>
      <c r="D54" s="4" t="s">
        <v>32</v>
      </c>
      <c r="E54" s="4">
        <v>1</v>
      </c>
      <c r="F54" s="4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4">
        <v>5</v>
      </c>
      <c r="L54" s="4" t="s">
        <v>21</v>
      </c>
      <c r="M54" s="4" t="s">
        <v>45</v>
      </c>
      <c r="N54" s="4">
        <v>586.44000000000005</v>
      </c>
    </row>
    <row r="55" spans="1:14" ht="15" customHeight="1" x14ac:dyDescent="0.2">
      <c r="A55" s="4" t="s">
        <v>248</v>
      </c>
      <c r="B55" s="6">
        <v>45430</v>
      </c>
      <c r="C55" s="4" t="s">
        <v>249</v>
      </c>
      <c r="D55" s="4" t="s">
        <v>25</v>
      </c>
      <c r="E55" s="4">
        <v>4</v>
      </c>
      <c r="F55" s="4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4">
        <v>5</v>
      </c>
      <c r="L55" s="4" t="s">
        <v>37</v>
      </c>
      <c r="M55" s="4" t="s">
        <v>76</v>
      </c>
      <c r="N55" s="4">
        <v>1955.12</v>
      </c>
    </row>
    <row r="56" spans="1:14" ht="15" customHeight="1" x14ac:dyDescent="0.2">
      <c r="A56" s="4" t="s">
        <v>251</v>
      </c>
      <c r="B56" s="6">
        <v>45743</v>
      </c>
      <c r="C56" s="4" t="s">
        <v>252</v>
      </c>
      <c r="D56" s="4" t="s">
        <v>41</v>
      </c>
      <c r="E56" s="4">
        <v>1</v>
      </c>
      <c r="F56" s="4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4">
        <v>5</v>
      </c>
      <c r="L56" s="4" t="s">
        <v>81</v>
      </c>
      <c r="M56" s="4" t="s">
        <v>38</v>
      </c>
      <c r="N56" s="4">
        <v>280.25</v>
      </c>
    </row>
    <row r="57" spans="1:14" ht="15" customHeight="1" x14ac:dyDescent="0.2">
      <c r="A57" s="4" t="s">
        <v>255</v>
      </c>
      <c r="B57" s="6">
        <v>45832</v>
      </c>
      <c r="C57" s="4" t="s">
        <v>256</v>
      </c>
      <c r="D57" s="4" t="s">
        <v>48</v>
      </c>
      <c r="E57" s="4">
        <v>3</v>
      </c>
      <c r="F57" s="4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4">
        <v>3</v>
      </c>
      <c r="M57" s="4" t="s">
        <v>45</v>
      </c>
      <c r="N57" s="4">
        <v>1033.2</v>
      </c>
    </row>
    <row r="58" spans="1:14" ht="15" customHeight="1" x14ac:dyDescent="0.2">
      <c r="A58" s="4" t="s">
        <v>259</v>
      </c>
      <c r="B58" s="6">
        <v>45067</v>
      </c>
      <c r="C58" s="4" t="s">
        <v>260</v>
      </c>
      <c r="D58" s="4" t="s">
        <v>32</v>
      </c>
      <c r="E58" s="4">
        <v>3</v>
      </c>
      <c r="F58" s="4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4">
        <v>5</v>
      </c>
      <c r="L58" s="4" t="s">
        <v>81</v>
      </c>
      <c r="M58" s="4" t="s">
        <v>29</v>
      </c>
      <c r="N58" s="4">
        <v>1437.63</v>
      </c>
    </row>
    <row r="59" spans="1:14" ht="15" customHeight="1" x14ac:dyDescent="0.2">
      <c r="A59" s="4" t="s">
        <v>263</v>
      </c>
      <c r="B59" s="6">
        <v>44948</v>
      </c>
      <c r="C59" s="4" t="s">
        <v>264</v>
      </c>
      <c r="D59" s="4" t="s">
        <v>48</v>
      </c>
      <c r="E59" s="4">
        <v>5</v>
      </c>
      <c r="F59" s="4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4">
        <v>6</v>
      </c>
      <c r="L59" s="4" t="s">
        <v>21</v>
      </c>
      <c r="M59" s="4" t="s">
        <v>22</v>
      </c>
      <c r="N59" s="4">
        <v>1571.35</v>
      </c>
    </row>
    <row r="60" spans="1:14" ht="15" customHeight="1" x14ac:dyDescent="0.2">
      <c r="A60" s="4" t="s">
        <v>267</v>
      </c>
      <c r="B60" s="6">
        <v>44941</v>
      </c>
      <c r="C60" s="4" t="s">
        <v>268</v>
      </c>
      <c r="D60" s="4" t="s">
        <v>25</v>
      </c>
      <c r="E60" s="4">
        <v>4</v>
      </c>
      <c r="F60" s="4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4">
        <v>6</v>
      </c>
      <c r="L60" s="4" t="s">
        <v>21</v>
      </c>
      <c r="M60" s="4" t="s">
        <v>76</v>
      </c>
      <c r="N60" s="4">
        <v>1898.76</v>
      </c>
    </row>
    <row r="61" spans="1:14" ht="15" customHeight="1" x14ac:dyDescent="0.2">
      <c r="A61" s="4" t="s">
        <v>271</v>
      </c>
      <c r="B61" s="6">
        <v>45546</v>
      </c>
      <c r="C61" s="4" t="s">
        <v>272</v>
      </c>
      <c r="D61" s="4" t="s">
        <v>41</v>
      </c>
      <c r="E61" s="4">
        <v>4</v>
      </c>
      <c r="F61" s="4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4">
        <v>5</v>
      </c>
      <c r="M61" s="4" t="s">
        <v>45</v>
      </c>
      <c r="N61" s="4">
        <v>2373.08</v>
      </c>
    </row>
    <row r="62" spans="1:14" ht="15" customHeight="1" x14ac:dyDescent="0.2">
      <c r="A62" s="4" t="s">
        <v>275</v>
      </c>
      <c r="B62" s="6">
        <v>45525</v>
      </c>
      <c r="C62" s="4" t="s">
        <v>276</v>
      </c>
      <c r="D62" s="4" t="s">
        <v>73</v>
      </c>
      <c r="E62" s="4">
        <v>1</v>
      </c>
      <c r="F62" s="4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4">
        <v>3</v>
      </c>
      <c r="L62" s="4" t="s">
        <v>37</v>
      </c>
      <c r="M62" s="4" t="s">
        <v>29</v>
      </c>
      <c r="N62" s="4">
        <v>417.1</v>
      </c>
    </row>
    <row r="63" spans="1:14" ht="15" customHeight="1" x14ac:dyDescent="0.2">
      <c r="A63" s="4" t="s">
        <v>279</v>
      </c>
      <c r="B63" s="6">
        <v>45375</v>
      </c>
      <c r="C63" s="4" t="s">
        <v>280</v>
      </c>
      <c r="D63" s="4" t="s">
        <v>73</v>
      </c>
      <c r="E63" s="4">
        <v>4</v>
      </c>
      <c r="F63" s="4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4">
        <v>7</v>
      </c>
      <c r="L63" s="4" t="s">
        <v>37</v>
      </c>
      <c r="M63" s="4" t="s">
        <v>45</v>
      </c>
      <c r="N63" s="4">
        <v>488.8</v>
      </c>
    </row>
    <row r="64" spans="1:14" ht="15" customHeight="1" x14ac:dyDescent="0.2">
      <c r="A64" s="4" t="s">
        <v>283</v>
      </c>
      <c r="B64" s="6">
        <v>45160</v>
      </c>
      <c r="C64" s="4" t="s">
        <v>284</v>
      </c>
      <c r="D64" s="4" t="s">
        <v>73</v>
      </c>
      <c r="E64" s="4">
        <v>2</v>
      </c>
      <c r="F64" s="4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4">
        <v>3</v>
      </c>
      <c r="L64" s="4" t="s">
        <v>81</v>
      </c>
      <c r="M64" s="4" t="s">
        <v>38</v>
      </c>
      <c r="N64" s="4">
        <v>86.3</v>
      </c>
    </row>
    <row r="65" spans="1:14" ht="15" customHeight="1" x14ac:dyDescent="0.2">
      <c r="A65" s="4" t="s">
        <v>287</v>
      </c>
      <c r="B65" s="6">
        <v>45690</v>
      </c>
      <c r="C65" s="4" t="s">
        <v>288</v>
      </c>
      <c r="D65" s="4" t="s">
        <v>41</v>
      </c>
      <c r="E65" s="4">
        <v>1</v>
      </c>
      <c r="F65" s="4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4">
        <v>6</v>
      </c>
      <c r="L65" s="4" t="s">
        <v>81</v>
      </c>
      <c r="M65" s="4" t="s">
        <v>29</v>
      </c>
      <c r="N65" s="4">
        <v>564.86</v>
      </c>
    </row>
    <row r="66" spans="1:14" ht="15" customHeight="1" x14ac:dyDescent="0.2">
      <c r="A66" s="4" t="s">
        <v>291</v>
      </c>
      <c r="B66" s="6">
        <v>45833</v>
      </c>
      <c r="C66" s="4" t="s">
        <v>292</v>
      </c>
      <c r="D66" s="4" t="s">
        <v>48</v>
      </c>
      <c r="E66" s="4">
        <v>3</v>
      </c>
      <c r="F66" s="4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4">
        <v>4</v>
      </c>
      <c r="L66" s="4" t="s">
        <v>37</v>
      </c>
      <c r="M66" s="4" t="s">
        <v>45</v>
      </c>
      <c r="N66" s="4">
        <v>391.83</v>
      </c>
    </row>
    <row r="67" spans="1:14" ht="15" customHeight="1" x14ac:dyDescent="0.2">
      <c r="A67" s="4" t="s">
        <v>295</v>
      </c>
      <c r="B67" s="6">
        <v>45290</v>
      </c>
      <c r="C67" s="4" t="s">
        <v>296</v>
      </c>
      <c r="D67" s="4" t="s">
        <v>16</v>
      </c>
      <c r="E67" s="4">
        <v>5</v>
      </c>
      <c r="F67" s="4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4">
        <v>6</v>
      </c>
      <c r="M67" s="4" t="s">
        <v>22</v>
      </c>
      <c r="N67" s="4">
        <v>408.5</v>
      </c>
    </row>
    <row r="68" spans="1:14" ht="15" customHeight="1" x14ac:dyDescent="0.2">
      <c r="A68" s="4" t="s">
        <v>299</v>
      </c>
      <c r="B68" s="6">
        <v>45611</v>
      </c>
      <c r="C68" s="4" t="s">
        <v>300</v>
      </c>
      <c r="D68" s="4" t="s">
        <v>41</v>
      </c>
      <c r="E68" s="4">
        <v>5</v>
      </c>
      <c r="F68" s="4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4">
        <v>9</v>
      </c>
      <c r="L68" s="4" t="s">
        <v>21</v>
      </c>
      <c r="M68" s="4" t="s">
        <v>29</v>
      </c>
      <c r="N68" s="4">
        <v>635.9</v>
      </c>
    </row>
    <row r="69" spans="1:14" ht="15" customHeight="1" x14ac:dyDescent="0.2">
      <c r="A69" s="4" t="s">
        <v>303</v>
      </c>
      <c r="B69" s="6">
        <v>45635</v>
      </c>
      <c r="C69" s="4" t="s">
        <v>304</v>
      </c>
      <c r="D69" s="4" t="s">
        <v>48</v>
      </c>
      <c r="E69" s="4">
        <v>4</v>
      </c>
      <c r="F69" s="4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4">
        <v>8</v>
      </c>
      <c r="M69" s="4" t="s">
        <v>76</v>
      </c>
      <c r="N69" s="4">
        <v>48.4</v>
      </c>
    </row>
    <row r="70" spans="1:14" ht="15" customHeight="1" x14ac:dyDescent="0.2">
      <c r="A70" s="4" t="s">
        <v>307</v>
      </c>
      <c r="B70" s="6">
        <v>45271</v>
      </c>
      <c r="C70" s="4" t="s">
        <v>308</v>
      </c>
      <c r="D70" s="4" t="s">
        <v>41</v>
      </c>
      <c r="E70" s="4">
        <v>3</v>
      </c>
      <c r="F70" s="4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4">
        <v>5</v>
      </c>
      <c r="L70" s="4" t="s">
        <v>37</v>
      </c>
      <c r="M70" s="4" t="s">
        <v>38</v>
      </c>
      <c r="N70" s="4">
        <v>1472.76</v>
      </c>
    </row>
    <row r="71" spans="1:14" ht="15" customHeight="1" x14ac:dyDescent="0.2">
      <c r="A71" s="4" t="s">
        <v>310</v>
      </c>
      <c r="B71" s="6">
        <v>45057</v>
      </c>
      <c r="C71" s="4" t="s">
        <v>311</v>
      </c>
      <c r="D71" s="4" t="s">
        <v>16</v>
      </c>
      <c r="E71" s="4">
        <v>3</v>
      </c>
      <c r="F71" s="4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4">
        <v>4</v>
      </c>
      <c r="M71" s="4" t="s">
        <v>29</v>
      </c>
      <c r="N71" s="4">
        <v>1435.95</v>
      </c>
    </row>
    <row r="72" spans="1:14" ht="15" customHeight="1" x14ac:dyDescent="0.2">
      <c r="A72" s="4" t="s">
        <v>314</v>
      </c>
      <c r="B72" s="6">
        <v>45072</v>
      </c>
      <c r="C72" s="4" t="s">
        <v>315</v>
      </c>
      <c r="D72" s="4" t="s">
        <v>73</v>
      </c>
      <c r="E72" s="4">
        <v>1</v>
      </c>
      <c r="F72" s="4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4">
        <v>2</v>
      </c>
      <c r="L72" s="4" t="s">
        <v>37</v>
      </c>
      <c r="M72" s="4" t="s">
        <v>22</v>
      </c>
      <c r="N72" s="4">
        <v>629.21</v>
      </c>
    </row>
    <row r="73" spans="1:14" ht="15" customHeight="1" x14ac:dyDescent="0.2">
      <c r="A73" s="4" t="s">
        <v>318</v>
      </c>
      <c r="B73" s="6">
        <v>45818</v>
      </c>
      <c r="C73" s="4" t="s">
        <v>319</v>
      </c>
      <c r="D73" s="4" t="s">
        <v>16</v>
      </c>
      <c r="E73" s="4">
        <v>3</v>
      </c>
      <c r="F73" s="4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4">
        <v>4</v>
      </c>
      <c r="M73" s="4" t="s">
        <v>29</v>
      </c>
      <c r="N73" s="4">
        <v>1303.3499999999999</v>
      </c>
    </row>
    <row r="74" spans="1:14" ht="15" customHeight="1" x14ac:dyDescent="0.2">
      <c r="A74" s="4" t="s">
        <v>322</v>
      </c>
      <c r="B74" s="6">
        <v>45648</v>
      </c>
      <c r="C74" s="4" t="s">
        <v>323</v>
      </c>
      <c r="D74" s="4" t="s">
        <v>32</v>
      </c>
      <c r="E74" s="4">
        <v>4</v>
      </c>
      <c r="F74" s="4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4">
        <v>5</v>
      </c>
      <c r="M74" s="4" t="s">
        <v>45</v>
      </c>
      <c r="N74" s="4">
        <v>2357.7600000000002</v>
      </c>
    </row>
    <row r="75" spans="1:14" ht="15" customHeight="1" x14ac:dyDescent="0.2">
      <c r="A75" s="4" t="s">
        <v>325</v>
      </c>
      <c r="B75" s="6">
        <v>45049</v>
      </c>
      <c r="C75" s="4" t="s">
        <v>326</v>
      </c>
      <c r="D75" s="4" t="s">
        <v>16</v>
      </c>
      <c r="E75" s="4">
        <v>4</v>
      </c>
      <c r="F75" s="4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4">
        <v>4</v>
      </c>
      <c r="M75" s="4" t="s">
        <v>45</v>
      </c>
      <c r="N75" s="4">
        <v>1733.8</v>
      </c>
    </row>
    <row r="76" spans="1:14" ht="15" customHeight="1" x14ac:dyDescent="0.2">
      <c r="A76" s="4" t="s">
        <v>329</v>
      </c>
      <c r="B76" s="6">
        <v>45101</v>
      </c>
      <c r="C76" s="4" t="s">
        <v>330</v>
      </c>
      <c r="D76" s="4" t="s">
        <v>25</v>
      </c>
      <c r="E76" s="4">
        <v>5</v>
      </c>
      <c r="F76" s="4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4">
        <v>5</v>
      </c>
      <c r="M76" s="4" t="s">
        <v>22</v>
      </c>
      <c r="N76" s="4">
        <v>454.35</v>
      </c>
    </row>
    <row r="77" spans="1:14" ht="15" customHeight="1" x14ac:dyDescent="0.2">
      <c r="A77" s="4" t="s">
        <v>333</v>
      </c>
      <c r="B77" s="6">
        <v>45195</v>
      </c>
      <c r="C77" s="4" t="s">
        <v>334</v>
      </c>
      <c r="D77" s="4" t="s">
        <v>32</v>
      </c>
      <c r="E77" s="4">
        <v>3</v>
      </c>
      <c r="F77" s="4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4">
        <v>5</v>
      </c>
      <c r="L77" s="4" t="s">
        <v>21</v>
      </c>
      <c r="M77" s="4" t="s">
        <v>38</v>
      </c>
      <c r="N77" s="4">
        <v>1194.51</v>
      </c>
    </row>
    <row r="78" spans="1:14" ht="15" customHeight="1" x14ac:dyDescent="0.2">
      <c r="A78" s="4" t="s">
        <v>337</v>
      </c>
      <c r="B78" s="6">
        <v>45382</v>
      </c>
      <c r="C78" s="4" t="s">
        <v>338</v>
      </c>
      <c r="D78" s="4" t="s">
        <v>58</v>
      </c>
      <c r="E78" s="4">
        <v>4</v>
      </c>
      <c r="F78" s="4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4">
        <v>6</v>
      </c>
      <c r="L78" s="4" t="s">
        <v>81</v>
      </c>
      <c r="M78" s="4" t="s">
        <v>38</v>
      </c>
      <c r="N78" s="4">
        <v>1531.52</v>
      </c>
    </row>
    <row r="79" spans="1:14" ht="15" customHeight="1" x14ac:dyDescent="0.2">
      <c r="A79" s="4" t="s">
        <v>341</v>
      </c>
      <c r="B79" s="6">
        <v>45436</v>
      </c>
      <c r="C79" s="4" t="s">
        <v>342</v>
      </c>
      <c r="D79" s="4" t="s">
        <v>25</v>
      </c>
      <c r="E79" s="4">
        <v>1</v>
      </c>
      <c r="F79" s="4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4">
        <v>5</v>
      </c>
      <c r="M79" s="4" t="s">
        <v>76</v>
      </c>
      <c r="N79" s="4">
        <v>583.17999999999995</v>
      </c>
    </row>
    <row r="80" spans="1:14" ht="15" customHeight="1" x14ac:dyDescent="0.2">
      <c r="A80" s="4" t="s">
        <v>345</v>
      </c>
      <c r="B80" s="6">
        <v>45510</v>
      </c>
      <c r="C80" s="4" t="s">
        <v>346</v>
      </c>
      <c r="D80" s="4" t="s">
        <v>48</v>
      </c>
      <c r="E80" s="4">
        <v>4</v>
      </c>
      <c r="F80" s="4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4">
        <v>4</v>
      </c>
      <c r="L80" s="4" t="s">
        <v>37</v>
      </c>
      <c r="M80" s="4" t="s">
        <v>22</v>
      </c>
      <c r="N80" s="4">
        <v>701.44</v>
      </c>
    </row>
    <row r="81" spans="1:14" ht="15" customHeight="1" x14ac:dyDescent="0.2">
      <c r="A81" s="4" t="s">
        <v>349</v>
      </c>
      <c r="B81" s="6">
        <v>45726</v>
      </c>
      <c r="C81" s="4" t="s">
        <v>350</v>
      </c>
      <c r="D81" s="4" t="s">
        <v>32</v>
      </c>
      <c r="E81" s="4">
        <v>2</v>
      </c>
      <c r="F81" s="4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4">
        <v>2</v>
      </c>
      <c r="M81" s="4" t="s">
        <v>45</v>
      </c>
      <c r="N81" s="4">
        <v>623.82000000000005</v>
      </c>
    </row>
    <row r="82" spans="1:14" ht="15" customHeight="1" x14ac:dyDescent="0.2">
      <c r="A82" s="4" t="s">
        <v>353</v>
      </c>
      <c r="B82" s="6">
        <v>45104</v>
      </c>
      <c r="C82" s="4" t="s">
        <v>354</v>
      </c>
      <c r="D82" s="4" t="s">
        <v>25</v>
      </c>
      <c r="E82" s="4">
        <v>3</v>
      </c>
      <c r="F82" s="4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4">
        <v>6</v>
      </c>
      <c r="M82" s="4" t="s">
        <v>45</v>
      </c>
      <c r="N82" s="4">
        <v>1768.68</v>
      </c>
    </row>
    <row r="83" spans="1:14" ht="15" customHeight="1" x14ac:dyDescent="0.2">
      <c r="A83" s="4" t="s">
        <v>357</v>
      </c>
      <c r="B83" s="6">
        <v>45085</v>
      </c>
      <c r="C83" s="4" t="s">
        <v>358</v>
      </c>
      <c r="D83" s="4" t="s">
        <v>16</v>
      </c>
      <c r="E83" s="4">
        <v>2</v>
      </c>
      <c r="F83" s="4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4">
        <v>6</v>
      </c>
      <c r="L83" s="4" t="s">
        <v>37</v>
      </c>
      <c r="M83" s="4" t="s">
        <v>38</v>
      </c>
      <c r="N83" s="4">
        <v>788.6</v>
      </c>
    </row>
    <row r="84" spans="1:14" ht="15" customHeight="1" x14ac:dyDescent="0.2">
      <c r="A84" s="4" t="s">
        <v>361</v>
      </c>
      <c r="B84" s="6">
        <v>45296</v>
      </c>
      <c r="C84" s="4" t="s">
        <v>362</v>
      </c>
      <c r="D84" s="4" t="s">
        <v>32</v>
      </c>
      <c r="E84" s="4">
        <v>4</v>
      </c>
      <c r="F84" s="4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4">
        <v>9</v>
      </c>
      <c r="L84" s="4" t="s">
        <v>21</v>
      </c>
      <c r="M84" s="4" t="s">
        <v>76</v>
      </c>
      <c r="N84" s="4">
        <v>2260.8000000000002</v>
      </c>
    </row>
    <row r="85" spans="1:14" ht="15" customHeight="1" x14ac:dyDescent="0.2">
      <c r="A85" s="4" t="s">
        <v>365</v>
      </c>
      <c r="B85" s="6">
        <v>45160</v>
      </c>
      <c r="C85" s="4" t="s">
        <v>366</v>
      </c>
      <c r="D85" s="4" t="s">
        <v>58</v>
      </c>
      <c r="E85" s="4">
        <v>4</v>
      </c>
      <c r="F85" s="4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4">
        <v>6</v>
      </c>
      <c r="M85" s="4" t="s">
        <v>29</v>
      </c>
      <c r="N85" s="4">
        <v>2161.64</v>
      </c>
    </row>
    <row r="86" spans="1:14" ht="15" customHeight="1" x14ac:dyDescent="0.2">
      <c r="A86" s="4" t="s">
        <v>369</v>
      </c>
      <c r="B86" s="6">
        <v>45166</v>
      </c>
      <c r="C86" s="4" t="s">
        <v>370</v>
      </c>
      <c r="D86" s="4" t="s">
        <v>16</v>
      </c>
      <c r="E86" s="4">
        <v>2</v>
      </c>
      <c r="F86" s="4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4">
        <v>4</v>
      </c>
      <c r="L86" s="4" t="s">
        <v>81</v>
      </c>
      <c r="M86" s="4" t="s">
        <v>22</v>
      </c>
      <c r="N86" s="4">
        <v>330.98</v>
      </c>
    </row>
    <row r="87" spans="1:14" ht="15" customHeight="1" x14ac:dyDescent="0.2">
      <c r="A87" s="4" t="s">
        <v>373</v>
      </c>
      <c r="B87" s="6">
        <v>45544</v>
      </c>
      <c r="C87" s="4" t="s">
        <v>374</v>
      </c>
      <c r="D87" s="4" t="s">
        <v>32</v>
      </c>
      <c r="E87" s="4">
        <v>3</v>
      </c>
      <c r="F87" s="4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4">
        <v>8</v>
      </c>
      <c r="L87" s="4" t="s">
        <v>37</v>
      </c>
      <c r="M87" s="4" t="s">
        <v>38</v>
      </c>
      <c r="N87" s="4">
        <v>440.19</v>
      </c>
    </row>
    <row r="88" spans="1:14" ht="15" customHeight="1" x14ac:dyDescent="0.2">
      <c r="A88" s="4" t="s">
        <v>377</v>
      </c>
      <c r="B88" s="6">
        <v>45462</v>
      </c>
      <c r="C88" s="4" t="s">
        <v>378</v>
      </c>
      <c r="D88" s="4" t="s">
        <v>48</v>
      </c>
      <c r="E88" s="4">
        <v>5</v>
      </c>
      <c r="F88" s="4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4">
        <v>5</v>
      </c>
      <c r="L88" s="4" t="s">
        <v>37</v>
      </c>
      <c r="M88" s="4" t="s">
        <v>29</v>
      </c>
      <c r="N88" s="4">
        <v>3215.15</v>
      </c>
    </row>
    <row r="89" spans="1:14" ht="15" customHeight="1" x14ac:dyDescent="0.2">
      <c r="A89" s="4" t="s">
        <v>381</v>
      </c>
      <c r="B89" s="6">
        <v>45575</v>
      </c>
      <c r="C89" s="4" t="s">
        <v>382</v>
      </c>
      <c r="D89" s="4" t="s">
        <v>32</v>
      </c>
      <c r="E89" s="4">
        <v>3</v>
      </c>
      <c r="F89" s="4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4">
        <v>4</v>
      </c>
      <c r="L89" s="4" t="s">
        <v>21</v>
      </c>
      <c r="M89" s="4" t="s">
        <v>45</v>
      </c>
      <c r="N89" s="4">
        <v>675.33</v>
      </c>
    </row>
    <row r="90" spans="1:14" ht="15" customHeight="1" x14ac:dyDescent="0.2">
      <c r="A90" s="4" t="s">
        <v>385</v>
      </c>
      <c r="B90" s="6">
        <v>45813</v>
      </c>
      <c r="C90" s="4" t="s">
        <v>386</v>
      </c>
      <c r="D90" s="4" t="s">
        <v>73</v>
      </c>
      <c r="E90" s="4">
        <v>3</v>
      </c>
      <c r="F90" s="4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4">
        <v>7</v>
      </c>
      <c r="M90" s="4" t="s">
        <v>76</v>
      </c>
      <c r="N90" s="4">
        <v>344.43</v>
      </c>
    </row>
    <row r="91" spans="1:14" ht="15" customHeight="1" x14ac:dyDescent="0.2">
      <c r="A91" s="4" t="s">
        <v>389</v>
      </c>
      <c r="B91" s="6">
        <v>45713</v>
      </c>
      <c r="C91" s="4" t="s">
        <v>390</v>
      </c>
      <c r="D91" s="4" t="s">
        <v>48</v>
      </c>
      <c r="E91" s="4">
        <v>5</v>
      </c>
      <c r="F91" s="4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4">
        <v>8</v>
      </c>
      <c r="L91" s="4" t="s">
        <v>37</v>
      </c>
      <c r="M91" s="4" t="s">
        <v>76</v>
      </c>
      <c r="N91" s="4">
        <v>2276.65</v>
      </c>
    </row>
    <row r="92" spans="1:14" ht="15" customHeight="1" x14ac:dyDescent="0.2">
      <c r="A92" s="4" t="s">
        <v>393</v>
      </c>
      <c r="B92" s="6">
        <v>45187</v>
      </c>
      <c r="C92" s="4" t="s">
        <v>394</v>
      </c>
      <c r="D92" s="4" t="s">
        <v>41</v>
      </c>
      <c r="E92" s="4">
        <v>4</v>
      </c>
      <c r="F92" s="4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4">
        <v>4</v>
      </c>
      <c r="L92" s="4" t="s">
        <v>21</v>
      </c>
      <c r="M92" s="4" t="s">
        <v>38</v>
      </c>
      <c r="N92" s="4">
        <v>728.32</v>
      </c>
    </row>
    <row r="93" spans="1:14" ht="15" customHeight="1" x14ac:dyDescent="0.2">
      <c r="A93" s="4" t="s">
        <v>397</v>
      </c>
      <c r="B93" s="6">
        <v>45000</v>
      </c>
      <c r="C93" s="4" t="s">
        <v>398</v>
      </c>
      <c r="D93" s="4" t="s">
        <v>58</v>
      </c>
      <c r="E93" s="4">
        <v>5</v>
      </c>
      <c r="F93" s="4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4">
        <v>6</v>
      </c>
      <c r="L93" s="4" t="s">
        <v>81</v>
      </c>
      <c r="M93" s="4" t="s">
        <v>29</v>
      </c>
      <c r="N93" s="4">
        <v>2463.75</v>
      </c>
    </row>
    <row r="94" spans="1:14" ht="15" customHeight="1" x14ac:dyDescent="0.2">
      <c r="A94" s="4" t="s">
        <v>401</v>
      </c>
      <c r="B94" s="6">
        <v>45453</v>
      </c>
      <c r="C94" s="4" t="s">
        <v>402</v>
      </c>
      <c r="D94" s="4" t="s">
        <v>48</v>
      </c>
      <c r="E94" s="4">
        <v>4</v>
      </c>
      <c r="F94" s="4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4">
        <v>7</v>
      </c>
      <c r="L94" s="4" t="s">
        <v>37</v>
      </c>
      <c r="M94" s="4" t="s">
        <v>45</v>
      </c>
      <c r="N94" s="4">
        <v>194.44</v>
      </c>
    </row>
    <row r="95" spans="1:14" ht="15" customHeight="1" x14ac:dyDescent="0.2">
      <c r="A95" s="4" t="s">
        <v>405</v>
      </c>
      <c r="B95" s="6">
        <v>44940</v>
      </c>
      <c r="C95" s="4" t="s">
        <v>406</v>
      </c>
      <c r="D95" s="4" t="s">
        <v>73</v>
      </c>
      <c r="E95" s="4">
        <v>4</v>
      </c>
      <c r="F95" s="4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4">
        <v>7</v>
      </c>
      <c r="M95" s="4" t="s">
        <v>29</v>
      </c>
      <c r="N95" s="4">
        <v>1724.04</v>
      </c>
    </row>
    <row r="96" spans="1:14" ht="15" customHeight="1" x14ac:dyDescent="0.2">
      <c r="A96" s="4" t="s">
        <v>409</v>
      </c>
      <c r="B96" s="6">
        <v>44968</v>
      </c>
      <c r="C96" s="4" t="s">
        <v>410</v>
      </c>
      <c r="D96" s="4" t="s">
        <v>41</v>
      </c>
      <c r="E96" s="4">
        <v>1</v>
      </c>
      <c r="F96" s="4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4">
        <v>6</v>
      </c>
      <c r="L96" s="4" t="s">
        <v>81</v>
      </c>
      <c r="M96" s="4" t="s">
        <v>22</v>
      </c>
      <c r="N96" s="4">
        <v>531.17999999999995</v>
      </c>
    </row>
    <row r="97" spans="1:14" ht="15" customHeight="1" x14ac:dyDescent="0.2">
      <c r="A97" s="4" t="s">
        <v>413</v>
      </c>
      <c r="B97" s="6">
        <v>45009</v>
      </c>
      <c r="C97" s="4" t="s">
        <v>414</v>
      </c>
      <c r="D97" s="4" t="s">
        <v>48</v>
      </c>
      <c r="E97" s="4">
        <v>4</v>
      </c>
      <c r="F97" s="4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4">
        <v>7</v>
      </c>
      <c r="M97" s="4" t="s">
        <v>29</v>
      </c>
      <c r="N97" s="4">
        <v>470.04</v>
      </c>
    </row>
    <row r="98" spans="1:14" ht="15" customHeight="1" x14ac:dyDescent="0.2">
      <c r="A98" s="4" t="s">
        <v>417</v>
      </c>
      <c r="B98" s="6">
        <v>45444</v>
      </c>
      <c r="C98" s="4" t="s">
        <v>418</v>
      </c>
      <c r="D98" s="4" t="s">
        <v>25</v>
      </c>
      <c r="E98" s="4">
        <v>2</v>
      </c>
      <c r="F98" s="4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4">
        <v>7</v>
      </c>
      <c r="M98" s="4" t="s">
        <v>22</v>
      </c>
      <c r="N98" s="4">
        <v>465.66</v>
      </c>
    </row>
    <row r="99" spans="1:14" ht="15" customHeight="1" x14ac:dyDescent="0.2">
      <c r="A99" s="4" t="s">
        <v>420</v>
      </c>
      <c r="B99" s="6">
        <v>45678</v>
      </c>
      <c r="C99" s="4" t="s">
        <v>421</v>
      </c>
      <c r="D99" s="4" t="s">
        <v>32</v>
      </c>
      <c r="E99" s="4">
        <v>5</v>
      </c>
      <c r="F99" s="4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4">
        <v>9</v>
      </c>
      <c r="M99" s="4" t="s">
        <v>38</v>
      </c>
      <c r="N99" s="4">
        <v>3097.6</v>
      </c>
    </row>
    <row r="100" spans="1:14" ht="15" customHeight="1" x14ac:dyDescent="0.2">
      <c r="A100" s="4" t="s">
        <v>424</v>
      </c>
      <c r="B100" s="6">
        <v>44940</v>
      </c>
      <c r="C100" s="4" t="s">
        <v>425</v>
      </c>
      <c r="D100" s="4" t="s">
        <v>48</v>
      </c>
      <c r="E100" s="4">
        <v>2</v>
      </c>
      <c r="F100" s="4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4">
        <v>3</v>
      </c>
      <c r="M100" s="4" t="s">
        <v>38</v>
      </c>
      <c r="N100" s="4">
        <v>457.08</v>
      </c>
    </row>
    <row r="101" spans="1:14" ht="15" customHeight="1" x14ac:dyDescent="0.2">
      <c r="A101" s="4" t="s">
        <v>428</v>
      </c>
      <c r="B101" s="6">
        <v>45759</v>
      </c>
      <c r="C101" s="4" t="s">
        <v>429</v>
      </c>
      <c r="D101" s="4" t="s">
        <v>48</v>
      </c>
      <c r="E101" s="4">
        <v>1</v>
      </c>
      <c r="F101" s="4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4">
        <v>2</v>
      </c>
      <c r="L101" s="4" t="s">
        <v>81</v>
      </c>
      <c r="M101" s="4" t="s">
        <v>38</v>
      </c>
      <c r="N101" s="4">
        <v>201.58</v>
      </c>
    </row>
    <row r="102" spans="1:14" ht="15" customHeight="1" x14ac:dyDescent="0.2">
      <c r="A102" s="4" t="s">
        <v>432</v>
      </c>
      <c r="B102" s="6">
        <v>44974</v>
      </c>
      <c r="C102" s="4" t="s">
        <v>433</v>
      </c>
      <c r="D102" s="4" t="s">
        <v>25</v>
      </c>
      <c r="E102" s="4">
        <v>3</v>
      </c>
      <c r="F102" s="4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4">
        <v>6</v>
      </c>
      <c r="M102" s="4" t="s">
        <v>45</v>
      </c>
      <c r="N102" s="4">
        <v>1994.37</v>
      </c>
    </row>
    <row r="103" spans="1:14" ht="15" customHeight="1" x14ac:dyDescent="0.2">
      <c r="A103" s="4" t="s">
        <v>436</v>
      </c>
      <c r="B103" s="6">
        <v>45255</v>
      </c>
      <c r="C103" s="4" t="s">
        <v>437</v>
      </c>
      <c r="D103" s="4" t="s">
        <v>48</v>
      </c>
      <c r="E103" s="4">
        <v>1</v>
      </c>
      <c r="F103" s="4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4">
        <v>6</v>
      </c>
      <c r="M103" s="4" t="s">
        <v>76</v>
      </c>
      <c r="N103" s="4">
        <v>381.02</v>
      </c>
    </row>
    <row r="104" spans="1:14" ht="15" customHeight="1" x14ac:dyDescent="0.2">
      <c r="A104" s="4" t="s">
        <v>440</v>
      </c>
      <c r="B104" s="6">
        <v>44993</v>
      </c>
      <c r="C104" s="4" t="s">
        <v>441</v>
      </c>
      <c r="D104" s="4" t="s">
        <v>58</v>
      </c>
      <c r="E104" s="4">
        <v>2</v>
      </c>
      <c r="F104" s="4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4">
        <v>3</v>
      </c>
      <c r="L104" s="4" t="s">
        <v>37</v>
      </c>
      <c r="M104" s="4" t="s">
        <v>38</v>
      </c>
      <c r="N104" s="4">
        <v>140.68</v>
      </c>
    </row>
    <row r="105" spans="1:14" ht="15" customHeight="1" x14ac:dyDescent="0.2">
      <c r="A105" s="4" t="s">
        <v>444</v>
      </c>
      <c r="B105" s="6">
        <v>45682</v>
      </c>
      <c r="C105" s="4" t="s">
        <v>445</v>
      </c>
      <c r="D105" s="4" t="s">
        <v>25</v>
      </c>
      <c r="E105" s="4">
        <v>4</v>
      </c>
      <c r="F105" s="4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4">
        <v>9</v>
      </c>
      <c r="L105" s="4" t="s">
        <v>21</v>
      </c>
      <c r="M105" s="4" t="s">
        <v>38</v>
      </c>
      <c r="N105" s="4">
        <v>873.72</v>
      </c>
    </row>
    <row r="106" spans="1:14" ht="15" customHeight="1" x14ac:dyDescent="0.2">
      <c r="A106" s="4" t="s">
        <v>448</v>
      </c>
      <c r="B106" s="6">
        <v>45503</v>
      </c>
      <c r="C106" s="4" t="s">
        <v>449</v>
      </c>
      <c r="D106" s="4" t="s">
        <v>25</v>
      </c>
      <c r="E106" s="4">
        <v>1</v>
      </c>
      <c r="F106" s="4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4">
        <v>1</v>
      </c>
      <c r="L106" s="4" t="s">
        <v>37</v>
      </c>
      <c r="M106" s="4" t="s">
        <v>38</v>
      </c>
      <c r="N106" s="4">
        <v>582.04</v>
      </c>
    </row>
    <row r="107" spans="1:14" ht="15" customHeight="1" x14ac:dyDescent="0.2">
      <c r="A107" s="4" t="s">
        <v>452</v>
      </c>
      <c r="B107" s="6">
        <v>45589</v>
      </c>
      <c r="C107" s="4" t="s">
        <v>453</v>
      </c>
      <c r="D107" s="4" t="s">
        <v>48</v>
      </c>
      <c r="E107" s="4">
        <v>3</v>
      </c>
      <c r="F107" s="4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4">
        <v>7</v>
      </c>
      <c r="M107" s="4" t="s">
        <v>45</v>
      </c>
      <c r="N107" s="4">
        <v>556.20000000000005</v>
      </c>
    </row>
    <row r="108" spans="1:14" ht="15" customHeight="1" x14ac:dyDescent="0.2">
      <c r="A108" s="4" t="s">
        <v>456</v>
      </c>
      <c r="B108" s="6">
        <v>45177</v>
      </c>
      <c r="C108" s="4" t="s">
        <v>457</v>
      </c>
      <c r="D108" s="4" t="s">
        <v>73</v>
      </c>
      <c r="E108" s="4">
        <v>3</v>
      </c>
      <c r="F108" s="4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4">
        <v>3</v>
      </c>
      <c r="L108" s="4" t="s">
        <v>21</v>
      </c>
      <c r="M108" s="4" t="s">
        <v>38</v>
      </c>
      <c r="N108" s="4">
        <v>1395.15</v>
      </c>
    </row>
    <row r="109" spans="1:14" ht="15" customHeight="1" x14ac:dyDescent="0.2">
      <c r="A109" s="4" t="s">
        <v>460</v>
      </c>
      <c r="B109" s="6">
        <v>45012</v>
      </c>
      <c r="C109" s="4" t="s">
        <v>461</v>
      </c>
      <c r="D109" s="4" t="s">
        <v>48</v>
      </c>
      <c r="E109" s="4">
        <v>5</v>
      </c>
      <c r="F109" s="4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4">
        <v>8</v>
      </c>
      <c r="L109" s="4" t="s">
        <v>37</v>
      </c>
      <c r="M109" s="4" t="s">
        <v>22</v>
      </c>
      <c r="N109" s="4">
        <v>3353.75</v>
      </c>
    </row>
    <row r="110" spans="1:14" ht="15" customHeight="1" x14ac:dyDescent="0.2">
      <c r="A110" s="4" t="s">
        <v>464</v>
      </c>
      <c r="B110" s="6">
        <v>45654</v>
      </c>
      <c r="C110" s="4" t="s">
        <v>465</v>
      </c>
      <c r="D110" s="4" t="s">
        <v>58</v>
      </c>
      <c r="E110" s="4">
        <v>5</v>
      </c>
      <c r="F110" s="4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4">
        <v>9</v>
      </c>
      <c r="L110" s="4" t="s">
        <v>81</v>
      </c>
      <c r="M110" s="4" t="s">
        <v>38</v>
      </c>
      <c r="N110" s="4">
        <v>241.9</v>
      </c>
    </row>
    <row r="111" spans="1:14" ht="15" customHeight="1" x14ac:dyDescent="0.2">
      <c r="A111" s="4" t="s">
        <v>468</v>
      </c>
      <c r="B111" s="6">
        <v>45186</v>
      </c>
      <c r="C111" s="4" t="s">
        <v>469</v>
      </c>
      <c r="D111" s="4" t="s">
        <v>73</v>
      </c>
      <c r="E111" s="4">
        <v>3</v>
      </c>
      <c r="F111" s="4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4">
        <v>3</v>
      </c>
      <c r="L111" s="4" t="s">
        <v>37</v>
      </c>
      <c r="M111" s="4" t="s">
        <v>29</v>
      </c>
      <c r="N111" s="4">
        <v>1778.61</v>
      </c>
    </row>
    <row r="112" spans="1:14" ht="15" customHeight="1" x14ac:dyDescent="0.2">
      <c r="A112" s="4" t="s">
        <v>472</v>
      </c>
      <c r="B112" s="6">
        <v>45403</v>
      </c>
      <c r="C112" s="4" t="s">
        <v>473</v>
      </c>
      <c r="D112" s="4" t="s">
        <v>32</v>
      </c>
      <c r="E112" s="4">
        <v>1</v>
      </c>
      <c r="F112" s="4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4">
        <v>5</v>
      </c>
      <c r="L112" s="4" t="s">
        <v>37</v>
      </c>
      <c r="M112" s="4" t="s">
        <v>22</v>
      </c>
      <c r="N112" s="4">
        <v>220.77</v>
      </c>
    </row>
    <row r="113" spans="1:14" ht="15" customHeight="1" x14ac:dyDescent="0.2">
      <c r="A113" s="4" t="s">
        <v>476</v>
      </c>
      <c r="B113" s="6">
        <v>45784</v>
      </c>
      <c r="C113" s="4" t="s">
        <v>477</v>
      </c>
      <c r="D113" s="4" t="s">
        <v>73</v>
      </c>
      <c r="E113" s="4">
        <v>3</v>
      </c>
      <c r="F113" s="4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4">
        <v>7</v>
      </c>
      <c r="L113" s="4" t="s">
        <v>37</v>
      </c>
      <c r="M113" s="4" t="s">
        <v>76</v>
      </c>
      <c r="N113" s="4">
        <v>927.66</v>
      </c>
    </row>
    <row r="114" spans="1:14" ht="15" customHeight="1" x14ac:dyDescent="0.2">
      <c r="A114" s="4" t="s">
        <v>480</v>
      </c>
      <c r="B114" s="6">
        <v>44927</v>
      </c>
      <c r="C114" s="4" t="s">
        <v>481</v>
      </c>
      <c r="D114" s="4" t="s">
        <v>16</v>
      </c>
      <c r="E114" s="4">
        <v>1</v>
      </c>
      <c r="F114" s="4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4">
        <v>2</v>
      </c>
      <c r="L114" s="4" t="s">
        <v>81</v>
      </c>
      <c r="M114" s="4" t="s">
        <v>29</v>
      </c>
      <c r="N114" s="4">
        <v>410.6</v>
      </c>
    </row>
    <row r="115" spans="1:14" ht="15" customHeight="1" x14ac:dyDescent="0.2">
      <c r="A115" s="4" t="s">
        <v>484</v>
      </c>
      <c r="B115" s="6">
        <v>45308</v>
      </c>
      <c r="C115" s="4" t="s">
        <v>485</v>
      </c>
      <c r="D115" s="4" t="s">
        <v>58</v>
      </c>
      <c r="E115" s="4">
        <v>5</v>
      </c>
      <c r="F115" s="4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4">
        <v>9</v>
      </c>
      <c r="L115" s="4" t="s">
        <v>37</v>
      </c>
      <c r="M115" s="4" t="s">
        <v>22</v>
      </c>
      <c r="N115" s="4">
        <v>950.4</v>
      </c>
    </row>
    <row r="116" spans="1:14" ht="15" customHeight="1" x14ac:dyDescent="0.2">
      <c r="A116" s="4" t="s">
        <v>488</v>
      </c>
      <c r="B116" s="6">
        <v>45684</v>
      </c>
      <c r="C116" s="4" t="s">
        <v>489</v>
      </c>
      <c r="D116" s="4" t="s">
        <v>16</v>
      </c>
      <c r="E116" s="4">
        <v>5</v>
      </c>
      <c r="F116" s="4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4">
        <v>8</v>
      </c>
      <c r="L116" s="4" t="s">
        <v>21</v>
      </c>
      <c r="M116" s="4" t="s">
        <v>76</v>
      </c>
      <c r="N116" s="4">
        <v>2492.4</v>
      </c>
    </row>
    <row r="117" spans="1:14" ht="15" customHeight="1" x14ac:dyDescent="0.2">
      <c r="A117" s="4" t="s">
        <v>492</v>
      </c>
      <c r="B117" s="6">
        <v>45257</v>
      </c>
      <c r="C117" s="4" t="s">
        <v>493</v>
      </c>
      <c r="D117" s="4" t="s">
        <v>25</v>
      </c>
      <c r="E117" s="4">
        <v>5</v>
      </c>
      <c r="F117" s="4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4">
        <v>9</v>
      </c>
      <c r="L117" s="4" t="s">
        <v>21</v>
      </c>
      <c r="M117" s="4" t="s">
        <v>45</v>
      </c>
      <c r="N117" s="4">
        <v>1874.95</v>
      </c>
    </row>
    <row r="118" spans="1:14" ht="15" customHeight="1" x14ac:dyDescent="0.2">
      <c r="A118" s="4" t="s">
        <v>496</v>
      </c>
      <c r="B118" s="6">
        <v>45004</v>
      </c>
      <c r="C118" s="4" t="s">
        <v>497</v>
      </c>
      <c r="D118" s="4" t="s">
        <v>48</v>
      </c>
      <c r="E118" s="4">
        <v>4</v>
      </c>
      <c r="F118" s="4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4">
        <v>6</v>
      </c>
      <c r="L118" s="4" t="s">
        <v>81</v>
      </c>
      <c r="M118" s="4" t="s">
        <v>45</v>
      </c>
      <c r="N118" s="4">
        <v>1165.4000000000001</v>
      </c>
    </row>
    <row r="119" spans="1:14" ht="15" customHeight="1" x14ac:dyDescent="0.2">
      <c r="A119" s="4" t="s">
        <v>500</v>
      </c>
      <c r="B119" s="6">
        <v>44993</v>
      </c>
      <c r="C119" s="4" t="s">
        <v>501</v>
      </c>
      <c r="D119" s="4" t="s">
        <v>32</v>
      </c>
      <c r="E119" s="4">
        <v>1</v>
      </c>
      <c r="F119" s="4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4">
        <v>5</v>
      </c>
      <c r="L119" s="4" t="s">
        <v>81</v>
      </c>
      <c r="M119" s="4" t="s">
        <v>29</v>
      </c>
      <c r="N119" s="4">
        <v>535.5</v>
      </c>
    </row>
    <row r="120" spans="1:14" ht="15" customHeight="1" x14ac:dyDescent="0.2">
      <c r="A120" s="4" t="s">
        <v>504</v>
      </c>
      <c r="B120" s="6">
        <v>45208</v>
      </c>
      <c r="C120" s="4" t="s">
        <v>505</v>
      </c>
      <c r="D120" s="4" t="s">
        <v>48</v>
      </c>
      <c r="E120" s="4">
        <v>5</v>
      </c>
      <c r="F120" s="4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4">
        <v>7</v>
      </c>
      <c r="L120" s="4" t="s">
        <v>37</v>
      </c>
      <c r="M120" s="4" t="s">
        <v>76</v>
      </c>
      <c r="N120" s="4">
        <v>2513.5500000000002</v>
      </c>
    </row>
    <row r="121" spans="1:14" ht="15" customHeight="1" x14ac:dyDescent="0.2">
      <c r="A121" s="4" t="s">
        <v>508</v>
      </c>
      <c r="B121" s="6">
        <v>45819</v>
      </c>
      <c r="C121" s="4" t="s">
        <v>509</v>
      </c>
      <c r="D121" s="4" t="s">
        <v>73</v>
      </c>
      <c r="E121" s="4">
        <v>2</v>
      </c>
      <c r="F121" s="4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4">
        <v>7</v>
      </c>
      <c r="L121" s="4" t="s">
        <v>37</v>
      </c>
      <c r="M121" s="4" t="s">
        <v>29</v>
      </c>
      <c r="N121" s="4">
        <v>1069.3399999999999</v>
      </c>
    </row>
    <row r="122" spans="1:14" ht="15" customHeight="1" x14ac:dyDescent="0.2">
      <c r="A122" s="4" t="s">
        <v>512</v>
      </c>
      <c r="B122" s="6">
        <v>45027</v>
      </c>
      <c r="C122" s="4" t="s">
        <v>513</v>
      </c>
      <c r="D122" s="4" t="s">
        <v>32</v>
      </c>
      <c r="E122" s="4">
        <v>4</v>
      </c>
      <c r="F122" s="4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4">
        <v>4</v>
      </c>
      <c r="L122" s="4" t="s">
        <v>81</v>
      </c>
      <c r="M122" s="4" t="s">
        <v>22</v>
      </c>
      <c r="N122" s="4">
        <v>2517.36</v>
      </c>
    </row>
    <row r="123" spans="1:14" ht="15" customHeight="1" x14ac:dyDescent="0.2">
      <c r="A123" s="4" t="s">
        <v>515</v>
      </c>
      <c r="B123" s="6">
        <v>45260</v>
      </c>
      <c r="C123" s="4" t="s">
        <v>516</v>
      </c>
      <c r="D123" s="4" t="s">
        <v>73</v>
      </c>
      <c r="E123" s="4">
        <v>1</v>
      </c>
      <c r="F123" s="4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4">
        <v>1</v>
      </c>
      <c r="L123" s="4" t="s">
        <v>37</v>
      </c>
      <c r="M123" s="4" t="s">
        <v>22</v>
      </c>
      <c r="N123" s="4">
        <v>410.78</v>
      </c>
    </row>
    <row r="124" spans="1:14" ht="15" customHeight="1" x14ac:dyDescent="0.2">
      <c r="A124" s="4" t="s">
        <v>519</v>
      </c>
      <c r="B124" s="6">
        <v>45397</v>
      </c>
      <c r="C124" s="4" t="s">
        <v>520</v>
      </c>
      <c r="D124" s="4" t="s">
        <v>58</v>
      </c>
      <c r="E124" s="4">
        <v>2</v>
      </c>
      <c r="F124" s="4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4">
        <v>2</v>
      </c>
      <c r="M124" s="4" t="s">
        <v>45</v>
      </c>
      <c r="N124" s="4">
        <v>1066.04</v>
      </c>
    </row>
    <row r="125" spans="1:14" ht="15" customHeight="1" x14ac:dyDescent="0.2">
      <c r="A125" s="4" t="s">
        <v>523</v>
      </c>
      <c r="B125" s="6">
        <v>45113</v>
      </c>
      <c r="C125" s="4" t="s">
        <v>524</v>
      </c>
      <c r="D125" s="4" t="s">
        <v>73</v>
      </c>
      <c r="E125" s="4">
        <v>3</v>
      </c>
      <c r="F125" s="4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4">
        <v>5</v>
      </c>
      <c r="M125" s="4" t="s">
        <v>22</v>
      </c>
      <c r="N125" s="4">
        <v>834.12</v>
      </c>
    </row>
    <row r="126" spans="1:14" ht="15" customHeight="1" x14ac:dyDescent="0.2">
      <c r="A126" s="4" t="s">
        <v>527</v>
      </c>
      <c r="B126" s="6">
        <v>45501</v>
      </c>
      <c r="C126" s="4" t="s">
        <v>528</v>
      </c>
      <c r="D126" s="4" t="s">
        <v>48</v>
      </c>
      <c r="E126" s="4">
        <v>4</v>
      </c>
      <c r="F126" s="4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4">
        <v>8</v>
      </c>
      <c r="M126" s="4" t="s">
        <v>76</v>
      </c>
      <c r="N126" s="4">
        <v>1135.1600000000001</v>
      </c>
    </row>
    <row r="127" spans="1:14" ht="15" customHeight="1" x14ac:dyDescent="0.2">
      <c r="A127" s="4" t="s">
        <v>531</v>
      </c>
      <c r="B127" s="6">
        <v>45602</v>
      </c>
      <c r="C127" s="4" t="s">
        <v>532</v>
      </c>
      <c r="D127" s="4" t="s">
        <v>25</v>
      </c>
      <c r="E127" s="4">
        <v>2</v>
      </c>
      <c r="F127" s="4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4">
        <v>5</v>
      </c>
      <c r="L127" s="4" t="s">
        <v>21</v>
      </c>
      <c r="M127" s="4" t="s">
        <v>38</v>
      </c>
      <c r="N127" s="4">
        <v>1025.3</v>
      </c>
    </row>
    <row r="128" spans="1:14" ht="15" customHeight="1" x14ac:dyDescent="0.2">
      <c r="A128" s="4" t="s">
        <v>535</v>
      </c>
      <c r="B128" s="6">
        <v>45780</v>
      </c>
      <c r="C128" s="4" t="s">
        <v>536</v>
      </c>
      <c r="D128" s="4" t="s">
        <v>73</v>
      </c>
      <c r="E128" s="4">
        <v>4</v>
      </c>
      <c r="F128" s="4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4">
        <v>8</v>
      </c>
      <c r="L128" s="4" t="s">
        <v>37</v>
      </c>
      <c r="M128" s="4" t="s">
        <v>76</v>
      </c>
      <c r="N128" s="4">
        <v>1102</v>
      </c>
    </row>
    <row r="129" spans="1:14" ht="15" customHeight="1" x14ac:dyDescent="0.2">
      <c r="A129" s="4" t="s">
        <v>539</v>
      </c>
      <c r="B129" s="6">
        <v>45148</v>
      </c>
      <c r="C129" s="4" t="s">
        <v>540</v>
      </c>
      <c r="D129" s="4" t="s">
        <v>73</v>
      </c>
      <c r="E129" s="4">
        <v>3</v>
      </c>
      <c r="F129" s="4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4">
        <v>3</v>
      </c>
      <c r="M129" s="4" t="s">
        <v>76</v>
      </c>
      <c r="N129" s="4">
        <v>1407.96</v>
      </c>
    </row>
    <row r="130" spans="1:14" ht="15" customHeight="1" x14ac:dyDescent="0.2">
      <c r="A130" s="4" t="s">
        <v>543</v>
      </c>
      <c r="B130" s="6">
        <v>44974</v>
      </c>
      <c r="C130" s="4" t="s">
        <v>544</v>
      </c>
      <c r="D130" s="4" t="s">
        <v>32</v>
      </c>
      <c r="E130" s="4">
        <v>4</v>
      </c>
      <c r="F130" s="4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4">
        <v>4</v>
      </c>
      <c r="L130" s="4" t="s">
        <v>37</v>
      </c>
      <c r="M130" s="4" t="s">
        <v>76</v>
      </c>
      <c r="N130" s="4">
        <v>84.28</v>
      </c>
    </row>
    <row r="131" spans="1:14" ht="15" customHeight="1" x14ac:dyDescent="0.2">
      <c r="A131" s="4" t="s">
        <v>547</v>
      </c>
      <c r="B131" s="6">
        <v>45226</v>
      </c>
      <c r="C131" s="4" t="s">
        <v>548</v>
      </c>
      <c r="D131" s="4" t="s">
        <v>58</v>
      </c>
      <c r="E131" s="4">
        <v>4</v>
      </c>
      <c r="F131" s="4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4">
        <v>4</v>
      </c>
      <c r="L131" s="4" t="s">
        <v>37</v>
      </c>
      <c r="M131" s="4" t="s">
        <v>45</v>
      </c>
      <c r="N131" s="4">
        <v>1055.72</v>
      </c>
    </row>
    <row r="132" spans="1:14" ht="15" customHeight="1" x14ac:dyDescent="0.2">
      <c r="A132" s="4" t="s">
        <v>551</v>
      </c>
      <c r="B132" s="6">
        <v>45679</v>
      </c>
      <c r="C132" s="4" t="s">
        <v>552</v>
      </c>
      <c r="D132" s="4" t="s">
        <v>73</v>
      </c>
      <c r="E132" s="4">
        <v>3</v>
      </c>
      <c r="F132" s="4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4">
        <v>3</v>
      </c>
      <c r="L132" s="4" t="s">
        <v>81</v>
      </c>
      <c r="M132" s="4" t="s">
        <v>45</v>
      </c>
      <c r="N132" s="4">
        <v>1503.9</v>
      </c>
    </row>
    <row r="133" spans="1:14" ht="15" customHeight="1" x14ac:dyDescent="0.2">
      <c r="A133" s="4" t="s">
        <v>555</v>
      </c>
      <c r="B133" s="6">
        <v>44934</v>
      </c>
      <c r="C133" s="4" t="s">
        <v>556</v>
      </c>
      <c r="D133" s="4" t="s">
        <v>32</v>
      </c>
      <c r="E133" s="4">
        <v>1</v>
      </c>
      <c r="F133" s="4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4">
        <v>5</v>
      </c>
      <c r="M133" s="4" t="s">
        <v>22</v>
      </c>
      <c r="N133" s="4">
        <v>84.8</v>
      </c>
    </row>
    <row r="134" spans="1:14" ht="15" customHeight="1" x14ac:dyDescent="0.2">
      <c r="A134" s="4" t="s">
        <v>559</v>
      </c>
      <c r="B134" s="6">
        <v>45013</v>
      </c>
      <c r="C134" s="4" t="s">
        <v>560</v>
      </c>
      <c r="D134" s="4" t="s">
        <v>32</v>
      </c>
      <c r="E134" s="4">
        <v>4</v>
      </c>
      <c r="F134" s="4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4">
        <v>6</v>
      </c>
      <c r="L134" s="4" t="s">
        <v>81</v>
      </c>
      <c r="M134" s="4" t="s">
        <v>38</v>
      </c>
      <c r="N134" s="4">
        <v>1803</v>
      </c>
    </row>
    <row r="135" spans="1:14" ht="15" customHeight="1" x14ac:dyDescent="0.2">
      <c r="A135" s="4" t="s">
        <v>563</v>
      </c>
      <c r="B135" s="6">
        <v>45828</v>
      </c>
      <c r="C135" s="4" t="s">
        <v>564</v>
      </c>
      <c r="D135" s="4" t="s">
        <v>41</v>
      </c>
      <c r="E135" s="4">
        <v>4</v>
      </c>
      <c r="F135" s="4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4">
        <v>6</v>
      </c>
      <c r="L135" s="4" t="s">
        <v>21</v>
      </c>
      <c r="M135" s="4" t="s">
        <v>76</v>
      </c>
      <c r="N135" s="4">
        <v>1208.2</v>
      </c>
    </row>
    <row r="136" spans="1:14" ht="15" customHeight="1" x14ac:dyDescent="0.2">
      <c r="A136" s="4" t="s">
        <v>567</v>
      </c>
      <c r="B136" s="6">
        <v>45831</v>
      </c>
      <c r="C136" s="4" t="s">
        <v>568</v>
      </c>
      <c r="D136" s="4" t="s">
        <v>58</v>
      </c>
      <c r="E136" s="4">
        <v>2</v>
      </c>
      <c r="F136" s="4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4">
        <v>4</v>
      </c>
      <c r="M136" s="4" t="s">
        <v>38</v>
      </c>
      <c r="N136" s="4">
        <v>399.4</v>
      </c>
    </row>
    <row r="137" spans="1:14" ht="15" customHeight="1" x14ac:dyDescent="0.2">
      <c r="A137" s="4" t="s">
        <v>570</v>
      </c>
      <c r="B137" s="6">
        <v>45142</v>
      </c>
      <c r="C137" s="4" t="s">
        <v>571</v>
      </c>
      <c r="D137" s="4" t="s">
        <v>48</v>
      </c>
      <c r="E137" s="4">
        <v>2</v>
      </c>
      <c r="F137" s="4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4">
        <v>5</v>
      </c>
      <c r="L137" s="4" t="s">
        <v>21</v>
      </c>
      <c r="M137" s="4" t="s">
        <v>29</v>
      </c>
      <c r="N137" s="4">
        <v>137.62</v>
      </c>
    </row>
    <row r="138" spans="1:14" ht="15" customHeight="1" x14ac:dyDescent="0.2">
      <c r="A138" s="4" t="s">
        <v>574</v>
      </c>
      <c r="B138" s="6">
        <v>45409</v>
      </c>
      <c r="C138" s="4" t="s">
        <v>575</v>
      </c>
      <c r="D138" s="4" t="s">
        <v>58</v>
      </c>
      <c r="E138" s="4">
        <v>1</v>
      </c>
      <c r="F138" s="4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4">
        <v>1</v>
      </c>
      <c r="L138" s="4" t="s">
        <v>21</v>
      </c>
      <c r="M138" s="4" t="s">
        <v>22</v>
      </c>
      <c r="N138" s="4">
        <v>44.35</v>
      </c>
    </row>
    <row r="139" spans="1:14" ht="15" customHeight="1" x14ac:dyDescent="0.2">
      <c r="A139" s="4" t="s">
        <v>578</v>
      </c>
      <c r="B139" s="6">
        <v>45622</v>
      </c>
      <c r="C139" s="4" t="s">
        <v>579</v>
      </c>
      <c r="D139" s="4" t="s">
        <v>16</v>
      </c>
      <c r="E139" s="4">
        <v>2</v>
      </c>
      <c r="F139" s="4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4">
        <v>5</v>
      </c>
      <c r="M139" s="4" t="s">
        <v>76</v>
      </c>
      <c r="N139" s="4">
        <v>501.96</v>
      </c>
    </row>
    <row r="140" spans="1:14" ht="15" customHeight="1" x14ac:dyDescent="0.2">
      <c r="A140" s="4" t="s">
        <v>582</v>
      </c>
      <c r="B140" s="6">
        <v>45281</v>
      </c>
      <c r="C140" s="4" t="s">
        <v>583</v>
      </c>
      <c r="D140" s="4" t="s">
        <v>32</v>
      </c>
      <c r="E140" s="4">
        <v>1</v>
      </c>
      <c r="F140" s="4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4">
        <v>3</v>
      </c>
      <c r="L140" s="4" t="s">
        <v>81</v>
      </c>
      <c r="M140" s="4" t="s">
        <v>76</v>
      </c>
      <c r="N140" s="4">
        <v>298.06</v>
      </c>
    </row>
    <row r="141" spans="1:14" ht="15" customHeight="1" x14ac:dyDescent="0.2">
      <c r="A141" s="4" t="s">
        <v>586</v>
      </c>
      <c r="B141" s="6">
        <v>45026</v>
      </c>
      <c r="C141" s="4" t="s">
        <v>587</v>
      </c>
      <c r="D141" s="4" t="s">
        <v>25</v>
      </c>
      <c r="E141" s="4">
        <v>1</v>
      </c>
      <c r="F141" s="4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4">
        <v>1</v>
      </c>
      <c r="M141" s="4" t="s">
        <v>38</v>
      </c>
      <c r="N141" s="4">
        <v>583.9</v>
      </c>
    </row>
    <row r="142" spans="1:14" ht="15" customHeight="1" x14ac:dyDescent="0.2">
      <c r="A142" s="4" t="s">
        <v>590</v>
      </c>
      <c r="B142" s="6">
        <v>45808</v>
      </c>
      <c r="C142" s="4" t="s">
        <v>591</v>
      </c>
      <c r="D142" s="4" t="s">
        <v>41</v>
      </c>
      <c r="E142" s="4">
        <v>3</v>
      </c>
      <c r="F142" s="4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4">
        <v>3</v>
      </c>
      <c r="L142" s="4" t="s">
        <v>37</v>
      </c>
      <c r="M142" s="4" t="s">
        <v>38</v>
      </c>
      <c r="N142" s="4">
        <v>1584.42</v>
      </c>
    </row>
    <row r="143" spans="1:14" ht="15" customHeight="1" x14ac:dyDescent="0.2">
      <c r="A143" s="4" t="s">
        <v>593</v>
      </c>
      <c r="B143" s="6">
        <v>45248</v>
      </c>
      <c r="C143" s="4" t="s">
        <v>594</v>
      </c>
      <c r="D143" s="4" t="s">
        <v>48</v>
      </c>
      <c r="E143" s="4">
        <v>3</v>
      </c>
      <c r="F143" s="4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4">
        <v>3</v>
      </c>
      <c r="L143" s="4" t="s">
        <v>81</v>
      </c>
      <c r="M143" s="4" t="s">
        <v>22</v>
      </c>
      <c r="N143" s="4">
        <v>2052.42</v>
      </c>
    </row>
    <row r="144" spans="1:14" ht="15" customHeight="1" x14ac:dyDescent="0.2">
      <c r="A144" s="4" t="s">
        <v>597</v>
      </c>
      <c r="B144" s="6">
        <v>45175</v>
      </c>
      <c r="C144" s="4" t="s">
        <v>598</v>
      </c>
      <c r="D144" s="4" t="s">
        <v>73</v>
      </c>
      <c r="E144" s="4">
        <v>5</v>
      </c>
      <c r="F144" s="4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4">
        <v>7</v>
      </c>
      <c r="L144" s="4" t="s">
        <v>81</v>
      </c>
      <c r="M144" s="4" t="s">
        <v>38</v>
      </c>
      <c r="N144" s="4">
        <v>1363.85</v>
      </c>
    </row>
    <row r="145" spans="1:14" ht="15" customHeight="1" x14ac:dyDescent="0.2">
      <c r="A145" s="4" t="s">
        <v>601</v>
      </c>
      <c r="B145" s="6">
        <v>45456</v>
      </c>
      <c r="C145" s="4" t="s">
        <v>602</v>
      </c>
      <c r="D145" s="4" t="s">
        <v>41</v>
      </c>
      <c r="E145" s="4">
        <v>4</v>
      </c>
      <c r="F145" s="4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4">
        <v>5</v>
      </c>
      <c r="M145" s="4" t="s">
        <v>29</v>
      </c>
      <c r="N145" s="4">
        <v>1600.28</v>
      </c>
    </row>
    <row r="146" spans="1:14" ht="15" customHeight="1" x14ac:dyDescent="0.2">
      <c r="A146" s="4" t="s">
        <v>605</v>
      </c>
      <c r="B146" s="6">
        <v>45142</v>
      </c>
      <c r="C146" s="4" t="s">
        <v>606</v>
      </c>
      <c r="D146" s="4" t="s">
        <v>73</v>
      </c>
      <c r="E146" s="4">
        <v>5</v>
      </c>
      <c r="F146" s="4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4">
        <v>8</v>
      </c>
      <c r="M146" s="4" t="s">
        <v>45</v>
      </c>
      <c r="N146" s="4">
        <v>1098.9000000000001</v>
      </c>
    </row>
    <row r="147" spans="1:14" ht="15" customHeight="1" x14ac:dyDescent="0.2">
      <c r="A147" s="4" t="s">
        <v>608</v>
      </c>
      <c r="B147" s="6">
        <v>45353</v>
      </c>
      <c r="C147" s="4" t="s">
        <v>609</v>
      </c>
      <c r="D147" s="4" t="s">
        <v>48</v>
      </c>
      <c r="E147" s="4">
        <v>3</v>
      </c>
      <c r="F147" s="4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4">
        <v>6</v>
      </c>
      <c r="L147" s="4" t="s">
        <v>37</v>
      </c>
      <c r="M147" s="4" t="s">
        <v>76</v>
      </c>
      <c r="N147" s="4">
        <v>440.73</v>
      </c>
    </row>
    <row r="148" spans="1:14" ht="15" customHeight="1" x14ac:dyDescent="0.2">
      <c r="A148" s="4" t="s">
        <v>612</v>
      </c>
      <c r="B148" s="6">
        <v>45777</v>
      </c>
      <c r="C148" s="4" t="s">
        <v>613</v>
      </c>
      <c r="D148" s="4" t="s">
        <v>32</v>
      </c>
      <c r="E148" s="4">
        <v>2</v>
      </c>
      <c r="F148" s="4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4">
        <v>4</v>
      </c>
      <c r="M148" s="4" t="s">
        <v>22</v>
      </c>
      <c r="N148" s="4">
        <v>822.98</v>
      </c>
    </row>
    <row r="149" spans="1:14" ht="15" customHeight="1" x14ac:dyDescent="0.2">
      <c r="A149" s="4" t="s">
        <v>616</v>
      </c>
      <c r="B149" s="6">
        <v>45783</v>
      </c>
      <c r="C149" s="4" t="s">
        <v>617</v>
      </c>
      <c r="D149" s="4" t="s">
        <v>58</v>
      </c>
      <c r="E149" s="4">
        <v>2</v>
      </c>
      <c r="F149" s="4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4">
        <v>2</v>
      </c>
      <c r="L149" s="4" t="s">
        <v>21</v>
      </c>
      <c r="M149" s="4" t="s">
        <v>76</v>
      </c>
      <c r="N149" s="4">
        <v>930.36</v>
      </c>
    </row>
    <row r="150" spans="1:14" ht="15" customHeight="1" x14ac:dyDescent="0.2">
      <c r="A150" s="4" t="s">
        <v>620</v>
      </c>
      <c r="B150" s="6">
        <v>45641</v>
      </c>
      <c r="C150" s="4" t="s">
        <v>621</v>
      </c>
      <c r="D150" s="4" t="s">
        <v>25</v>
      </c>
      <c r="E150" s="4">
        <v>2</v>
      </c>
      <c r="F150" s="4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4">
        <v>3</v>
      </c>
      <c r="L150" s="4" t="s">
        <v>81</v>
      </c>
      <c r="M150" s="4" t="s">
        <v>76</v>
      </c>
      <c r="N150" s="4">
        <v>639.82000000000005</v>
      </c>
    </row>
    <row r="151" spans="1:14" ht="15" customHeight="1" x14ac:dyDescent="0.2">
      <c r="A151" s="4" t="s">
        <v>624</v>
      </c>
      <c r="B151" s="6">
        <v>45287</v>
      </c>
      <c r="C151" s="4" t="s">
        <v>625</v>
      </c>
      <c r="D151" s="4" t="s">
        <v>58</v>
      </c>
      <c r="E151" s="4">
        <v>1</v>
      </c>
      <c r="F151" s="4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4">
        <v>3</v>
      </c>
      <c r="M151" s="4" t="s">
        <v>45</v>
      </c>
      <c r="N151" s="4">
        <v>217.56</v>
      </c>
    </row>
    <row r="152" spans="1:14" ht="15" customHeight="1" x14ac:dyDescent="0.2">
      <c r="A152" s="4" t="s">
        <v>628</v>
      </c>
      <c r="B152" s="6">
        <v>45273</v>
      </c>
      <c r="C152" s="4" t="s">
        <v>629</v>
      </c>
      <c r="D152" s="4" t="s">
        <v>25</v>
      </c>
      <c r="E152" s="4">
        <v>2</v>
      </c>
      <c r="F152" s="4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4">
        <v>5</v>
      </c>
      <c r="L152" s="4" t="s">
        <v>81</v>
      </c>
      <c r="M152" s="4" t="s">
        <v>76</v>
      </c>
      <c r="N152" s="4">
        <v>211.14</v>
      </c>
    </row>
    <row r="153" spans="1:14" ht="15" customHeight="1" x14ac:dyDescent="0.2">
      <c r="A153" s="4" t="s">
        <v>632</v>
      </c>
      <c r="B153" s="6">
        <v>45261</v>
      </c>
      <c r="C153" s="4" t="s">
        <v>633</v>
      </c>
      <c r="D153" s="4" t="s">
        <v>48</v>
      </c>
      <c r="E153" s="4">
        <v>5</v>
      </c>
      <c r="F153" s="4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4">
        <v>7</v>
      </c>
      <c r="M153" s="4" t="s">
        <v>38</v>
      </c>
      <c r="N153" s="4">
        <v>2223.8000000000002</v>
      </c>
    </row>
    <row r="154" spans="1:14" ht="15" customHeight="1" x14ac:dyDescent="0.2">
      <c r="A154" s="4" t="s">
        <v>636</v>
      </c>
      <c r="B154" s="6">
        <v>45659</v>
      </c>
      <c r="C154" s="4" t="s">
        <v>637</v>
      </c>
      <c r="D154" s="4" t="s">
        <v>41</v>
      </c>
      <c r="E154" s="4">
        <v>2</v>
      </c>
      <c r="F154" s="4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4">
        <v>3</v>
      </c>
      <c r="L154" s="4" t="s">
        <v>37</v>
      </c>
      <c r="M154" s="4" t="s">
        <v>29</v>
      </c>
      <c r="N154" s="4">
        <v>798.08</v>
      </c>
    </row>
    <row r="155" spans="1:14" ht="15" customHeight="1" x14ac:dyDescent="0.2">
      <c r="A155" s="4" t="s">
        <v>640</v>
      </c>
      <c r="B155" s="6">
        <v>45644</v>
      </c>
      <c r="C155" s="4" t="s">
        <v>641</v>
      </c>
      <c r="D155" s="4" t="s">
        <v>41</v>
      </c>
      <c r="E155" s="4">
        <v>4</v>
      </c>
      <c r="F155" s="4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4">
        <v>9</v>
      </c>
      <c r="L155" s="4" t="s">
        <v>81</v>
      </c>
      <c r="M155" s="4" t="s">
        <v>22</v>
      </c>
      <c r="N155" s="4">
        <v>2137.92</v>
      </c>
    </row>
    <row r="156" spans="1:14" ht="15" customHeight="1" x14ac:dyDescent="0.2">
      <c r="A156" s="4" t="s">
        <v>644</v>
      </c>
      <c r="B156" s="6">
        <v>45127</v>
      </c>
      <c r="C156" s="4" t="s">
        <v>645</v>
      </c>
      <c r="D156" s="4" t="s">
        <v>25</v>
      </c>
      <c r="E156" s="4">
        <v>4</v>
      </c>
      <c r="F156" s="4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4">
        <v>9</v>
      </c>
      <c r="M156" s="4" t="s">
        <v>22</v>
      </c>
      <c r="N156" s="4">
        <v>1632.84</v>
      </c>
    </row>
    <row r="157" spans="1:14" ht="15" customHeight="1" x14ac:dyDescent="0.2">
      <c r="A157" s="4" t="s">
        <v>647</v>
      </c>
      <c r="B157" s="6">
        <v>44984</v>
      </c>
      <c r="C157" s="4" t="s">
        <v>648</v>
      </c>
      <c r="D157" s="4" t="s">
        <v>25</v>
      </c>
      <c r="E157" s="4">
        <v>1</v>
      </c>
      <c r="F157" s="4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4">
        <v>6</v>
      </c>
      <c r="L157" s="4" t="s">
        <v>81</v>
      </c>
      <c r="M157" s="4" t="s">
        <v>29</v>
      </c>
      <c r="N157" s="4">
        <v>424.4</v>
      </c>
    </row>
    <row r="158" spans="1:14" ht="15" customHeight="1" x14ac:dyDescent="0.2">
      <c r="A158" s="4" t="s">
        <v>650</v>
      </c>
      <c r="B158" s="6">
        <v>45604</v>
      </c>
      <c r="C158" s="4" t="s">
        <v>651</v>
      </c>
      <c r="D158" s="4" t="s">
        <v>41</v>
      </c>
      <c r="E158" s="4">
        <v>2</v>
      </c>
      <c r="F158" s="4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4">
        <v>4</v>
      </c>
      <c r="L158" s="4" t="s">
        <v>21</v>
      </c>
      <c r="M158" s="4" t="s">
        <v>38</v>
      </c>
      <c r="N158" s="4">
        <v>539.66</v>
      </c>
    </row>
    <row r="159" spans="1:14" ht="15" customHeight="1" x14ac:dyDescent="0.2">
      <c r="A159" s="4" t="s">
        <v>654</v>
      </c>
      <c r="B159" s="6">
        <v>45709</v>
      </c>
      <c r="C159" s="4" t="s">
        <v>655</v>
      </c>
      <c r="D159" s="4" t="s">
        <v>16</v>
      </c>
      <c r="E159" s="4">
        <v>2</v>
      </c>
      <c r="F159" s="4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4">
        <v>4</v>
      </c>
      <c r="L159" s="4" t="s">
        <v>81</v>
      </c>
      <c r="M159" s="4" t="s">
        <v>45</v>
      </c>
      <c r="N159" s="4">
        <v>1129.1600000000001</v>
      </c>
    </row>
    <row r="160" spans="1:14" ht="15" customHeight="1" x14ac:dyDescent="0.2">
      <c r="A160" s="4" t="s">
        <v>657</v>
      </c>
      <c r="B160" s="6">
        <v>45428</v>
      </c>
      <c r="C160" s="4" t="s">
        <v>658</v>
      </c>
      <c r="D160" s="4" t="s">
        <v>32</v>
      </c>
      <c r="E160" s="4">
        <v>1</v>
      </c>
      <c r="F160" s="4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4">
        <v>5</v>
      </c>
      <c r="L160" s="4" t="s">
        <v>81</v>
      </c>
      <c r="M160" s="4" t="s">
        <v>22</v>
      </c>
      <c r="N160" s="4">
        <v>331.06</v>
      </c>
    </row>
    <row r="161" spans="1:14" ht="15" customHeight="1" x14ac:dyDescent="0.2">
      <c r="A161" s="4" t="s">
        <v>661</v>
      </c>
      <c r="B161" s="6">
        <v>45230</v>
      </c>
      <c r="C161" s="4" t="s">
        <v>662</v>
      </c>
      <c r="D161" s="4" t="s">
        <v>48</v>
      </c>
      <c r="E161" s="4">
        <v>1</v>
      </c>
      <c r="F161" s="4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4">
        <v>5</v>
      </c>
      <c r="L161" s="4" t="s">
        <v>81</v>
      </c>
      <c r="M161" s="4" t="s">
        <v>38</v>
      </c>
      <c r="N161" s="4">
        <v>299.35000000000002</v>
      </c>
    </row>
    <row r="162" spans="1:14" ht="15" customHeight="1" x14ac:dyDescent="0.2">
      <c r="A162" s="4" t="s">
        <v>665</v>
      </c>
      <c r="B162" s="6">
        <v>44974</v>
      </c>
      <c r="C162" s="4" t="s">
        <v>666</v>
      </c>
      <c r="D162" s="4" t="s">
        <v>16</v>
      </c>
      <c r="E162" s="4">
        <v>4</v>
      </c>
      <c r="F162" s="4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4">
        <v>7</v>
      </c>
      <c r="M162" s="4" t="s">
        <v>29</v>
      </c>
      <c r="N162" s="4">
        <v>405.28</v>
      </c>
    </row>
    <row r="163" spans="1:14" ht="15" customHeight="1" x14ac:dyDescent="0.2">
      <c r="A163" s="4" t="s">
        <v>669</v>
      </c>
      <c r="B163" s="6">
        <v>45380</v>
      </c>
      <c r="C163" s="4" t="s">
        <v>670</v>
      </c>
      <c r="D163" s="4" t="s">
        <v>16</v>
      </c>
      <c r="E163" s="4">
        <v>1</v>
      </c>
      <c r="F163" s="4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4">
        <v>1</v>
      </c>
      <c r="L163" s="4" t="s">
        <v>21</v>
      </c>
      <c r="M163" s="4" t="s">
        <v>45</v>
      </c>
      <c r="N163" s="4">
        <v>211.14</v>
      </c>
    </row>
    <row r="164" spans="1:14" ht="15" customHeight="1" x14ac:dyDescent="0.2">
      <c r="A164" s="4" t="s">
        <v>672</v>
      </c>
      <c r="B164" s="6">
        <v>45134</v>
      </c>
      <c r="C164" s="4" t="s">
        <v>673</v>
      </c>
      <c r="D164" s="4" t="s">
        <v>41</v>
      </c>
      <c r="E164" s="4">
        <v>3</v>
      </c>
      <c r="F164" s="4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4">
        <v>8</v>
      </c>
      <c r="L164" s="4" t="s">
        <v>81</v>
      </c>
      <c r="M164" s="4" t="s">
        <v>76</v>
      </c>
      <c r="N164" s="4">
        <v>197.58</v>
      </c>
    </row>
    <row r="165" spans="1:14" ht="15" customHeight="1" x14ac:dyDescent="0.2">
      <c r="A165" s="4" t="s">
        <v>675</v>
      </c>
      <c r="B165" s="6">
        <v>45832</v>
      </c>
      <c r="C165" s="4" t="s">
        <v>676</v>
      </c>
      <c r="D165" s="4" t="s">
        <v>32</v>
      </c>
      <c r="E165" s="4">
        <v>1</v>
      </c>
      <c r="F165" s="4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4">
        <v>1</v>
      </c>
      <c r="M165" s="4" t="s">
        <v>29</v>
      </c>
      <c r="N165" s="4">
        <v>641.39</v>
      </c>
    </row>
    <row r="166" spans="1:14" ht="15" customHeight="1" x14ac:dyDescent="0.2">
      <c r="A166" s="4" t="s">
        <v>679</v>
      </c>
      <c r="B166" s="6">
        <v>45288</v>
      </c>
      <c r="C166" s="4" t="s">
        <v>680</v>
      </c>
      <c r="D166" s="4" t="s">
        <v>73</v>
      </c>
      <c r="E166" s="4">
        <v>5</v>
      </c>
      <c r="F166" s="4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4">
        <v>5</v>
      </c>
      <c r="L166" s="4" t="s">
        <v>21</v>
      </c>
      <c r="M166" s="4" t="s">
        <v>76</v>
      </c>
      <c r="N166" s="4">
        <v>2682.9</v>
      </c>
    </row>
    <row r="167" spans="1:14" ht="15" customHeight="1" x14ac:dyDescent="0.2">
      <c r="A167" s="4" t="s">
        <v>683</v>
      </c>
      <c r="B167" s="6">
        <v>45549</v>
      </c>
      <c r="C167" s="4" t="s">
        <v>684</v>
      </c>
      <c r="D167" s="4" t="s">
        <v>16</v>
      </c>
      <c r="E167" s="4">
        <v>2</v>
      </c>
      <c r="F167" s="4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4">
        <v>7</v>
      </c>
      <c r="L167" s="4" t="s">
        <v>81</v>
      </c>
      <c r="M167" s="4" t="s">
        <v>76</v>
      </c>
      <c r="N167" s="4">
        <v>1000.58</v>
      </c>
    </row>
    <row r="168" spans="1:14" ht="15" customHeight="1" x14ac:dyDescent="0.2">
      <c r="A168" s="4" t="s">
        <v>687</v>
      </c>
      <c r="B168" s="6">
        <v>45720</v>
      </c>
      <c r="C168" s="4" t="s">
        <v>688</v>
      </c>
      <c r="D168" s="4" t="s">
        <v>41</v>
      </c>
      <c r="E168" s="4">
        <v>3</v>
      </c>
      <c r="F168" s="4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4">
        <v>6</v>
      </c>
      <c r="L168" s="4" t="s">
        <v>81</v>
      </c>
      <c r="M168" s="4" t="s">
        <v>22</v>
      </c>
      <c r="N168" s="4">
        <v>258.87</v>
      </c>
    </row>
    <row r="169" spans="1:14" ht="15" customHeight="1" x14ac:dyDescent="0.2">
      <c r="A169" s="4" t="s">
        <v>690</v>
      </c>
      <c r="B169" s="6">
        <v>45073</v>
      </c>
      <c r="C169" s="4" t="s">
        <v>691</v>
      </c>
      <c r="D169" s="4" t="s">
        <v>41</v>
      </c>
      <c r="E169" s="4">
        <v>2</v>
      </c>
      <c r="F169" s="4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4">
        <v>2</v>
      </c>
      <c r="L169" s="4" t="s">
        <v>81</v>
      </c>
      <c r="M169" s="4" t="s">
        <v>38</v>
      </c>
      <c r="N169" s="4">
        <v>768.28</v>
      </c>
    </row>
    <row r="170" spans="1:14" ht="15" customHeight="1" x14ac:dyDescent="0.2">
      <c r="A170" s="4" t="s">
        <v>694</v>
      </c>
      <c r="B170" s="6">
        <v>45661</v>
      </c>
      <c r="C170" s="4" t="s">
        <v>695</v>
      </c>
      <c r="D170" s="4" t="s">
        <v>48</v>
      </c>
      <c r="E170" s="4">
        <v>1</v>
      </c>
      <c r="F170" s="4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4">
        <v>6</v>
      </c>
      <c r="M170" s="4" t="s">
        <v>45</v>
      </c>
      <c r="N170" s="4">
        <v>594.96</v>
      </c>
    </row>
    <row r="171" spans="1:14" ht="15" customHeight="1" x14ac:dyDescent="0.2">
      <c r="A171" s="4" t="s">
        <v>698</v>
      </c>
      <c r="B171" s="6">
        <v>45389</v>
      </c>
      <c r="C171" s="4" t="s">
        <v>699</v>
      </c>
      <c r="D171" s="4" t="s">
        <v>48</v>
      </c>
      <c r="E171" s="4">
        <v>1</v>
      </c>
      <c r="F171" s="4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4">
        <v>2</v>
      </c>
      <c r="L171" s="4" t="s">
        <v>81</v>
      </c>
      <c r="M171" s="4" t="s">
        <v>38</v>
      </c>
      <c r="N171" s="4">
        <v>427.82</v>
      </c>
    </row>
    <row r="172" spans="1:14" ht="15" customHeight="1" x14ac:dyDescent="0.2">
      <c r="A172" s="4" t="s">
        <v>702</v>
      </c>
      <c r="B172" s="6">
        <v>45751</v>
      </c>
      <c r="C172" s="4" t="s">
        <v>703</v>
      </c>
      <c r="D172" s="4" t="s">
        <v>73</v>
      </c>
      <c r="E172" s="4">
        <v>4</v>
      </c>
      <c r="F172" s="4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4">
        <v>8</v>
      </c>
      <c r="L172" s="4" t="s">
        <v>21</v>
      </c>
      <c r="M172" s="4" t="s">
        <v>22</v>
      </c>
      <c r="N172" s="4">
        <v>2651.76</v>
      </c>
    </row>
    <row r="173" spans="1:14" ht="15" customHeight="1" x14ac:dyDescent="0.2">
      <c r="A173" s="4" t="s">
        <v>706</v>
      </c>
      <c r="B173" s="6">
        <v>45153</v>
      </c>
      <c r="C173" s="4" t="s">
        <v>707</v>
      </c>
      <c r="D173" s="4" t="s">
        <v>32</v>
      </c>
      <c r="E173" s="4">
        <v>2</v>
      </c>
      <c r="F173" s="4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4">
        <v>7</v>
      </c>
      <c r="L173" s="4" t="s">
        <v>81</v>
      </c>
      <c r="M173" s="4" t="s">
        <v>22</v>
      </c>
      <c r="N173" s="4">
        <v>296.44</v>
      </c>
    </row>
    <row r="174" spans="1:14" ht="15" customHeight="1" x14ac:dyDescent="0.2">
      <c r="A174" s="4" t="s">
        <v>710</v>
      </c>
      <c r="B174" s="6">
        <v>45753</v>
      </c>
      <c r="C174" s="4" t="s">
        <v>711</v>
      </c>
      <c r="D174" s="4" t="s">
        <v>48</v>
      </c>
      <c r="E174" s="4">
        <v>1</v>
      </c>
      <c r="F174" s="4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4">
        <v>1</v>
      </c>
      <c r="L174" s="4" t="s">
        <v>81</v>
      </c>
      <c r="M174" s="4" t="s">
        <v>38</v>
      </c>
      <c r="N174" s="4">
        <v>254.12</v>
      </c>
    </row>
    <row r="175" spans="1:14" ht="15" customHeight="1" x14ac:dyDescent="0.2">
      <c r="A175" s="4" t="s">
        <v>713</v>
      </c>
      <c r="B175" s="6">
        <v>45375</v>
      </c>
      <c r="C175" s="4" t="s">
        <v>714</v>
      </c>
      <c r="D175" s="4" t="s">
        <v>25</v>
      </c>
      <c r="E175" s="4">
        <v>3</v>
      </c>
      <c r="F175" s="4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4">
        <v>4</v>
      </c>
      <c r="L175" s="4" t="s">
        <v>37</v>
      </c>
      <c r="M175" s="4" t="s">
        <v>76</v>
      </c>
      <c r="N175" s="4">
        <v>1993.38</v>
      </c>
    </row>
    <row r="176" spans="1:14" ht="15" customHeight="1" x14ac:dyDescent="0.2">
      <c r="A176" s="4" t="s">
        <v>717</v>
      </c>
      <c r="B176" s="6">
        <v>45398</v>
      </c>
      <c r="C176" s="4" t="s">
        <v>718</v>
      </c>
      <c r="D176" s="4" t="s">
        <v>48</v>
      </c>
      <c r="E176" s="4">
        <v>4</v>
      </c>
      <c r="F176" s="4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4">
        <v>9</v>
      </c>
      <c r="L176" s="4" t="s">
        <v>21</v>
      </c>
      <c r="M176" s="4" t="s">
        <v>38</v>
      </c>
      <c r="N176" s="4">
        <v>2403.2399999999998</v>
      </c>
    </row>
    <row r="177" spans="1:14" ht="15" customHeight="1" x14ac:dyDescent="0.2">
      <c r="A177" s="4" t="s">
        <v>721</v>
      </c>
      <c r="B177" s="6">
        <v>45696</v>
      </c>
      <c r="C177" s="4" t="s">
        <v>722</v>
      </c>
      <c r="D177" s="4" t="s">
        <v>41</v>
      </c>
      <c r="E177" s="4">
        <v>5</v>
      </c>
      <c r="F177" s="4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4">
        <v>6</v>
      </c>
      <c r="L177" s="4" t="s">
        <v>81</v>
      </c>
      <c r="M177" s="4" t="s">
        <v>29</v>
      </c>
      <c r="N177" s="4">
        <v>341.7</v>
      </c>
    </row>
    <row r="178" spans="1:14" ht="15" customHeight="1" x14ac:dyDescent="0.2">
      <c r="A178" s="4" t="s">
        <v>725</v>
      </c>
      <c r="B178" s="6">
        <v>45836</v>
      </c>
      <c r="C178" s="4" t="s">
        <v>726</v>
      </c>
      <c r="D178" s="4" t="s">
        <v>32</v>
      </c>
      <c r="E178" s="4">
        <v>4</v>
      </c>
      <c r="F178" s="4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4">
        <v>8</v>
      </c>
      <c r="L178" s="4" t="s">
        <v>81</v>
      </c>
      <c r="M178" s="4" t="s">
        <v>29</v>
      </c>
      <c r="N178" s="4">
        <v>1723.32</v>
      </c>
    </row>
    <row r="179" spans="1:14" ht="15" customHeight="1" x14ac:dyDescent="0.2">
      <c r="A179" s="4" t="s">
        <v>729</v>
      </c>
      <c r="B179" s="6">
        <v>45143</v>
      </c>
      <c r="C179" s="4" t="s">
        <v>730</v>
      </c>
      <c r="D179" s="4" t="s">
        <v>41</v>
      </c>
      <c r="E179" s="4">
        <v>5</v>
      </c>
      <c r="F179" s="4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4">
        <v>10</v>
      </c>
      <c r="M179" s="4" t="s">
        <v>45</v>
      </c>
      <c r="N179" s="4">
        <v>2158.4499999999998</v>
      </c>
    </row>
    <row r="180" spans="1:14" ht="15" customHeight="1" x14ac:dyDescent="0.2">
      <c r="A180" s="4" t="s">
        <v>733</v>
      </c>
      <c r="B180" s="6">
        <v>45393</v>
      </c>
      <c r="C180" s="4" t="s">
        <v>734</v>
      </c>
      <c r="D180" s="4" t="s">
        <v>41</v>
      </c>
      <c r="E180" s="4">
        <v>4</v>
      </c>
      <c r="F180" s="4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4">
        <v>5</v>
      </c>
      <c r="L180" s="4" t="s">
        <v>21</v>
      </c>
      <c r="M180" s="4" t="s">
        <v>76</v>
      </c>
      <c r="N180" s="4">
        <v>2048.2399999999998</v>
      </c>
    </row>
    <row r="181" spans="1:14" ht="15" customHeight="1" x14ac:dyDescent="0.2">
      <c r="A181" s="4" t="s">
        <v>737</v>
      </c>
      <c r="B181" s="6">
        <v>45620</v>
      </c>
      <c r="C181" s="4" t="s">
        <v>738</v>
      </c>
      <c r="D181" s="4" t="s">
        <v>58</v>
      </c>
      <c r="E181" s="4">
        <v>3</v>
      </c>
      <c r="F181" s="4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4">
        <v>8</v>
      </c>
      <c r="M181" s="4" t="s">
        <v>38</v>
      </c>
      <c r="N181" s="4">
        <v>1619.73</v>
      </c>
    </row>
    <row r="182" spans="1:14" ht="15" customHeight="1" x14ac:dyDescent="0.2">
      <c r="A182" s="4" t="s">
        <v>741</v>
      </c>
      <c r="B182" s="6">
        <v>45003</v>
      </c>
      <c r="C182" s="4" t="s">
        <v>742</v>
      </c>
      <c r="D182" s="4" t="s">
        <v>32</v>
      </c>
      <c r="E182" s="4">
        <v>5</v>
      </c>
      <c r="F182" s="4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4">
        <v>10</v>
      </c>
      <c r="M182" s="4" t="s">
        <v>76</v>
      </c>
      <c r="N182" s="4">
        <v>1580.35</v>
      </c>
    </row>
    <row r="183" spans="1:14" ht="15" customHeight="1" x14ac:dyDescent="0.2">
      <c r="A183" s="4" t="s">
        <v>745</v>
      </c>
      <c r="B183" s="6">
        <v>45535</v>
      </c>
      <c r="C183" s="4" t="s">
        <v>746</v>
      </c>
      <c r="D183" s="4" t="s">
        <v>48</v>
      </c>
      <c r="E183" s="4">
        <v>5</v>
      </c>
      <c r="F183" s="4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4">
        <v>10</v>
      </c>
      <c r="M183" s="4" t="s">
        <v>29</v>
      </c>
      <c r="N183" s="4">
        <v>2021.95</v>
      </c>
    </row>
    <row r="184" spans="1:14" ht="15" customHeight="1" x14ac:dyDescent="0.2">
      <c r="A184" s="4" t="s">
        <v>749</v>
      </c>
      <c r="B184" s="6">
        <v>45735</v>
      </c>
      <c r="C184" s="4" t="s">
        <v>750</v>
      </c>
      <c r="D184" s="4" t="s">
        <v>73</v>
      </c>
      <c r="E184" s="4">
        <v>1</v>
      </c>
      <c r="F184" s="4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4">
        <v>4</v>
      </c>
      <c r="L184" s="4" t="s">
        <v>81</v>
      </c>
      <c r="M184" s="4" t="s">
        <v>76</v>
      </c>
      <c r="N184" s="4">
        <v>600.54</v>
      </c>
    </row>
    <row r="185" spans="1:14" ht="15" customHeight="1" x14ac:dyDescent="0.2">
      <c r="A185" s="4" t="s">
        <v>753</v>
      </c>
      <c r="B185" s="6">
        <v>45400</v>
      </c>
      <c r="C185" s="4" t="s">
        <v>754</v>
      </c>
      <c r="D185" s="4" t="s">
        <v>16</v>
      </c>
      <c r="E185" s="4">
        <v>5</v>
      </c>
      <c r="F185" s="4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4">
        <v>8</v>
      </c>
      <c r="L185" s="4" t="s">
        <v>21</v>
      </c>
      <c r="M185" s="4" t="s">
        <v>38</v>
      </c>
      <c r="N185" s="4">
        <v>931.4</v>
      </c>
    </row>
    <row r="186" spans="1:14" ht="15" customHeight="1" x14ac:dyDescent="0.2">
      <c r="A186" s="4" t="s">
        <v>757</v>
      </c>
      <c r="B186" s="6">
        <v>45386</v>
      </c>
      <c r="C186" s="4" t="s">
        <v>758</v>
      </c>
      <c r="D186" s="4" t="s">
        <v>32</v>
      </c>
      <c r="E186" s="4">
        <v>4</v>
      </c>
      <c r="F186" s="4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4">
        <v>7</v>
      </c>
      <c r="M186" s="4" t="s">
        <v>29</v>
      </c>
      <c r="N186" s="4">
        <v>858.16</v>
      </c>
    </row>
    <row r="187" spans="1:14" ht="15" customHeight="1" x14ac:dyDescent="0.2">
      <c r="A187" s="4" t="s">
        <v>761</v>
      </c>
      <c r="B187" s="6">
        <v>45690</v>
      </c>
      <c r="C187" s="4" t="s">
        <v>762</v>
      </c>
      <c r="D187" s="4" t="s">
        <v>58</v>
      </c>
      <c r="E187" s="4">
        <v>1</v>
      </c>
      <c r="F187" s="4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4">
        <v>2</v>
      </c>
      <c r="L187" s="4" t="s">
        <v>81</v>
      </c>
      <c r="M187" s="4" t="s">
        <v>29</v>
      </c>
      <c r="N187" s="4">
        <v>210.7</v>
      </c>
    </row>
    <row r="188" spans="1:14" ht="15" customHeight="1" x14ac:dyDescent="0.2">
      <c r="A188" s="4" t="s">
        <v>765</v>
      </c>
      <c r="B188" s="6">
        <v>45267</v>
      </c>
      <c r="C188" s="4" t="s">
        <v>766</v>
      </c>
      <c r="D188" s="4" t="s">
        <v>25</v>
      </c>
      <c r="E188" s="4">
        <v>2</v>
      </c>
      <c r="F188" s="4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4">
        <v>7</v>
      </c>
      <c r="L188" s="4" t="s">
        <v>37</v>
      </c>
      <c r="M188" s="4" t="s">
        <v>45</v>
      </c>
      <c r="N188" s="4">
        <v>267.10000000000002</v>
      </c>
    </row>
    <row r="189" spans="1:14" ht="15" customHeight="1" x14ac:dyDescent="0.2">
      <c r="A189" s="4" t="s">
        <v>769</v>
      </c>
      <c r="B189" s="6">
        <v>44965</v>
      </c>
      <c r="C189" s="4" t="s">
        <v>770</v>
      </c>
      <c r="D189" s="4" t="s">
        <v>41</v>
      </c>
      <c r="E189" s="4">
        <v>1</v>
      </c>
      <c r="F189" s="4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4">
        <v>6</v>
      </c>
      <c r="L189" s="4" t="s">
        <v>37</v>
      </c>
      <c r="M189" s="4" t="s">
        <v>29</v>
      </c>
      <c r="N189" s="4">
        <v>590.87</v>
      </c>
    </row>
    <row r="190" spans="1:14" ht="15" customHeight="1" x14ac:dyDescent="0.2">
      <c r="A190" s="4" t="s">
        <v>773</v>
      </c>
      <c r="B190" s="6">
        <v>45731</v>
      </c>
      <c r="C190" s="4" t="s">
        <v>774</v>
      </c>
      <c r="D190" s="4" t="s">
        <v>41</v>
      </c>
      <c r="E190" s="4">
        <v>2</v>
      </c>
      <c r="F190" s="4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4">
        <v>2</v>
      </c>
      <c r="L190" s="4" t="s">
        <v>37</v>
      </c>
      <c r="M190" s="4" t="s">
        <v>29</v>
      </c>
      <c r="N190" s="4">
        <v>727.82</v>
      </c>
    </row>
    <row r="191" spans="1:14" ht="15" customHeight="1" x14ac:dyDescent="0.2">
      <c r="A191" s="4" t="s">
        <v>777</v>
      </c>
      <c r="B191" s="6">
        <v>45112</v>
      </c>
      <c r="C191" s="4" t="s">
        <v>778</v>
      </c>
      <c r="D191" s="4" t="s">
        <v>48</v>
      </c>
      <c r="E191" s="4">
        <v>5</v>
      </c>
      <c r="F191" s="4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4">
        <v>5</v>
      </c>
      <c r="L191" s="4" t="s">
        <v>81</v>
      </c>
      <c r="M191" s="4" t="s">
        <v>38</v>
      </c>
      <c r="N191" s="4">
        <v>2147.25</v>
      </c>
    </row>
    <row r="192" spans="1:14" ht="15" customHeight="1" x14ac:dyDescent="0.2">
      <c r="A192" s="4" t="s">
        <v>781</v>
      </c>
      <c r="B192" s="6">
        <v>45535</v>
      </c>
      <c r="C192" s="4" t="s">
        <v>782</v>
      </c>
      <c r="D192" s="4" t="s">
        <v>48</v>
      </c>
      <c r="E192" s="4">
        <v>3</v>
      </c>
      <c r="F192" s="4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4">
        <v>3</v>
      </c>
      <c r="L192" s="4" t="s">
        <v>21</v>
      </c>
      <c r="M192" s="4" t="s">
        <v>38</v>
      </c>
      <c r="N192" s="4">
        <v>671.1</v>
      </c>
    </row>
    <row r="193" spans="1:14" ht="15" customHeight="1" x14ac:dyDescent="0.2">
      <c r="A193" s="4" t="s">
        <v>785</v>
      </c>
      <c r="B193" s="6">
        <v>45724</v>
      </c>
      <c r="C193" s="4" t="s">
        <v>786</v>
      </c>
      <c r="D193" s="4" t="s">
        <v>58</v>
      </c>
      <c r="E193" s="4">
        <v>2</v>
      </c>
      <c r="F193" s="4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4">
        <v>4</v>
      </c>
      <c r="L193" s="4" t="s">
        <v>37</v>
      </c>
      <c r="M193" s="4" t="s">
        <v>76</v>
      </c>
      <c r="N193" s="4">
        <v>977.74</v>
      </c>
    </row>
    <row r="194" spans="1:14" ht="15" customHeight="1" x14ac:dyDescent="0.2">
      <c r="A194" s="4" t="s">
        <v>789</v>
      </c>
      <c r="B194" s="6">
        <v>45149</v>
      </c>
      <c r="C194" s="4" t="s">
        <v>790</v>
      </c>
      <c r="D194" s="4" t="s">
        <v>73</v>
      </c>
      <c r="E194" s="4">
        <v>1</v>
      </c>
      <c r="F194" s="4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4">
        <v>5</v>
      </c>
      <c r="L194" s="4" t="s">
        <v>21</v>
      </c>
      <c r="M194" s="4" t="s">
        <v>76</v>
      </c>
      <c r="N194" s="4">
        <v>645.46</v>
      </c>
    </row>
    <row r="195" spans="1:14" ht="15" customHeight="1" x14ac:dyDescent="0.2">
      <c r="A195" s="4" t="s">
        <v>792</v>
      </c>
      <c r="B195" s="6">
        <v>45128</v>
      </c>
      <c r="C195" s="4" t="s">
        <v>793</v>
      </c>
      <c r="D195" s="4" t="s">
        <v>48</v>
      </c>
      <c r="E195" s="4">
        <v>1</v>
      </c>
      <c r="F195" s="4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4">
        <v>6</v>
      </c>
      <c r="M195" s="4" t="s">
        <v>76</v>
      </c>
      <c r="N195" s="4">
        <v>46.66</v>
      </c>
    </row>
    <row r="196" spans="1:14" ht="15" customHeight="1" x14ac:dyDescent="0.2">
      <c r="A196" s="4" t="s">
        <v>796</v>
      </c>
      <c r="B196" s="6">
        <v>45451</v>
      </c>
      <c r="C196" s="4" t="s">
        <v>797</v>
      </c>
      <c r="D196" s="4" t="s">
        <v>16</v>
      </c>
      <c r="E196" s="4">
        <v>1</v>
      </c>
      <c r="F196" s="4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4">
        <v>3</v>
      </c>
      <c r="L196" s="4" t="s">
        <v>37</v>
      </c>
      <c r="M196" s="4" t="s">
        <v>76</v>
      </c>
      <c r="N196" s="4">
        <v>249.57</v>
      </c>
    </row>
    <row r="197" spans="1:14" ht="15" customHeight="1" x14ac:dyDescent="0.2">
      <c r="A197" s="4" t="s">
        <v>800</v>
      </c>
      <c r="B197" s="6">
        <v>45404</v>
      </c>
      <c r="C197" s="4" t="s">
        <v>801</v>
      </c>
      <c r="D197" s="4" t="s">
        <v>41</v>
      </c>
      <c r="E197" s="4">
        <v>3</v>
      </c>
      <c r="F197" s="4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4">
        <v>6</v>
      </c>
      <c r="M197" s="4" t="s">
        <v>38</v>
      </c>
      <c r="N197" s="4">
        <v>1857.63</v>
      </c>
    </row>
    <row r="198" spans="1:14" ht="15" customHeight="1" x14ac:dyDescent="0.2">
      <c r="A198" s="4" t="s">
        <v>804</v>
      </c>
      <c r="B198" s="6">
        <v>45681</v>
      </c>
      <c r="C198" s="4" t="s">
        <v>805</v>
      </c>
      <c r="D198" s="4" t="s">
        <v>73</v>
      </c>
      <c r="E198" s="4">
        <v>4</v>
      </c>
      <c r="F198" s="4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4">
        <v>8</v>
      </c>
      <c r="L198" s="4" t="s">
        <v>81</v>
      </c>
      <c r="M198" s="4" t="s">
        <v>38</v>
      </c>
      <c r="N198" s="4">
        <v>868.52</v>
      </c>
    </row>
    <row r="199" spans="1:14" ht="15" customHeight="1" x14ac:dyDescent="0.2">
      <c r="A199" s="4" t="s">
        <v>808</v>
      </c>
      <c r="B199" s="6">
        <v>45165</v>
      </c>
      <c r="C199" s="4" t="s">
        <v>809</v>
      </c>
      <c r="D199" s="4" t="s">
        <v>58</v>
      </c>
      <c r="E199" s="4">
        <v>5</v>
      </c>
      <c r="F199" s="4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4">
        <v>5</v>
      </c>
      <c r="L199" s="4" t="s">
        <v>81</v>
      </c>
      <c r="M199" s="4" t="s">
        <v>29</v>
      </c>
      <c r="N199" s="4">
        <v>1107.55</v>
      </c>
    </row>
    <row r="200" spans="1:14" ht="15" customHeight="1" x14ac:dyDescent="0.2">
      <c r="A200" s="4" t="s">
        <v>812</v>
      </c>
      <c r="B200" s="6">
        <v>45454</v>
      </c>
      <c r="C200" s="4" t="s">
        <v>813</v>
      </c>
      <c r="D200" s="4" t="s">
        <v>58</v>
      </c>
      <c r="E200" s="4">
        <v>4</v>
      </c>
      <c r="F200" s="4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4">
        <v>8</v>
      </c>
      <c r="L200" s="4" t="s">
        <v>21</v>
      </c>
      <c r="M200" s="4" t="s">
        <v>29</v>
      </c>
      <c r="N200" s="4">
        <v>1361.2</v>
      </c>
    </row>
    <row r="201" spans="1:14" ht="15" customHeight="1" x14ac:dyDescent="0.2">
      <c r="A201" s="4" t="s">
        <v>815</v>
      </c>
      <c r="B201" s="6">
        <v>45680</v>
      </c>
      <c r="C201" s="4" t="s">
        <v>816</v>
      </c>
      <c r="D201" s="4" t="s">
        <v>25</v>
      </c>
      <c r="E201" s="4">
        <v>1</v>
      </c>
      <c r="F201" s="4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4">
        <v>5</v>
      </c>
      <c r="L201" s="4" t="s">
        <v>81</v>
      </c>
      <c r="M201" s="4" t="s">
        <v>76</v>
      </c>
      <c r="N201" s="4">
        <v>625</v>
      </c>
    </row>
    <row r="202" spans="1:14" ht="15" customHeight="1" x14ac:dyDescent="0.2">
      <c r="A202" s="4" t="s">
        <v>819</v>
      </c>
      <c r="B202" s="6">
        <v>45815</v>
      </c>
      <c r="C202" s="4" t="s">
        <v>820</v>
      </c>
      <c r="D202" s="4" t="s">
        <v>32</v>
      </c>
      <c r="E202" s="4">
        <v>5</v>
      </c>
      <c r="F202" s="4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4">
        <v>9</v>
      </c>
      <c r="L202" s="4" t="s">
        <v>21</v>
      </c>
      <c r="M202" s="4" t="s">
        <v>76</v>
      </c>
      <c r="N202" s="4">
        <v>2166.3000000000002</v>
      </c>
    </row>
    <row r="203" spans="1:14" ht="15" customHeight="1" x14ac:dyDescent="0.2">
      <c r="A203" s="4" t="s">
        <v>822</v>
      </c>
      <c r="B203" s="6">
        <v>45095</v>
      </c>
      <c r="C203" s="4" t="s">
        <v>823</v>
      </c>
      <c r="D203" s="4" t="s">
        <v>16</v>
      </c>
      <c r="E203" s="4">
        <v>2</v>
      </c>
      <c r="F203" s="4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4">
        <v>4</v>
      </c>
      <c r="L203" s="4" t="s">
        <v>21</v>
      </c>
      <c r="M203" s="4" t="s">
        <v>45</v>
      </c>
      <c r="N203" s="4">
        <v>1349.8</v>
      </c>
    </row>
    <row r="204" spans="1:14" ht="15" customHeight="1" x14ac:dyDescent="0.2">
      <c r="A204" s="4" t="s">
        <v>825</v>
      </c>
      <c r="B204" s="6">
        <v>45694</v>
      </c>
      <c r="C204" s="4" t="s">
        <v>826</v>
      </c>
      <c r="D204" s="4" t="s">
        <v>16</v>
      </c>
      <c r="E204" s="4">
        <v>3</v>
      </c>
      <c r="F204" s="4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4">
        <v>3</v>
      </c>
      <c r="L204" s="4" t="s">
        <v>37</v>
      </c>
      <c r="M204" s="4" t="s">
        <v>38</v>
      </c>
      <c r="N204" s="4">
        <v>761.94</v>
      </c>
    </row>
    <row r="205" spans="1:14" ht="15" customHeight="1" x14ac:dyDescent="0.2">
      <c r="A205" s="4" t="s">
        <v>828</v>
      </c>
      <c r="B205" s="6">
        <v>45678</v>
      </c>
      <c r="C205" s="4" t="s">
        <v>829</v>
      </c>
      <c r="D205" s="4" t="s">
        <v>48</v>
      </c>
      <c r="E205" s="4">
        <v>3</v>
      </c>
      <c r="F205" s="4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4">
        <v>5</v>
      </c>
      <c r="L205" s="4" t="s">
        <v>21</v>
      </c>
      <c r="M205" s="4" t="s">
        <v>22</v>
      </c>
      <c r="N205" s="4">
        <v>1070.52</v>
      </c>
    </row>
    <row r="206" spans="1:14" ht="15" customHeight="1" x14ac:dyDescent="0.2">
      <c r="A206" s="4" t="s">
        <v>832</v>
      </c>
      <c r="B206" s="6">
        <v>45174</v>
      </c>
      <c r="C206" s="4" t="s">
        <v>833</v>
      </c>
      <c r="D206" s="4" t="s">
        <v>58</v>
      </c>
      <c r="E206" s="4">
        <v>4</v>
      </c>
      <c r="F206" s="4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4">
        <v>9</v>
      </c>
      <c r="L206" s="4" t="s">
        <v>37</v>
      </c>
      <c r="M206" s="4" t="s">
        <v>45</v>
      </c>
      <c r="N206" s="4">
        <v>1654.84</v>
      </c>
    </row>
    <row r="207" spans="1:14" ht="15" customHeight="1" x14ac:dyDescent="0.2">
      <c r="A207" s="4" t="s">
        <v>835</v>
      </c>
      <c r="B207" s="6">
        <v>44989</v>
      </c>
      <c r="C207" s="4" t="s">
        <v>836</v>
      </c>
      <c r="D207" s="4" t="s">
        <v>73</v>
      </c>
      <c r="E207" s="4">
        <v>3</v>
      </c>
      <c r="F207" s="4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4">
        <v>3</v>
      </c>
      <c r="M207" s="4" t="s">
        <v>38</v>
      </c>
      <c r="N207" s="4">
        <v>442.17</v>
      </c>
    </row>
    <row r="208" spans="1:14" ht="15" customHeight="1" x14ac:dyDescent="0.2">
      <c r="A208" s="4" t="s">
        <v>839</v>
      </c>
      <c r="B208" s="6">
        <v>45398</v>
      </c>
      <c r="C208" s="4" t="s">
        <v>840</v>
      </c>
      <c r="D208" s="4" t="s">
        <v>58</v>
      </c>
      <c r="E208" s="4">
        <v>4</v>
      </c>
      <c r="F208" s="4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4">
        <v>8</v>
      </c>
      <c r="L208" s="4" t="s">
        <v>81</v>
      </c>
      <c r="M208" s="4" t="s">
        <v>38</v>
      </c>
      <c r="N208" s="4">
        <v>916.4</v>
      </c>
    </row>
    <row r="209" spans="1:14" ht="15" customHeight="1" x14ac:dyDescent="0.2">
      <c r="A209" s="4" t="s">
        <v>843</v>
      </c>
      <c r="B209" s="6">
        <v>45734</v>
      </c>
      <c r="C209" s="4" t="s">
        <v>844</v>
      </c>
      <c r="D209" s="4" t="s">
        <v>25</v>
      </c>
      <c r="E209" s="4">
        <v>1</v>
      </c>
      <c r="F209" s="4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4">
        <v>3</v>
      </c>
      <c r="M209" s="4" t="s">
        <v>76</v>
      </c>
      <c r="N209" s="4">
        <v>121.96</v>
      </c>
    </row>
    <row r="210" spans="1:14" ht="15" customHeight="1" x14ac:dyDescent="0.2">
      <c r="A210" s="4" t="s">
        <v>847</v>
      </c>
      <c r="B210" s="6">
        <v>45573</v>
      </c>
      <c r="C210" s="4" t="s">
        <v>848</v>
      </c>
      <c r="D210" s="4" t="s">
        <v>73</v>
      </c>
      <c r="E210" s="4">
        <v>2</v>
      </c>
      <c r="F210" s="4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4">
        <v>3</v>
      </c>
      <c r="L210" s="4" t="s">
        <v>37</v>
      </c>
      <c r="M210" s="4" t="s">
        <v>45</v>
      </c>
      <c r="N210" s="4">
        <v>816.64</v>
      </c>
    </row>
    <row r="211" spans="1:14" ht="15" customHeight="1" x14ac:dyDescent="0.2">
      <c r="A211" s="4" t="s">
        <v>850</v>
      </c>
      <c r="B211" s="6">
        <v>45167</v>
      </c>
      <c r="C211" s="4" t="s">
        <v>851</v>
      </c>
      <c r="D211" s="4" t="s">
        <v>32</v>
      </c>
      <c r="E211" s="4">
        <v>5</v>
      </c>
      <c r="F211" s="4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4">
        <v>9</v>
      </c>
      <c r="L211" s="4" t="s">
        <v>21</v>
      </c>
      <c r="M211" s="4" t="s">
        <v>76</v>
      </c>
      <c r="N211" s="4">
        <v>939.85</v>
      </c>
    </row>
    <row r="212" spans="1:14" ht="15" customHeight="1" x14ac:dyDescent="0.2">
      <c r="A212" s="4" t="s">
        <v>853</v>
      </c>
      <c r="B212" s="6">
        <v>45631</v>
      </c>
      <c r="C212" s="4" t="s">
        <v>854</v>
      </c>
      <c r="D212" s="4" t="s">
        <v>41</v>
      </c>
      <c r="E212" s="4">
        <v>3</v>
      </c>
      <c r="F212" s="4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4">
        <v>7</v>
      </c>
      <c r="L212" s="4" t="s">
        <v>37</v>
      </c>
      <c r="M212" s="4" t="s">
        <v>45</v>
      </c>
      <c r="N212" s="4">
        <v>1075.44</v>
      </c>
    </row>
    <row r="213" spans="1:14" ht="15" customHeight="1" x14ac:dyDescent="0.2">
      <c r="A213" s="4" t="s">
        <v>856</v>
      </c>
      <c r="B213" s="6">
        <v>45660</v>
      </c>
      <c r="C213" s="4" t="s">
        <v>857</v>
      </c>
      <c r="D213" s="4" t="s">
        <v>48</v>
      </c>
      <c r="E213" s="4">
        <v>3</v>
      </c>
      <c r="F213" s="4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4">
        <v>7</v>
      </c>
      <c r="L213" s="4" t="s">
        <v>37</v>
      </c>
      <c r="M213" s="4" t="s">
        <v>38</v>
      </c>
      <c r="N213" s="4">
        <v>580.74</v>
      </c>
    </row>
    <row r="214" spans="1:14" ht="15" customHeight="1" x14ac:dyDescent="0.2">
      <c r="A214" s="4" t="s">
        <v>860</v>
      </c>
      <c r="B214" s="6">
        <v>45097</v>
      </c>
      <c r="C214" s="4" t="s">
        <v>861</v>
      </c>
      <c r="D214" s="4" t="s">
        <v>16</v>
      </c>
      <c r="E214" s="4">
        <v>1</v>
      </c>
      <c r="F214" s="4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4">
        <v>6</v>
      </c>
      <c r="L214" s="4" t="s">
        <v>81</v>
      </c>
      <c r="M214" s="4" t="s">
        <v>38</v>
      </c>
      <c r="N214" s="4">
        <v>265.38</v>
      </c>
    </row>
    <row r="215" spans="1:14" ht="15" customHeight="1" x14ac:dyDescent="0.2">
      <c r="A215" s="4" t="s">
        <v>864</v>
      </c>
      <c r="B215" s="6">
        <v>45036</v>
      </c>
      <c r="C215" s="4" t="s">
        <v>865</v>
      </c>
      <c r="D215" s="4" t="s">
        <v>58</v>
      </c>
      <c r="E215" s="4">
        <v>1</v>
      </c>
      <c r="F215" s="4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4">
        <v>6</v>
      </c>
      <c r="L215" s="4" t="s">
        <v>21</v>
      </c>
      <c r="M215" s="4" t="s">
        <v>38</v>
      </c>
      <c r="N215" s="4">
        <v>634.4</v>
      </c>
    </row>
    <row r="216" spans="1:14" ht="15" customHeight="1" x14ac:dyDescent="0.2">
      <c r="A216" s="4" t="s">
        <v>868</v>
      </c>
      <c r="B216" s="6">
        <v>45525</v>
      </c>
      <c r="C216" s="4" t="s">
        <v>869</v>
      </c>
      <c r="D216" s="4" t="s">
        <v>73</v>
      </c>
      <c r="E216" s="4">
        <v>4</v>
      </c>
      <c r="F216" s="4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4">
        <v>5</v>
      </c>
      <c r="M216" s="4" t="s">
        <v>45</v>
      </c>
      <c r="N216" s="4">
        <v>1222.8800000000001</v>
      </c>
    </row>
    <row r="217" spans="1:14" ht="15" customHeight="1" x14ac:dyDescent="0.2">
      <c r="A217" s="4" t="s">
        <v>871</v>
      </c>
      <c r="B217" s="6">
        <v>45148</v>
      </c>
      <c r="C217" s="4" t="s">
        <v>872</v>
      </c>
      <c r="D217" s="4" t="s">
        <v>48</v>
      </c>
      <c r="E217" s="4">
        <v>1</v>
      </c>
      <c r="F217" s="4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4">
        <v>5</v>
      </c>
      <c r="L217" s="4" t="s">
        <v>37</v>
      </c>
      <c r="M217" s="4" t="s">
        <v>45</v>
      </c>
      <c r="N217" s="4">
        <v>303.60000000000002</v>
      </c>
    </row>
    <row r="218" spans="1:14" ht="15" customHeight="1" x14ac:dyDescent="0.2">
      <c r="A218" s="4" t="s">
        <v>875</v>
      </c>
      <c r="B218" s="6">
        <v>45762</v>
      </c>
      <c r="C218" s="4" t="s">
        <v>876</v>
      </c>
      <c r="D218" s="4" t="s">
        <v>16</v>
      </c>
      <c r="E218" s="4">
        <v>4</v>
      </c>
      <c r="F218" s="4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4">
        <v>8</v>
      </c>
      <c r="L218" s="4" t="s">
        <v>81</v>
      </c>
      <c r="M218" s="4" t="s">
        <v>76</v>
      </c>
      <c r="N218" s="4">
        <v>1984</v>
      </c>
    </row>
    <row r="219" spans="1:14" ht="15" customHeight="1" x14ac:dyDescent="0.2">
      <c r="A219" s="4" t="s">
        <v>878</v>
      </c>
      <c r="B219" s="6">
        <v>45432</v>
      </c>
      <c r="C219" s="4" t="s">
        <v>879</v>
      </c>
      <c r="D219" s="4" t="s">
        <v>73</v>
      </c>
      <c r="E219" s="4">
        <v>4</v>
      </c>
      <c r="F219" s="4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4">
        <v>9</v>
      </c>
      <c r="M219" s="4" t="s">
        <v>76</v>
      </c>
      <c r="N219" s="4">
        <v>1286.04</v>
      </c>
    </row>
    <row r="220" spans="1:14" ht="15" customHeight="1" x14ac:dyDescent="0.2">
      <c r="A220" s="4" t="s">
        <v>882</v>
      </c>
      <c r="B220" s="6">
        <v>45044</v>
      </c>
      <c r="C220" s="4" t="s">
        <v>883</v>
      </c>
      <c r="D220" s="4" t="s">
        <v>32</v>
      </c>
      <c r="E220" s="4">
        <v>3</v>
      </c>
      <c r="F220" s="4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4">
        <v>6</v>
      </c>
      <c r="L220" s="4" t="s">
        <v>21</v>
      </c>
      <c r="M220" s="4" t="s">
        <v>22</v>
      </c>
      <c r="N220" s="4">
        <v>337.38</v>
      </c>
    </row>
    <row r="221" spans="1:14" ht="15" customHeight="1" x14ac:dyDescent="0.2">
      <c r="A221" s="4" t="s">
        <v>886</v>
      </c>
      <c r="B221" s="6">
        <v>45779</v>
      </c>
      <c r="C221" s="4" t="s">
        <v>887</v>
      </c>
      <c r="D221" s="4" t="s">
        <v>58</v>
      </c>
      <c r="E221" s="4">
        <v>5</v>
      </c>
      <c r="F221" s="4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4">
        <v>6</v>
      </c>
      <c r="L221" s="4" t="s">
        <v>21</v>
      </c>
      <c r="M221" s="4" t="s">
        <v>38</v>
      </c>
      <c r="N221" s="4">
        <v>309.85000000000002</v>
      </c>
    </row>
    <row r="222" spans="1:14" ht="15" customHeight="1" x14ac:dyDescent="0.2">
      <c r="A222" s="4" t="s">
        <v>890</v>
      </c>
      <c r="B222" s="6">
        <v>45125</v>
      </c>
      <c r="C222" s="4" t="s">
        <v>891</v>
      </c>
      <c r="D222" s="4" t="s">
        <v>58</v>
      </c>
      <c r="E222" s="4">
        <v>2</v>
      </c>
      <c r="F222" s="4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4">
        <v>6</v>
      </c>
      <c r="L222" s="4" t="s">
        <v>21</v>
      </c>
      <c r="M222" s="4" t="s">
        <v>29</v>
      </c>
      <c r="N222" s="4">
        <v>746.34</v>
      </c>
    </row>
    <row r="223" spans="1:14" ht="15" customHeight="1" x14ac:dyDescent="0.2">
      <c r="A223" s="4" t="s">
        <v>894</v>
      </c>
      <c r="B223" s="6">
        <v>45345</v>
      </c>
      <c r="C223" s="4" t="s">
        <v>895</v>
      </c>
      <c r="D223" s="4" t="s">
        <v>32</v>
      </c>
      <c r="E223" s="4">
        <v>5</v>
      </c>
      <c r="F223" s="4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4">
        <v>6</v>
      </c>
      <c r="L223" s="4" t="s">
        <v>21</v>
      </c>
      <c r="M223" s="4" t="s">
        <v>76</v>
      </c>
      <c r="N223" s="4">
        <v>3196.85</v>
      </c>
    </row>
    <row r="224" spans="1:14" ht="15" customHeight="1" x14ac:dyDescent="0.2">
      <c r="A224" s="4" t="s">
        <v>897</v>
      </c>
      <c r="B224" s="6">
        <v>45050</v>
      </c>
      <c r="C224" s="4" t="s">
        <v>898</v>
      </c>
      <c r="D224" s="4" t="s">
        <v>41</v>
      </c>
      <c r="E224" s="4">
        <v>4</v>
      </c>
      <c r="F224" s="4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4">
        <v>8</v>
      </c>
      <c r="M224" s="4" t="s">
        <v>22</v>
      </c>
      <c r="N224" s="4">
        <v>2773.44</v>
      </c>
    </row>
    <row r="225" spans="1:14" ht="15" customHeight="1" x14ac:dyDescent="0.2">
      <c r="A225" s="4" t="s">
        <v>901</v>
      </c>
      <c r="B225" s="6">
        <v>45546</v>
      </c>
      <c r="C225" s="4" t="s">
        <v>902</v>
      </c>
      <c r="D225" s="4" t="s">
        <v>25</v>
      </c>
      <c r="E225" s="4">
        <v>4</v>
      </c>
      <c r="F225" s="4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4">
        <v>9</v>
      </c>
      <c r="L225" s="4" t="s">
        <v>21</v>
      </c>
      <c r="M225" s="4" t="s">
        <v>22</v>
      </c>
      <c r="N225" s="4">
        <v>2771.64</v>
      </c>
    </row>
    <row r="226" spans="1:14" ht="15" customHeight="1" x14ac:dyDescent="0.2">
      <c r="A226" s="4" t="s">
        <v>904</v>
      </c>
      <c r="B226" s="6">
        <v>45192</v>
      </c>
      <c r="C226" s="4" t="s">
        <v>905</v>
      </c>
      <c r="D226" s="4" t="s">
        <v>48</v>
      </c>
      <c r="E226" s="4">
        <v>4</v>
      </c>
      <c r="F226" s="4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4">
        <v>9</v>
      </c>
      <c r="L226" s="4" t="s">
        <v>21</v>
      </c>
      <c r="M226" s="4" t="s">
        <v>29</v>
      </c>
      <c r="N226" s="4">
        <v>365.84</v>
      </c>
    </row>
    <row r="227" spans="1:14" ht="15" customHeight="1" x14ac:dyDescent="0.2">
      <c r="A227" s="4" t="s">
        <v>908</v>
      </c>
      <c r="B227" s="6">
        <v>45364</v>
      </c>
      <c r="C227" s="4" t="s">
        <v>909</v>
      </c>
      <c r="D227" s="4" t="s">
        <v>25</v>
      </c>
      <c r="E227" s="4">
        <v>3</v>
      </c>
      <c r="F227" s="4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4">
        <v>8</v>
      </c>
      <c r="L227" s="4" t="s">
        <v>21</v>
      </c>
      <c r="M227" s="4" t="s">
        <v>76</v>
      </c>
      <c r="N227" s="4">
        <v>821.88</v>
      </c>
    </row>
    <row r="228" spans="1:14" ht="15" customHeight="1" x14ac:dyDescent="0.2">
      <c r="A228" s="4" t="s">
        <v>912</v>
      </c>
      <c r="B228" s="6">
        <v>45835</v>
      </c>
      <c r="C228" s="4" t="s">
        <v>913</v>
      </c>
      <c r="D228" s="4" t="s">
        <v>73</v>
      </c>
      <c r="E228" s="4">
        <v>3</v>
      </c>
      <c r="F228" s="4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4">
        <v>8</v>
      </c>
      <c r="M228" s="4" t="s">
        <v>22</v>
      </c>
      <c r="N228" s="4">
        <v>1764.15</v>
      </c>
    </row>
    <row r="229" spans="1:14" ht="15" customHeight="1" x14ac:dyDescent="0.2">
      <c r="A229" s="4" t="s">
        <v>916</v>
      </c>
      <c r="B229" s="6">
        <v>45232</v>
      </c>
      <c r="C229" s="4" t="s">
        <v>917</v>
      </c>
      <c r="D229" s="4" t="s">
        <v>16</v>
      </c>
      <c r="E229" s="4">
        <v>2</v>
      </c>
      <c r="F229" s="4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4">
        <v>4</v>
      </c>
      <c r="L229" s="4" t="s">
        <v>37</v>
      </c>
      <c r="M229" s="4" t="s">
        <v>45</v>
      </c>
      <c r="N229" s="4">
        <v>730.34</v>
      </c>
    </row>
    <row r="230" spans="1:14" ht="15" customHeight="1" x14ac:dyDescent="0.2">
      <c r="A230" s="4" t="s">
        <v>919</v>
      </c>
      <c r="B230" s="6">
        <v>45063</v>
      </c>
      <c r="C230" s="4" t="s">
        <v>920</v>
      </c>
      <c r="D230" s="4" t="s">
        <v>41</v>
      </c>
      <c r="E230" s="4">
        <v>4</v>
      </c>
      <c r="F230" s="4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4">
        <v>8</v>
      </c>
      <c r="M230" s="4" t="s">
        <v>22</v>
      </c>
      <c r="N230" s="4">
        <v>1543.68</v>
      </c>
    </row>
    <row r="231" spans="1:14" ht="15" customHeight="1" x14ac:dyDescent="0.2">
      <c r="A231" s="4" t="s">
        <v>923</v>
      </c>
      <c r="B231" s="6">
        <v>45744</v>
      </c>
      <c r="C231" s="4" t="s">
        <v>924</v>
      </c>
      <c r="D231" s="4" t="s">
        <v>32</v>
      </c>
      <c r="E231" s="4">
        <v>1</v>
      </c>
      <c r="F231" s="4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4">
        <v>3</v>
      </c>
      <c r="L231" s="4" t="s">
        <v>81</v>
      </c>
      <c r="M231" s="4" t="s">
        <v>45</v>
      </c>
      <c r="N231" s="4">
        <v>562.61</v>
      </c>
    </row>
    <row r="232" spans="1:14" ht="15" customHeight="1" x14ac:dyDescent="0.2">
      <c r="A232" s="4" t="s">
        <v>927</v>
      </c>
      <c r="B232" s="6">
        <v>45276</v>
      </c>
      <c r="C232" s="4" t="s">
        <v>928</v>
      </c>
      <c r="D232" s="4" t="s">
        <v>73</v>
      </c>
      <c r="E232" s="4">
        <v>4</v>
      </c>
      <c r="F232" s="4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4">
        <v>6</v>
      </c>
      <c r="L232" s="4" t="s">
        <v>81</v>
      </c>
      <c r="M232" s="4" t="s">
        <v>38</v>
      </c>
      <c r="N232" s="4">
        <v>247.64</v>
      </c>
    </row>
    <row r="233" spans="1:14" ht="15" customHeight="1" x14ac:dyDescent="0.2">
      <c r="A233" s="4" t="s">
        <v>931</v>
      </c>
      <c r="B233" s="6">
        <v>45235</v>
      </c>
      <c r="C233" s="4" t="s">
        <v>932</v>
      </c>
      <c r="D233" s="4" t="s">
        <v>25</v>
      </c>
      <c r="E233" s="4">
        <v>4</v>
      </c>
      <c r="F233" s="4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4">
        <v>9</v>
      </c>
      <c r="L233" s="4" t="s">
        <v>37</v>
      </c>
      <c r="M233" s="4" t="s">
        <v>22</v>
      </c>
      <c r="N233" s="4">
        <v>167.6</v>
      </c>
    </row>
    <row r="234" spans="1:14" ht="15" customHeight="1" x14ac:dyDescent="0.2">
      <c r="A234" s="4" t="s">
        <v>935</v>
      </c>
      <c r="B234" s="6">
        <v>45065</v>
      </c>
      <c r="C234" s="4" t="s">
        <v>936</v>
      </c>
      <c r="D234" s="4" t="s">
        <v>48</v>
      </c>
      <c r="E234" s="4">
        <v>4</v>
      </c>
      <c r="F234" s="4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4">
        <v>8</v>
      </c>
      <c r="L234" s="4" t="s">
        <v>81</v>
      </c>
      <c r="M234" s="4" t="s">
        <v>76</v>
      </c>
      <c r="N234" s="4">
        <v>1777.76</v>
      </c>
    </row>
    <row r="235" spans="1:14" ht="15" customHeight="1" x14ac:dyDescent="0.2">
      <c r="A235" s="4" t="s">
        <v>939</v>
      </c>
      <c r="B235" s="6">
        <v>45528</v>
      </c>
      <c r="C235" s="4" t="s">
        <v>940</v>
      </c>
      <c r="D235" s="4" t="s">
        <v>25</v>
      </c>
      <c r="E235" s="4">
        <v>3</v>
      </c>
      <c r="F235" s="4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4">
        <v>3</v>
      </c>
      <c r="L235" s="4" t="s">
        <v>81</v>
      </c>
      <c r="M235" s="4" t="s">
        <v>22</v>
      </c>
      <c r="N235" s="4">
        <v>933.99</v>
      </c>
    </row>
    <row r="236" spans="1:14" ht="15" customHeight="1" x14ac:dyDescent="0.2">
      <c r="A236" s="4" t="s">
        <v>942</v>
      </c>
      <c r="B236" s="6">
        <v>45622</v>
      </c>
      <c r="C236" s="4" t="s">
        <v>943</v>
      </c>
      <c r="D236" s="4" t="s">
        <v>48</v>
      </c>
      <c r="E236" s="4">
        <v>4</v>
      </c>
      <c r="F236" s="4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4">
        <v>7</v>
      </c>
      <c r="L236" s="4" t="s">
        <v>21</v>
      </c>
      <c r="M236" s="4" t="s">
        <v>76</v>
      </c>
      <c r="N236" s="4">
        <v>945.64</v>
      </c>
    </row>
    <row r="237" spans="1:14" ht="15" customHeight="1" x14ac:dyDescent="0.2">
      <c r="A237" s="4" t="s">
        <v>946</v>
      </c>
      <c r="B237" s="6">
        <v>44977</v>
      </c>
      <c r="C237" s="4" t="s">
        <v>947</v>
      </c>
      <c r="D237" s="4" t="s">
        <v>73</v>
      </c>
      <c r="E237" s="4">
        <v>1</v>
      </c>
      <c r="F237" s="4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4">
        <v>2</v>
      </c>
      <c r="L237" s="4" t="s">
        <v>81</v>
      </c>
      <c r="M237" s="4" t="s">
        <v>76</v>
      </c>
      <c r="N237" s="4">
        <v>65.45</v>
      </c>
    </row>
    <row r="238" spans="1:14" ht="15" customHeight="1" x14ac:dyDescent="0.2">
      <c r="A238" s="4" t="s">
        <v>950</v>
      </c>
      <c r="B238" s="6">
        <v>44927</v>
      </c>
      <c r="C238" s="4" t="s">
        <v>951</v>
      </c>
      <c r="D238" s="4" t="s">
        <v>16</v>
      </c>
      <c r="E238" s="4">
        <v>1</v>
      </c>
      <c r="F238" s="4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4">
        <v>3</v>
      </c>
      <c r="L238" s="4" t="s">
        <v>81</v>
      </c>
      <c r="M238" s="4" t="s">
        <v>38</v>
      </c>
      <c r="N238" s="4">
        <v>318.81</v>
      </c>
    </row>
    <row r="239" spans="1:14" ht="15" customHeight="1" x14ac:dyDescent="0.2">
      <c r="A239" s="4" t="s">
        <v>954</v>
      </c>
      <c r="B239" s="6">
        <v>45365</v>
      </c>
      <c r="C239" s="4" t="s">
        <v>955</v>
      </c>
      <c r="D239" s="4" t="s">
        <v>16</v>
      </c>
      <c r="E239" s="4">
        <v>3</v>
      </c>
      <c r="F239" s="4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4">
        <v>5</v>
      </c>
      <c r="L239" s="4" t="s">
        <v>37</v>
      </c>
      <c r="M239" s="4" t="s">
        <v>45</v>
      </c>
      <c r="N239" s="4">
        <v>1751.16</v>
      </c>
    </row>
    <row r="240" spans="1:14" ht="15" customHeight="1" x14ac:dyDescent="0.2">
      <c r="A240" s="4" t="s">
        <v>958</v>
      </c>
      <c r="B240" s="6">
        <v>45639</v>
      </c>
      <c r="C240" s="4" t="s">
        <v>959</v>
      </c>
      <c r="D240" s="4" t="s">
        <v>73</v>
      </c>
      <c r="E240" s="4">
        <v>4</v>
      </c>
      <c r="F240" s="4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4">
        <v>6</v>
      </c>
      <c r="L240" s="4" t="s">
        <v>81</v>
      </c>
      <c r="M240" s="4" t="s">
        <v>76</v>
      </c>
      <c r="N240" s="4">
        <v>1537.28</v>
      </c>
    </row>
    <row r="241" spans="1:14" ht="15" customHeight="1" x14ac:dyDescent="0.2">
      <c r="A241" s="4" t="s">
        <v>962</v>
      </c>
      <c r="B241" s="6">
        <v>45637</v>
      </c>
      <c r="C241" s="4" t="s">
        <v>963</v>
      </c>
      <c r="D241" s="4" t="s">
        <v>32</v>
      </c>
      <c r="E241" s="4">
        <v>3</v>
      </c>
      <c r="F241" s="4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4">
        <v>6</v>
      </c>
      <c r="L241" s="4" t="s">
        <v>37</v>
      </c>
      <c r="M241" s="4" t="s">
        <v>38</v>
      </c>
      <c r="N241" s="4">
        <v>1616.22</v>
      </c>
    </row>
    <row r="242" spans="1:14" ht="15" customHeight="1" x14ac:dyDescent="0.2">
      <c r="A242" s="4" t="s">
        <v>966</v>
      </c>
      <c r="B242" s="6">
        <v>45119</v>
      </c>
      <c r="C242" s="4" t="s">
        <v>967</v>
      </c>
      <c r="D242" s="4" t="s">
        <v>32</v>
      </c>
      <c r="E242" s="4">
        <v>1</v>
      </c>
      <c r="F242" s="4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4">
        <v>2</v>
      </c>
      <c r="L242" s="4" t="s">
        <v>37</v>
      </c>
      <c r="M242" s="4" t="s">
        <v>22</v>
      </c>
      <c r="N242" s="4">
        <v>17.239999999999998</v>
      </c>
    </row>
    <row r="243" spans="1:14" ht="15" customHeight="1" x14ac:dyDescent="0.2">
      <c r="A243" s="4" t="s">
        <v>970</v>
      </c>
      <c r="B243" s="6">
        <v>45062</v>
      </c>
      <c r="C243" s="4" t="s">
        <v>971</v>
      </c>
      <c r="D243" s="4" t="s">
        <v>41</v>
      </c>
      <c r="E243" s="4">
        <v>5</v>
      </c>
      <c r="F243" s="4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4">
        <v>6</v>
      </c>
      <c r="L243" s="4" t="s">
        <v>21</v>
      </c>
      <c r="M243" s="4" t="s">
        <v>38</v>
      </c>
      <c r="N243" s="4">
        <v>3078.35</v>
      </c>
    </row>
    <row r="244" spans="1:14" ht="15" customHeight="1" x14ac:dyDescent="0.2">
      <c r="A244" s="4" t="s">
        <v>974</v>
      </c>
      <c r="B244" s="6">
        <v>45055</v>
      </c>
      <c r="C244" s="4" t="s">
        <v>975</v>
      </c>
      <c r="D244" s="4" t="s">
        <v>48</v>
      </c>
      <c r="E244" s="4">
        <v>2</v>
      </c>
      <c r="F244" s="4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4">
        <v>4</v>
      </c>
      <c r="L244" s="4" t="s">
        <v>21</v>
      </c>
      <c r="M244" s="4" t="s">
        <v>29</v>
      </c>
      <c r="N244" s="4">
        <v>438.2</v>
      </c>
    </row>
    <row r="245" spans="1:14" ht="15" customHeight="1" x14ac:dyDescent="0.2">
      <c r="A245" s="4" t="s">
        <v>978</v>
      </c>
      <c r="B245" s="6">
        <v>45786</v>
      </c>
      <c r="C245" s="4" t="s">
        <v>979</v>
      </c>
      <c r="D245" s="4" t="s">
        <v>41</v>
      </c>
      <c r="E245" s="4">
        <v>2</v>
      </c>
      <c r="F245" s="4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4">
        <v>7</v>
      </c>
      <c r="L245" s="4" t="s">
        <v>37</v>
      </c>
      <c r="M245" s="4" t="s">
        <v>76</v>
      </c>
      <c r="N245" s="4">
        <v>289.32</v>
      </c>
    </row>
    <row r="246" spans="1:14" ht="15" customHeight="1" x14ac:dyDescent="0.2">
      <c r="A246" s="4" t="s">
        <v>982</v>
      </c>
      <c r="B246" s="6">
        <v>44973</v>
      </c>
      <c r="C246" s="4" t="s">
        <v>983</v>
      </c>
      <c r="D246" s="4" t="s">
        <v>73</v>
      </c>
      <c r="E246" s="4">
        <v>2</v>
      </c>
      <c r="F246" s="4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4">
        <v>4</v>
      </c>
      <c r="L246" s="4" t="s">
        <v>81</v>
      </c>
      <c r="M246" s="4" t="s">
        <v>45</v>
      </c>
      <c r="N246" s="4">
        <v>635.54</v>
      </c>
    </row>
    <row r="247" spans="1:14" ht="15" customHeight="1" x14ac:dyDescent="0.2">
      <c r="A247" s="4" t="s">
        <v>986</v>
      </c>
      <c r="B247" s="6">
        <v>45767</v>
      </c>
      <c r="C247" s="4" t="s">
        <v>987</v>
      </c>
      <c r="D247" s="4" t="s">
        <v>58</v>
      </c>
      <c r="E247" s="4">
        <v>1</v>
      </c>
      <c r="F247" s="4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4">
        <v>1</v>
      </c>
      <c r="M247" s="4" t="s">
        <v>45</v>
      </c>
      <c r="N247" s="4">
        <v>223.3</v>
      </c>
    </row>
    <row r="248" spans="1:14" ht="15" customHeight="1" x14ac:dyDescent="0.2">
      <c r="A248" s="4" t="s">
        <v>990</v>
      </c>
      <c r="B248" s="6">
        <v>45534</v>
      </c>
      <c r="C248" s="4" t="s">
        <v>991</v>
      </c>
      <c r="D248" s="4" t="s">
        <v>73</v>
      </c>
      <c r="E248" s="4">
        <v>2</v>
      </c>
      <c r="F248" s="4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4">
        <v>2</v>
      </c>
      <c r="L248" s="4" t="s">
        <v>81</v>
      </c>
      <c r="M248" s="4" t="s">
        <v>22</v>
      </c>
      <c r="N248" s="4">
        <v>684.22</v>
      </c>
    </row>
    <row r="249" spans="1:14" ht="15" customHeight="1" x14ac:dyDescent="0.2">
      <c r="A249" s="4" t="s">
        <v>994</v>
      </c>
      <c r="B249" s="6">
        <v>45127</v>
      </c>
      <c r="C249" s="4" t="s">
        <v>995</v>
      </c>
      <c r="D249" s="4" t="s">
        <v>48</v>
      </c>
      <c r="E249" s="4">
        <v>2</v>
      </c>
      <c r="F249" s="4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4">
        <v>4</v>
      </c>
      <c r="M249" s="4" t="s">
        <v>38</v>
      </c>
      <c r="N249" s="4">
        <v>441.8</v>
      </c>
    </row>
    <row r="250" spans="1:14" ht="15" customHeight="1" x14ac:dyDescent="0.2">
      <c r="A250" s="4" t="s">
        <v>998</v>
      </c>
      <c r="B250" s="6">
        <v>45109</v>
      </c>
      <c r="C250" s="4" t="s">
        <v>999</v>
      </c>
      <c r="D250" s="4" t="s">
        <v>58</v>
      </c>
      <c r="E250" s="4">
        <v>1</v>
      </c>
      <c r="F250" s="4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4">
        <v>6</v>
      </c>
      <c r="L250" s="4" t="s">
        <v>37</v>
      </c>
      <c r="M250" s="4" t="s">
        <v>29</v>
      </c>
      <c r="N250" s="4">
        <v>670.54</v>
      </c>
    </row>
    <row r="251" spans="1:14" ht="15" customHeight="1" x14ac:dyDescent="0.2">
      <c r="A251" s="4" t="s">
        <v>1002</v>
      </c>
      <c r="B251" s="6">
        <v>45329</v>
      </c>
      <c r="C251" s="4" t="s">
        <v>1003</v>
      </c>
      <c r="D251" s="4" t="s">
        <v>48</v>
      </c>
      <c r="E251" s="4">
        <v>1</v>
      </c>
      <c r="F251" s="4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4">
        <v>5</v>
      </c>
      <c r="L251" s="4" t="s">
        <v>37</v>
      </c>
      <c r="M251" s="4" t="s">
        <v>29</v>
      </c>
      <c r="N251" s="4">
        <v>546.19000000000005</v>
      </c>
    </row>
    <row r="252" spans="1:14" ht="15" customHeight="1" x14ac:dyDescent="0.2">
      <c r="A252" s="4" t="s">
        <v>1006</v>
      </c>
      <c r="B252" s="6">
        <v>45021</v>
      </c>
      <c r="C252" s="4" t="s">
        <v>1007</v>
      </c>
      <c r="D252" s="4" t="s">
        <v>73</v>
      </c>
      <c r="E252" s="4">
        <v>3</v>
      </c>
      <c r="F252" s="4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4">
        <v>8</v>
      </c>
      <c r="L252" s="4" t="s">
        <v>21</v>
      </c>
      <c r="M252" s="4" t="s">
        <v>38</v>
      </c>
      <c r="N252" s="4">
        <v>128.85</v>
      </c>
    </row>
    <row r="253" spans="1:14" ht="15" customHeight="1" x14ac:dyDescent="0.2">
      <c r="A253" s="4" t="s">
        <v>1009</v>
      </c>
      <c r="B253" s="6">
        <v>45792</v>
      </c>
      <c r="C253" s="4" t="s">
        <v>1010</v>
      </c>
      <c r="D253" s="4" t="s">
        <v>16</v>
      </c>
      <c r="E253" s="4">
        <v>4</v>
      </c>
      <c r="F253" s="4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4">
        <v>9</v>
      </c>
      <c r="M253" s="4" t="s">
        <v>38</v>
      </c>
      <c r="N253" s="4">
        <v>58.76</v>
      </c>
    </row>
    <row r="254" spans="1:14" ht="15" customHeight="1" x14ac:dyDescent="0.2">
      <c r="A254" s="4" t="s">
        <v>1013</v>
      </c>
      <c r="B254" s="6">
        <v>45555</v>
      </c>
      <c r="C254" s="4" t="s">
        <v>1014</v>
      </c>
      <c r="D254" s="4" t="s">
        <v>25</v>
      </c>
      <c r="E254" s="4">
        <v>4</v>
      </c>
      <c r="F254" s="4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4">
        <v>5</v>
      </c>
      <c r="L254" s="4" t="s">
        <v>37</v>
      </c>
      <c r="M254" s="4" t="s">
        <v>45</v>
      </c>
      <c r="N254" s="4">
        <v>2673.44</v>
      </c>
    </row>
    <row r="255" spans="1:14" ht="15" customHeight="1" x14ac:dyDescent="0.2">
      <c r="A255" s="4" t="s">
        <v>1017</v>
      </c>
      <c r="B255" s="6">
        <v>45374</v>
      </c>
      <c r="C255" s="4" t="s">
        <v>1018</v>
      </c>
      <c r="D255" s="4" t="s">
        <v>41</v>
      </c>
      <c r="E255" s="4">
        <v>4</v>
      </c>
      <c r="F255" s="4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4">
        <v>7</v>
      </c>
      <c r="L255" s="4" t="s">
        <v>37</v>
      </c>
      <c r="M255" s="4" t="s">
        <v>22</v>
      </c>
      <c r="N255" s="4">
        <v>1654.96</v>
      </c>
    </row>
    <row r="256" spans="1:14" ht="15" customHeight="1" x14ac:dyDescent="0.2">
      <c r="A256" s="4" t="s">
        <v>1020</v>
      </c>
      <c r="B256" s="6">
        <v>45286</v>
      </c>
      <c r="C256" s="4" t="s">
        <v>1021</v>
      </c>
      <c r="D256" s="4" t="s">
        <v>16</v>
      </c>
      <c r="E256" s="4">
        <v>3</v>
      </c>
      <c r="F256" s="4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4">
        <v>5</v>
      </c>
      <c r="M256" s="4" t="s">
        <v>22</v>
      </c>
      <c r="N256" s="4">
        <v>789.57</v>
      </c>
    </row>
    <row r="257" spans="1:14" ht="15" customHeight="1" x14ac:dyDescent="0.2">
      <c r="A257" s="4" t="s">
        <v>1023</v>
      </c>
      <c r="B257" s="6">
        <v>45425</v>
      </c>
      <c r="C257" s="4" t="s">
        <v>1024</v>
      </c>
      <c r="D257" s="4" t="s">
        <v>16</v>
      </c>
      <c r="E257" s="4">
        <v>1</v>
      </c>
      <c r="F257" s="4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4">
        <v>2</v>
      </c>
      <c r="L257" s="4" t="s">
        <v>21</v>
      </c>
      <c r="M257" s="4" t="s">
        <v>76</v>
      </c>
      <c r="N257" s="4">
        <v>263.95999999999998</v>
      </c>
    </row>
    <row r="258" spans="1:14" ht="15" customHeight="1" x14ac:dyDescent="0.2">
      <c r="A258" s="4" t="s">
        <v>1026</v>
      </c>
      <c r="B258" s="6">
        <v>45838</v>
      </c>
      <c r="C258" s="4" t="s">
        <v>1027</v>
      </c>
      <c r="D258" s="4" t="s">
        <v>41</v>
      </c>
      <c r="E258" s="4">
        <v>5</v>
      </c>
      <c r="F258" s="4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4">
        <v>10</v>
      </c>
      <c r="L258" s="4" t="s">
        <v>81</v>
      </c>
      <c r="M258" s="4" t="s">
        <v>22</v>
      </c>
      <c r="N258" s="4">
        <v>379.05</v>
      </c>
    </row>
    <row r="259" spans="1:14" ht="15" customHeight="1" x14ac:dyDescent="0.2">
      <c r="A259" s="4" t="s">
        <v>1030</v>
      </c>
      <c r="B259" s="6">
        <v>45405</v>
      </c>
      <c r="C259" s="4" t="s">
        <v>1031</v>
      </c>
      <c r="D259" s="4" t="s">
        <v>25</v>
      </c>
      <c r="E259" s="4">
        <v>1</v>
      </c>
      <c r="F259" s="4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4">
        <v>5</v>
      </c>
      <c r="L259" s="4" t="s">
        <v>21</v>
      </c>
      <c r="M259" s="4" t="s">
        <v>29</v>
      </c>
      <c r="N259" s="4">
        <v>406.22</v>
      </c>
    </row>
    <row r="260" spans="1:14" ht="15" customHeight="1" x14ac:dyDescent="0.2">
      <c r="A260" s="4" t="s">
        <v>1034</v>
      </c>
      <c r="B260" s="6">
        <v>45348</v>
      </c>
      <c r="C260" s="4" t="s">
        <v>1035</v>
      </c>
      <c r="D260" s="4" t="s">
        <v>32</v>
      </c>
      <c r="E260" s="4">
        <v>2</v>
      </c>
      <c r="F260" s="4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4">
        <v>2</v>
      </c>
      <c r="L260" s="4" t="s">
        <v>37</v>
      </c>
      <c r="M260" s="4" t="s">
        <v>29</v>
      </c>
      <c r="N260" s="4">
        <v>206.82</v>
      </c>
    </row>
    <row r="261" spans="1:14" ht="15" customHeight="1" x14ac:dyDescent="0.2">
      <c r="A261" s="4" t="s">
        <v>1038</v>
      </c>
      <c r="B261" s="6">
        <v>45088</v>
      </c>
      <c r="C261" s="4" t="s">
        <v>1039</v>
      </c>
      <c r="D261" s="4" t="s">
        <v>41</v>
      </c>
      <c r="E261" s="4">
        <v>4</v>
      </c>
      <c r="F261" s="4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4">
        <v>9</v>
      </c>
      <c r="L261" s="4" t="s">
        <v>21</v>
      </c>
      <c r="M261" s="4" t="s">
        <v>22</v>
      </c>
      <c r="N261" s="4">
        <v>1740.48</v>
      </c>
    </row>
    <row r="262" spans="1:14" ht="15" customHeight="1" x14ac:dyDescent="0.2">
      <c r="A262" s="4" t="s">
        <v>1041</v>
      </c>
      <c r="B262" s="6">
        <v>45063</v>
      </c>
      <c r="C262" s="4" t="s">
        <v>1042</v>
      </c>
      <c r="D262" s="4" t="s">
        <v>16</v>
      </c>
      <c r="E262" s="4">
        <v>2</v>
      </c>
      <c r="F262" s="4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4">
        <v>3</v>
      </c>
      <c r="M262" s="4" t="s">
        <v>76</v>
      </c>
      <c r="N262" s="4">
        <v>815.58</v>
      </c>
    </row>
    <row r="263" spans="1:14" ht="15" customHeight="1" x14ac:dyDescent="0.2">
      <c r="A263" s="4" t="s">
        <v>1045</v>
      </c>
      <c r="B263" s="6">
        <v>45805</v>
      </c>
      <c r="C263" s="4" t="s">
        <v>1046</v>
      </c>
      <c r="D263" s="4" t="s">
        <v>25</v>
      </c>
      <c r="E263" s="4">
        <v>5</v>
      </c>
      <c r="F263" s="4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4">
        <v>9</v>
      </c>
      <c r="L263" s="4" t="s">
        <v>21</v>
      </c>
      <c r="M263" s="4" t="s">
        <v>38</v>
      </c>
      <c r="N263" s="4">
        <v>868.25</v>
      </c>
    </row>
    <row r="264" spans="1:14" ht="15" customHeight="1" x14ac:dyDescent="0.2">
      <c r="A264" s="4" t="s">
        <v>1049</v>
      </c>
      <c r="B264" s="6">
        <v>44936</v>
      </c>
      <c r="C264" s="4" t="s">
        <v>1050</v>
      </c>
      <c r="D264" s="4" t="s">
        <v>25</v>
      </c>
      <c r="E264" s="4">
        <v>4</v>
      </c>
      <c r="F264" s="4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4">
        <v>5</v>
      </c>
      <c r="L264" s="4" t="s">
        <v>81</v>
      </c>
      <c r="M264" s="4" t="s">
        <v>29</v>
      </c>
      <c r="N264" s="4">
        <v>996.28</v>
      </c>
    </row>
    <row r="265" spans="1:14" ht="15" customHeight="1" x14ac:dyDescent="0.2">
      <c r="A265" s="4" t="s">
        <v>1052</v>
      </c>
      <c r="B265" s="6">
        <v>45010</v>
      </c>
      <c r="C265" s="4" t="s">
        <v>1053</v>
      </c>
      <c r="D265" s="4" t="s">
        <v>25</v>
      </c>
      <c r="E265" s="4">
        <v>4</v>
      </c>
      <c r="F265" s="4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4">
        <v>4</v>
      </c>
      <c r="L265" s="4" t="s">
        <v>81</v>
      </c>
      <c r="M265" s="4" t="s">
        <v>76</v>
      </c>
      <c r="N265" s="4">
        <v>1739.4</v>
      </c>
    </row>
    <row r="266" spans="1:14" ht="15" customHeight="1" x14ac:dyDescent="0.2">
      <c r="A266" s="4" t="s">
        <v>1056</v>
      </c>
      <c r="B266" s="6">
        <v>45507</v>
      </c>
      <c r="C266" s="4" t="s">
        <v>1057</v>
      </c>
      <c r="D266" s="4" t="s">
        <v>32</v>
      </c>
      <c r="E266" s="4">
        <v>1</v>
      </c>
      <c r="F266" s="4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4">
        <v>5</v>
      </c>
      <c r="L266" s="4" t="s">
        <v>37</v>
      </c>
      <c r="M266" s="4" t="s">
        <v>76</v>
      </c>
      <c r="N266" s="4">
        <v>436.77</v>
      </c>
    </row>
    <row r="267" spans="1:14" ht="15" customHeight="1" x14ac:dyDescent="0.2">
      <c r="A267" s="4" t="s">
        <v>1060</v>
      </c>
      <c r="B267" s="6">
        <v>45282</v>
      </c>
      <c r="C267" s="4" t="s">
        <v>1061</v>
      </c>
      <c r="D267" s="4" t="s">
        <v>48</v>
      </c>
      <c r="E267" s="4">
        <v>1</v>
      </c>
      <c r="F267" s="4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4">
        <v>4</v>
      </c>
      <c r="L267" s="4" t="s">
        <v>21</v>
      </c>
      <c r="M267" s="4" t="s">
        <v>76</v>
      </c>
      <c r="N267" s="4">
        <v>572.13</v>
      </c>
    </row>
    <row r="268" spans="1:14" ht="15" customHeight="1" x14ac:dyDescent="0.2">
      <c r="A268" s="4" t="s">
        <v>1064</v>
      </c>
      <c r="B268" s="6">
        <v>45451</v>
      </c>
      <c r="C268" s="4" t="s">
        <v>1065</v>
      </c>
      <c r="D268" s="4" t="s">
        <v>41</v>
      </c>
      <c r="E268" s="4">
        <v>4</v>
      </c>
      <c r="F268" s="4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4">
        <v>6</v>
      </c>
      <c r="L268" s="4" t="s">
        <v>37</v>
      </c>
      <c r="M268" s="4" t="s">
        <v>29</v>
      </c>
      <c r="N268" s="4">
        <v>2332.2800000000002</v>
      </c>
    </row>
    <row r="269" spans="1:14" ht="15" customHeight="1" x14ac:dyDescent="0.2">
      <c r="A269" s="4" t="s">
        <v>1068</v>
      </c>
      <c r="B269" s="6">
        <v>45764</v>
      </c>
      <c r="C269" s="4" t="s">
        <v>1069</v>
      </c>
      <c r="D269" s="4" t="s">
        <v>41</v>
      </c>
      <c r="E269" s="4">
        <v>5</v>
      </c>
      <c r="F269" s="4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4">
        <v>9</v>
      </c>
      <c r="M269" s="4" t="s">
        <v>45</v>
      </c>
      <c r="N269" s="4">
        <v>2342.5500000000002</v>
      </c>
    </row>
    <row r="270" spans="1:14" ht="15" customHeight="1" x14ac:dyDescent="0.2">
      <c r="A270" s="4" t="s">
        <v>1072</v>
      </c>
      <c r="B270" s="6">
        <v>45149</v>
      </c>
      <c r="C270" s="4" t="s">
        <v>1073</v>
      </c>
      <c r="D270" s="4" t="s">
        <v>25</v>
      </c>
      <c r="E270" s="4">
        <v>2</v>
      </c>
      <c r="F270" s="4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4">
        <v>7</v>
      </c>
      <c r="L270" s="4" t="s">
        <v>21</v>
      </c>
      <c r="M270" s="4" t="s">
        <v>29</v>
      </c>
      <c r="N270" s="4">
        <v>847.76</v>
      </c>
    </row>
    <row r="271" spans="1:14" ht="15" customHeight="1" x14ac:dyDescent="0.2">
      <c r="A271" s="4" t="s">
        <v>1076</v>
      </c>
      <c r="B271" s="6">
        <v>45255</v>
      </c>
      <c r="C271" s="4" t="s">
        <v>1077</v>
      </c>
      <c r="D271" s="4" t="s">
        <v>32</v>
      </c>
      <c r="E271" s="4">
        <v>4</v>
      </c>
      <c r="F271" s="4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4">
        <v>7</v>
      </c>
      <c r="L271" s="4" t="s">
        <v>37</v>
      </c>
      <c r="M271" s="4" t="s">
        <v>76</v>
      </c>
      <c r="N271" s="4">
        <v>2654.68</v>
      </c>
    </row>
    <row r="272" spans="1:14" ht="15" customHeight="1" x14ac:dyDescent="0.2">
      <c r="A272" s="4" t="s">
        <v>1079</v>
      </c>
      <c r="B272" s="6">
        <v>45081</v>
      </c>
      <c r="C272" s="4" t="s">
        <v>1080</v>
      </c>
      <c r="D272" s="4" t="s">
        <v>48</v>
      </c>
      <c r="E272" s="4">
        <v>4</v>
      </c>
      <c r="F272" s="4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4">
        <v>5</v>
      </c>
      <c r="L272" s="4" t="s">
        <v>81</v>
      </c>
      <c r="M272" s="4" t="s">
        <v>76</v>
      </c>
      <c r="N272" s="4">
        <v>1239.6400000000001</v>
      </c>
    </row>
    <row r="273" spans="1:14" ht="15" customHeight="1" x14ac:dyDescent="0.2">
      <c r="A273" s="4" t="s">
        <v>1083</v>
      </c>
      <c r="B273" s="6">
        <v>45013</v>
      </c>
      <c r="C273" s="4" t="s">
        <v>1084</v>
      </c>
      <c r="D273" s="4" t="s">
        <v>16</v>
      </c>
      <c r="E273" s="4">
        <v>1</v>
      </c>
      <c r="F273" s="4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4">
        <v>6</v>
      </c>
      <c r="L273" s="4" t="s">
        <v>81</v>
      </c>
      <c r="M273" s="4" t="s">
        <v>29</v>
      </c>
      <c r="N273" s="4">
        <v>542.07000000000005</v>
      </c>
    </row>
    <row r="274" spans="1:14" ht="15" customHeight="1" x14ac:dyDescent="0.2">
      <c r="A274" s="4" t="s">
        <v>1087</v>
      </c>
      <c r="B274" s="6">
        <v>45188</v>
      </c>
      <c r="C274" s="4" t="s">
        <v>1088</v>
      </c>
      <c r="D274" s="4" t="s">
        <v>41</v>
      </c>
      <c r="E274" s="4">
        <v>2</v>
      </c>
      <c r="F274" s="4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4">
        <v>6</v>
      </c>
      <c r="L274" s="4" t="s">
        <v>81</v>
      </c>
      <c r="M274" s="4" t="s">
        <v>22</v>
      </c>
      <c r="N274" s="4">
        <v>798.64</v>
      </c>
    </row>
    <row r="275" spans="1:14" ht="15" customHeight="1" x14ac:dyDescent="0.2">
      <c r="A275" s="4" t="s">
        <v>1091</v>
      </c>
      <c r="B275" s="6">
        <v>45592</v>
      </c>
      <c r="C275" s="4" t="s">
        <v>1092</v>
      </c>
      <c r="D275" s="4" t="s">
        <v>32</v>
      </c>
      <c r="E275" s="4">
        <v>2</v>
      </c>
      <c r="F275" s="4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4">
        <v>7</v>
      </c>
      <c r="L275" s="4" t="s">
        <v>37</v>
      </c>
      <c r="M275" s="4" t="s">
        <v>38</v>
      </c>
      <c r="N275" s="4">
        <v>476.5</v>
      </c>
    </row>
    <row r="276" spans="1:14" ht="15" customHeight="1" x14ac:dyDescent="0.2">
      <c r="A276" s="4" t="s">
        <v>1095</v>
      </c>
      <c r="B276" s="6">
        <v>44961</v>
      </c>
      <c r="C276" s="4" t="s">
        <v>1096</v>
      </c>
      <c r="D276" s="4" t="s">
        <v>25</v>
      </c>
      <c r="E276" s="4">
        <v>2</v>
      </c>
      <c r="F276" s="4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4">
        <v>5</v>
      </c>
      <c r="L276" s="4" t="s">
        <v>21</v>
      </c>
      <c r="M276" s="4" t="s">
        <v>29</v>
      </c>
      <c r="N276" s="4">
        <v>364.8</v>
      </c>
    </row>
    <row r="277" spans="1:14" ht="15" customHeight="1" x14ac:dyDescent="0.2">
      <c r="A277" s="4" t="s">
        <v>1099</v>
      </c>
      <c r="B277" s="6">
        <v>45234</v>
      </c>
      <c r="C277" s="4" t="s">
        <v>1100</v>
      </c>
      <c r="D277" s="4" t="s">
        <v>41</v>
      </c>
      <c r="E277" s="4">
        <v>2</v>
      </c>
      <c r="F277" s="4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4">
        <v>4</v>
      </c>
      <c r="L277" s="4" t="s">
        <v>21</v>
      </c>
      <c r="M277" s="4" t="s">
        <v>76</v>
      </c>
      <c r="N277" s="4">
        <v>130.13999999999999</v>
      </c>
    </row>
    <row r="278" spans="1:14" ht="15" customHeight="1" x14ac:dyDescent="0.2">
      <c r="A278" s="4" t="s">
        <v>1103</v>
      </c>
      <c r="B278" s="6">
        <v>45745</v>
      </c>
      <c r="C278" s="4" t="s">
        <v>1104</v>
      </c>
      <c r="D278" s="4" t="s">
        <v>48</v>
      </c>
      <c r="E278" s="4">
        <v>2</v>
      </c>
      <c r="F278" s="4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4">
        <v>3</v>
      </c>
      <c r="L278" s="4" t="s">
        <v>81</v>
      </c>
      <c r="M278" s="4" t="s">
        <v>22</v>
      </c>
      <c r="N278" s="4">
        <v>1201.1400000000001</v>
      </c>
    </row>
    <row r="279" spans="1:14" ht="15" customHeight="1" x14ac:dyDescent="0.2">
      <c r="A279" s="4" t="s">
        <v>1107</v>
      </c>
      <c r="B279" s="6">
        <v>45544</v>
      </c>
      <c r="C279" s="4" t="s">
        <v>1108</v>
      </c>
      <c r="D279" s="4" t="s">
        <v>41</v>
      </c>
      <c r="E279" s="4">
        <v>5</v>
      </c>
      <c r="F279" s="4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4">
        <v>9</v>
      </c>
      <c r="L279" s="4" t="s">
        <v>21</v>
      </c>
      <c r="M279" s="4" t="s">
        <v>45</v>
      </c>
      <c r="N279" s="4">
        <v>454.6</v>
      </c>
    </row>
    <row r="280" spans="1:14" ht="15" customHeight="1" x14ac:dyDescent="0.2">
      <c r="A280" s="4" t="s">
        <v>1111</v>
      </c>
      <c r="B280" s="6">
        <v>45614</v>
      </c>
      <c r="C280" s="4" t="s">
        <v>1112</v>
      </c>
      <c r="D280" s="4" t="s">
        <v>58</v>
      </c>
      <c r="E280" s="4">
        <v>5</v>
      </c>
      <c r="F280" s="4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4">
        <v>6</v>
      </c>
      <c r="L280" s="4" t="s">
        <v>37</v>
      </c>
      <c r="M280" s="4" t="s">
        <v>22</v>
      </c>
      <c r="N280" s="4">
        <v>1812.3</v>
      </c>
    </row>
    <row r="281" spans="1:14" ht="15" customHeight="1" x14ac:dyDescent="0.2">
      <c r="A281" s="4" t="s">
        <v>1115</v>
      </c>
      <c r="B281" s="6">
        <v>45219</v>
      </c>
      <c r="C281" s="4" t="s">
        <v>1116</v>
      </c>
      <c r="D281" s="4" t="s">
        <v>41</v>
      </c>
      <c r="E281" s="4">
        <v>3</v>
      </c>
      <c r="F281" s="4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4">
        <v>7</v>
      </c>
      <c r="L281" s="4" t="s">
        <v>81</v>
      </c>
      <c r="M281" s="4" t="s">
        <v>38</v>
      </c>
      <c r="N281" s="4">
        <v>165.03</v>
      </c>
    </row>
    <row r="282" spans="1:14" ht="15" customHeight="1" x14ac:dyDescent="0.2">
      <c r="A282" s="4" t="s">
        <v>1119</v>
      </c>
      <c r="B282" s="6">
        <v>45012</v>
      </c>
      <c r="C282" s="4" t="s">
        <v>1120</v>
      </c>
      <c r="D282" s="4" t="s">
        <v>32</v>
      </c>
      <c r="E282" s="4">
        <v>3</v>
      </c>
      <c r="F282" s="4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4">
        <v>6</v>
      </c>
      <c r="L282" s="4" t="s">
        <v>37</v>
      </c>
      <c r="M282" s="4" t="s">
        <v>22</v>
      </c>
      <c r="N282" s="4">
        <v>1213.8599999999999</v>
      </c>
    </row>
    <row r="283" spans="1:14" ht="15" customHeight="1" x14ac:dyDescent="0.2">
      <c r="A283" s="4" t="s">
        <v>1123</v>
      </c>
      <c r="B283" s="6">
        <v>45134</v>
      </c>
      <c r="C283" s="4" t="s">
        <v>1124</v>
      </c>
      <c r="D283" s="4" t="s">
        <v>73</v>
      </c>
      <c r="E283" s="4">
        <v>4</v>
      </c>
      <c r="F283" s="4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4">
        <v>9</v>
      </c>
      <c r="M283" s="4" t="s">
        <v>29</v>
      </c>
      <c r="N283" s="4">
        <v>2619.16</v>
      </c>
    </row>
    <row r="284" spans="1:14" ht="15" customHeight="1" x14ac:dyDescent="0.2">
      <c r="A284" s="4" t="s">
        <v>1127</v>
      </c>
      <c r="B284" s="6">
        <v>45769</v>
      </c>
      <c r="C284" s="4" t="s">
        <v>1128</v>
      </c>
      <c r="D284" s="4" t="s">
        <v>48</v>
      </c>
      <c r="E284" s="4">
        <v>4</v>
      </c>
      <c r="F284" s="4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4">
        <v>9</v>
      </c>
      <c r="L284" s="4" t="s">
        <v>37</v>
      </c>
      <c r="M284" s="4" t="s">
        <v>76</v>
      </c>
      <c r="N284" s="4">
        <v>2551.16</v>
      </c>
    </row>
    <row r="285" spans="1:14" ht="15" customHeight="1" x14ac:dyDescent="0.2">
      <c r="A285" s="4" t="s">
        <v>1131</v>
      </c>
      <c r="B285" s="6">
        <v>45716</v>
      </c>
      <c r="C285" s="4" t="s">
        <v>1132</v>
      </c>
      <c r="D285" s="4" t="s">
        <v>58</v>
      </c>
      <c r="E285" s="4">
        <v>4</v>
      </c>
      <c r="F285" s="4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4">
        <v>6</v>
      </c>
      <c r="M285" s="4" t="s">
        <v>76</v>
      </c>
      <c r="N285" s="4">
        <v>2161.3200000000002</v>
      </c>
    </row>
    <row r="286" spans="1:14" ht="15" customHeight="1" x14ac:dyDescent="0.2">
      <c r="A286" s="4" t="s">
        <v>1135</v>
      </c>
      <c r="B286" s="6">
        <v>44973</v>
      </c>
      <c r="C286" s="4" t="s">
        <v>1136</v>
      </c>
      <c r="D286" s="4" t="s">
        <v>58</v>
      </c>
      <c r="E286" s="4">
        <v>5</v>
      </c>
      <c r="F286" s="4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4">
        <v>6</v>
      </c>
      <c r="L286" s="4" t="s">
        <v>21</v>
      </c>
      <c r="M286" s="4" t="s">
        <v>45</v>
      </c>
      <c r="N286" s="4">
        <v>1040.8499999999999</v>
      </c>
    </row>
    <row r="287" spans="1:14" ht="15" customHeight="1" x14ac:dyDescent="0.2">
      <c r="A287" s="4" t="s">
        <v>1139</v>
      </c>
      <c r="B287" s="6">
        <v>45818</v>
      </c>
      <c r="C287" s="4" t="s">
        <v>1140</v>
      </c>
      <c r="D287" s="4" t="s">
        <v>25</v>
      </c>
      <c r="E287" s="4">
        <v>1</v>
      </c>
      <c r="F287" s="4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4">
        <v>3</v>
      </c>
      <c r="M287" s="4" t="s">
        <v>76</v>
      </c>
      <c r="N287" s="4">
        <v>338.31</v>
      </c>
    </row>
    <row r="288" spans="1:14" ht="15" customHeight="1" x14ac:dyDescent="0.2">
      <c r="A288" s="4" t="s">
        <v>1142</v>
      </c>
      <c r="B288" s="6">
        <v>45754</v>
      </c>
      <c r="C288" s="4" t="s">
        <v>1143</v>
      </c>
      <c r="D288" s="4" t="s">
        <v>16</v>
      </c>
      <c r="E288" s="4">
        <v>3</v>
      </c>
      <c r="F288" s="4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4">
        <v>8</v>
      </c>
      <c r="L288" s="4" t="s">
        <v>81</v>
      </c>
      <c r="M288" s="4" t="s">
        <v>76</v>
      </c>
      <c r="N288" s="4">
        <v>418.35</v>
      </c>
    </row>
    <row r="289" spans="1:14" ht="15" customHeight="1" x14ac:dyDescent="0.2">
      <c r="A289" s="4" t="s">
        <v>1145</v>
      </c>
      <c r="B289" s="6">
        <v>45254</v>
      </c>
      <c r="C289" s="4" t="s">
        <v>1146</v>
      </c>
      <c r="D289" s="4" t="s">
        <v>41</v>
      </c>
      <c r="E289" s="4">
        <v>4</v>
      </c>
      <c r="F289" s="4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4">
        <v>5</v>
      </c>
      <c r="M289" s="4" t="s">
        <v>45</v>
      </c>
      <c r="N289" s="4">
        <v>2620.7199999999998</v>
      </c>
    </row>
    <row r="290" spans="1:14" ht="15" customHeight="1" x14ac:dyDescent="0.2">
      <c r="A290" s="4" t="s">
        <v>1149</v>
      </c>
      <c r="B290" s="6">
        <v>44997</v>
      </c>
      <c r="C290" s="4" t="s">
        <v>1150</v>
      </c>
      <c r="D290" s="4" t="s">
        <v>58</v>
      </c>
      <c r="E290" s="4">
        <v>4</v>
      </c>
      <c r="F290" s="4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4">
        <v>8</v>
      </c>
      <c r="L290" s="4" t="s">
        <v>81</v>
      </c>
      <c r="M290" s="4" t="s">
        <v>76</v>
      </c>
      <c r="N290" s="4">
        <v>2051</v>
      </c>
    </row>
    <row r="291" spans="1:14" ht="15" customHeight="1" x14ac:dyDescent="0.2">
      <c r="A291" s="4" t="s">
        <v>1153</v>
      </c>
      <c r="B291" s="6">
        <v>45133</v>
      </c>
      <c r="C291" s="4" t="s">
        <v>1154</v>
      </c>
      <c r="D291" s="4" t="s">
        <v>41</v>
      </c>
      <c r="E291" s="4">
        <v>4</v>
      </c>
      <c r="F291" s="4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4">
        <v>8</v>
      </c>
      <c r="L291" s="4" t="s">
        <v>81</v>
      </c>
      <c r="M291" s="4" t="s">
        <v>29</v>
      </c>
      <c r="N291" s="4">
        <v>641.96</v>
      </c>
    </row>
    <row r="292" spans="1:14" ht="15" customHeight="1" x14ac:dyDescent="0.2">
      <c r="A292" s="4" t="s">
        <v>1156</v>
      </c>
      <c r="B292" s="6">
        <v>45051</v>
      </c>
      <c r="C292" s="4" t="s">
        <v>1157</v>
      </c>
      <c r="D292" s="4" t="s">
        <v>41</v>
      </c>
      <c r="E292" s="4">
        <v>3</v>
      </c>
      <c r="F292" s="4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4">
        <v>8</v>
      </c>
      <c r="L292" s="4" t="s">
        <v>37</v>
      </c>
      <c r="M292" s="4" t="s">
        <v>45</v>
      </c>
      <c r="N292" s="4">
        <v>299.7</v>
      </c>
    </row>
    <row r="293" spans="1:14" ht="15" customHeight="1" x14ac:dyDescent="0.2">
      <c r="A293" s="4" t="s">
        <v>1159</v>
      </c>
      <c r="B293" s="6">
        <v>45424</v>
      </c>
      <c r="C293" s="4" t="s">
        <v>1160</v>
      </c>
      <c r="D293" s="4" t="s">
        <v>25</v>
      </c>
      <c r="E293" s="4">
        <v>2</v>
      </c>
      <c r="F293" s="4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4">
        <v>6</v>
      </c>
      <c r="L293" s="4" t="s">
        <v>37</v>
      </c>
      <c r="M293" s="4" t="s">
        <v>76</v>
      </c>
      <c r="N293" s="4">
        <v>690.02</v>
      </c>
    </row>
    <row r="294" spans="1:14" ht="15" customHeight="1" x14ac:dyDescent="0.2">
      <c r="A294" s="4" t="s">
        <v>1163</v>
      </c>
      <c r="B294" s="6">
        <v>45672</v>
      </c>
      <c r="C294" s="4" t="s">
        <v>1164</v>
      </c>
      <c r="D294" s="4" t="s">
        <v>16</v>
      </c>
      <c r="E294" s="4">
        <v>1</v>
      </c>
      <c r="F294" s="4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4">
        <v>5</v>
      </c>
      <c r="M294" s="4" t="s">
        <v>45</v>
      </c>
      <c r="N294" s="4">
        <v>65.95</v>
      </c>
    </row>
    <row r="295" spans="1:14" ht="15" customHeight="1" x14ac:dyDescent="0.2">
      <c r="A295" s="4" t="s">
        <v>1166</v>
      </c>
      <c r="B295" s="6">
        <v>44973</v>
      </c>
      <c r="C295" s="4" t="s">
        <v>1167</v>
      </c>
      <c r="D295" s="4" t="s">
        <v>32</v>
      </c>
      <c r="E295" s="4">
        <v>4</v>
      </c>
      <c r="F295" s="4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4">
        <v>9</v>
      </c>
      <c r="M295" s="4" t="s">
        <v>22</v>
      </c>
      <c r="N295" s="4">
        <v>1852.16</v>
      </c>
    </row>
    <row r="296" spans="1:14" ht="15" customHeight="1" x14ac:dyDescent="0.2">
      <c r="A296" s="4" t="s">
        <v>1170</v>
      </c>
      <c r="B296" s="6">
        <v>45748</v>
      </c>
      <c r="C296" s="4" t="s">
        <v>1171</v>
      </c>
      <c r="D296" s="4" t="s">
        <v>25</v>
      </c>
      <c r="E296" s="4">
        <v>2</v>
      </c>
      <c r="F296" s="4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4">
        <v>7</v>
      </c>
      <c r="L296" s="4" t="s">
        <v>21</v>
      </c>
      <c r="M296" s="4" t="s">
        <v>29</v>
      </c>
      <c r="N296" s="4">
        <v>595.41999999999996</v>
      </c>
    </row>
    <row r="297" spans="1:14" ht="15" customHeight="1" x14ac:dyDescent="0.2">
      <c r="A297" s="4" t="s">
        <v>1174</v>
      </c>
      <c r="B297" s="6">
        <v>44951</v>
      </c>
      <c r="C297" s="4" t="s">
        <v>1175</v>
      </c>
      <c r="D297" s="4" t="s">
        <v>48</v>
      </c>
      <c r="E297" s="4">
        <v>5</v>
      </c>
      <c r="F297" s="4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4">
        <v>9</v>
      </c>
      <c r="L297" s="4" t="s">
        <v>37</v>
      </c>
      <c r="M297" s="4" t="s">
        <v>38</v>
      </c>
      <c r="N297" s="4">
        <v>537.4</v>
      </c>
    </row>
    <row r="298" spans="1:14" ht="15" customHeight="1" x14ac:dyDescent="0.2">
      <c r="A298" s="4" t="s">
        <v>1178</v>
      </c>
      <c r="B298" s="6">
        <v>45462</v>
      </c>
      <c r="C298" s="4" t="s">
        <v>1179</v>
      </c>
      <c r="D298" s="4" t="s">
        <v>73</v>
      </c>
      <c r="E298" s="4">
        <v>5</v>
      </c>
      <c r="F298" s="4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4">
        <v>10</v>
      </c>
      <c r="L298" s="4" t="s">
        <v>81</v>
      </c>
      <c r="M298" s="4" t="s">
        <v>29</v>
      </c>
      <c r="N298" s="4">
        <v>3194</v>
      </c>
    </row>
    <row r="299" spans="1:14" ht="15" customHeight="1" x14ac:dyDescent="0.2">
      <c r="A299" s="4" t="s">
        <v>1181</v>
      </c>
      <c r="B299" s="6">
        <v>44979</v>
      </c>
      <c r="C299" s="4" t="s">
        <v>1182</v>
      </c>
      <c r="D299" s="4" t="s">
        <v>73</v>
      </c>
      <c r="E299" s="4">
        <v>2</v>
      </c>
      <c r="F299" s="4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4">
        <v>7</v>
      </c>
      <c r="L299" s="4" t="s">
        <v>21</v>
      </c>
      <c r="M299" s="4" t="s">
        <v>22</v>
      </c>
      <c r="N299" s="4">
        <v>987.76</v>
      </c>
    </row>
    <row r="300" spans="1:14" ht="15" customHeight="1" x14ac:dyDescent="0.2">
      <c r="A300" s="4" t="s">
        <v>1185</v>
      </c>
      <c r="B300" s="6">
        <v>45279</v>
      </c>
      <c r="C300" s="4" t="s">
        <v>1186</v>
      </c>
      <c r="D300" s="4" t="s">
        <v>48</v>
      </c>
      <c r="E300" s="4">
        <v>4</v>
      </c>
      <c r="F300" s="4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4">
        <v>6</v>
      </c>
      <c r="M300" s="4" t="s">
        <v>38</v>
      </c>
      <c r="N300" s="4">
        <v>1204.68</v>
      </c>
    </row>
    <row r="301" spans="1:14" ht="15" customHeight="1" x14ac:dyDescent="0.2">
      <c r="A301" s="4" t="s">
        <v>1188</v>
      </c>
      <c r="B301" s="6">
        <v>45311</v>
      </c>
      <c r="C301" s="4" t="s">
        <v>1189</v>
      </c>
      <c r="D301" s="4" t="s">
        <v>16</v>
      </c>
      <c r="E301" s="4">
        <v>1</v>
      </c>
      <c r="F301" s="4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4">
        <v>2</v>
      </c>
      <c r="L301" s="4" t="s">
        <v>37</v>
      </c>
      <c r="M301" s="4" t="s">
        <v>22</v>
      </c>
      <c r="N301" s="4">
        <v>278.66000000000003</v>
      </c>
    </row>
    <row r="302" spans="1:14" ht="15" customHeight="1" x14ac:dyDescent="0.2">
      <c r="A302" s="4" t="s">
        <v>1192</v>
      </c>
      <c r="B302" s="6">
        <v>45537</v>
      </c>
      <c r="C302" s="4" t="s">
        <v>1193</v>
      </c>
      <c r="D302" s="4" t="s">
        <v>25</v>
      </c>
      <c r="E302" s="4">
        <v>1</v>
      </c>
      <c r="F302" s="4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4">
        <v>3</v>
      </c>
      <c r="L302" s="4" t="s">
        <v>37</v>
      </c>
      <c r="M302" s="4" t="s">
        <v>45</v>
      </c>
      <c r="N302" s="4">
        <v>287.45999999999998</v>
      </c>
    </row>
    <row r="303" spans="1:14" ht="15" customHeight="1" x14ac:dyDescent="0.2">
      <c r="A303" s="4" t="s">
        <v>1196</v>
      </c>
      <c r="B303" s="6">
        <v>45057</v>
      </c>
      <c r="C303" s="4" t="s">
        <v>1197</v>
      </c>
      <c r="D303" s="4" t="s">
        <v>41</v>
      </c>
      <c r="E303" s="4">
        <v>1</v>
      </c>
      <c r="F303" s="4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4">
        <v>2</v>
      </c>
      <c r="L303" s="4" t="s">
        <v>21</v>
      </c>
      <c r="M303" s="4" t="s">
        <v>38</v>
      </c>
      <c r="N303" s="4">
        <v>583.99</v>
      </c>
    </row>
    <row r="304" spans="1:14" ht="15" customHeight="1" x14ac:dyDescent="0.2">
      <c r="A304" s="4" t="s">
        <v>1200</v>
      </c>
      <c r="B304" s="6">
        <v>45062</v>
      </c>
      <c r="C304" s="4" t="s">
        <v>1201</v>
      </c>
      <c r="D304" s="4" t="s">
        <v>41</v>
      </c>
      <c r="E304" s="4">
        <v>3</v>
      </c>
      <c r="F304" s="4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4">
        <v>4</v>
      </c>
      <c r="L304" s="4" t="s">
        <v>37</v>
      </c>
      <c r="M304" s="4" t="s">
        <v>22</v>
      </c>
      <c r="N304" s="4">
        <v>1406.22</v>
      </c>
    </row>
    <row r="305" spans="1:14" ht="15" customHeight="1" x14ac:dyDescent="0.2">
      <c r="A305" s="4" t="s">
        <v>1204</v>
      </c>
      <c r="B305" s="6">
        <v>45633</v>
      </c>
      <c r="C305" s="4" t="s">
        <v>1205</v>
      </c>
      <c r="D305" s="4" t="s">
        <v>32</v>
      </c>
      <c r="E305" s="4">
        <v>1</v>
      </c>
      <c r="F305" s="4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4">
        <v>1</v>
      </c>
      <c r="M305" s="4" t="s">
        <v>76</v>
      </c>
      <c r="N305" s="4">
        <v>30.54</v>
      </c>
    </row>
    <row r="306" spans="1:14" ht="15" customHeight="1" x14ac:dyDescent="0.2">
      <c r="A306" s="4" t="s">
        <v>1208</v>
      </c>
      <c r="B306" s="6">
        <v>45583</v>
      </c>
      <c r="C306" s="4" t="s">
        <v>1209</v>
      </c>
      <c r="D306" s="4" t="s">
        <v>16</v>
      </c>
      <c r="E306" s="4">
        <v>5</v>
      </c>
      <c r="F306" s="4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4">
        <v>10</v>
      </c>
      <c r="L306" s="4" t="s">
        <v>37</v>
      </c>
      <c r="M306" s="4" t="s">
        <v>22</v>
      </c>
      <c r="N306" s="4">
        <v>2043.65</v>
      </c>
    </row>
    <row r="307" spans="1:14" ht="15" customHeight="1" x14ac:dyDescent="0.2">
      <c r="A307" s="4" t="s">
        <v>1212</v>
      </c>
      <c r="B307" s="6">
        <v>45255</v>
      </c>
      <c r="C307" s="4" t="s">
        <v>1213</v>
      </c>
      <c r="D307" s="4" t="s">
        <v>58</v>
      </c>
      <c r="E307" s="4">
        <v>4</v>
      </c>
      <c r="F307" s="4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4">
        <v>9</v>
      </c>
      <c r="L307" s="4" t="s">
        <v>37</v>
      </c>
      <c r="M307" s="4" t="s">
        <v>22</v>
      </c>
      <c r="N307" s="4">
        <v>507.56</v>
      </c>
    </row>
    <row r="308" spans="1:14" ht="15" customHeight="1" x14ac:dyDescent="0.2">
      <c r="A308" s="4" t="s">
        <v>1216</v>
      </c>
      <c r="B308" s="6">
        <v>45450</v>
      </c>
      <c r="C308" s="4" t="s">
        <v>1217</v>
      </c>
      <c r="D308" s="4" t="s">
        <v>48</v>
      </c>
      <c r="E308" s="4">
        <v>2</v>
      </c>
      <c r="F308" s="4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4">
        <v>3</v>
      </c>
      <c r="L308" s="4" t="s">
        <v>21</v>
      </c>
      <c r="M308" s="4" t="s">
        <v>22</v>
      </c>
      <c r="N308" s="4">
        <v>114.14</v>
      </c>
    </row>
    <row r="309" spans="1:14" ht="15" customHeight="1" x14ac:dyDescent="0.2">
      <c r="A309" s="4" t="s">
        <v>1220</v>
      </c>
      <c r="B309" s="6">
        <v>45108</v>
      </c>
      <c r="C309" s="4" t="s">
        <v>1221</v>
      </c>
      <c r="D309" s="4" t="s">
        <v>58</v>
      </c>
      <c r="E309" s="4">
        <v>3</v>
      </c>
      <c r="F309" s="4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4">
        <v>4</v>
      </c>
      <c r="M309" s="4" t="s">
        <v>38</v>
      </c>
      <c r="N309" s="4">
        <v>1672.23</v>
      </c>
    </row>
    <row r="310" spans="1:14" ht="15" customHeight="1" x14ac:dyDescent="0.2">
      <c r="A310" s="4" t="s">
        <v>1224</v>
      </c>
      <c r="B310" s="6">
        <v>45271</v>
      </c>
      <c r="C310" s="4" t="s">
        <v>1225</v>
      </c>
      <c r="D310" s="4" t="s">
        <v>48</v>
      </c>
      <c r="E310" s="4">
        <v>3</v>
      </c>
      <c r="F310" s="4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4">
        <v>7</v>
      </c>
      <c r="L310" s="4" t="s">
        <v>21</v>
      </c>
      <c r="M310" s="4" t="s">
        <v>22</v>
      </c>
      <c r="N310" s="4">
        <v>1346.7</v>
      </c>
    </row>
    <row r="311" spans="1:14" ht="15" customHeight="1" x14ac:dyDescent="0.2">
      <c r="A311" s="4" t="s">
        <v>1227</v>
      </c>
      <c r="B311" s="6">
        <v>45202</v>
      </c>
      <c r="C311" s="4" t="s">
        <v>1228</v>
      </c>
      <c r="D311" s="4" t="s">
        <v>41</v>
      </c>
      <c r="E311" s="4">
        <v>4</v>
      </c>
      <c r="F311" s="4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4">
        <v>4</v>
      </c>
      <c r="L311" s="4" t="s">
        <v>37</v>
      </c>
      <c r="M311" s="4" t="s">
        <v>45</v>
      </c>
      <c r="N311" s="4">
        <v>2199.04</v>
      </c>
    </row>
    <row r="312" spans="1:14" ht="15" customHeight="1" x14ac:dyDescent="0.2">
      <c r="A312" s="4" t="s">
        <v>1231</v>
      </c>
      <c r="B312" s="6">
        <v>45346</v>
      </c>
      <c r="C312" s="4" t="s">
        <v>1232</v>
      </c>
      <c r="D312" s="4" t="s">
        <v>48</v>
      </c>
      <c r="E312" s="4">
        <v>3</v>
      </c>
      <c r="F312" s="4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4">
        <v>4</v>
      </c>
      <c r="M312" s="4" t="s">
        <v>29</v>
      </c>
      <c r="N312" s="4">
        <v>397.44</v>
      </c>
    </row>
    <row r="313" spans="1:14" ht="15" customHeight="1" x14ac:dyDescent="0.2">
      <c r="A313" s="4" t="s">
        <v>1235</v>
      </c>
      <c r="B313" s="6">
        <v>45794</v>
      </c>
      <c r="C313" s="4" t="s">
        <v>1236</v>
      </c>
      <c r="D313" s="4" t="s">
        <v>73</v>
      </c>
      <c r="E313" s="4">
        <v>5</v>
      </c>
      <c r="F313" s="4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4">
        <v>8</v>
      </c>
      <c r="M313" s="4" t="s">
        <v>22</v>
      </c>
      <c r="N313" s="4">
        <v>2446.85</v>
      </c>
    </row>
    <row r="314" spans="1:14" ht="15" customHeight="1" x14ac:dyDescent="0.2">
      <c r="A314" s="4" t="s">
        <v>1239</v>
      </c>
      <c r="B314" s="6">
        <v>45801</v>
      </c>
      <c r="C314" s="4" t="s">
        <v>1240</v>
      </c>
      <c r="D314" s="4" t="s">
        <v>48</v>
      </c>
      <c r="E314" s="4">
        <v>5</v>
      </c>
      <c r="F314" s="4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4">
        <v>7</v>
      </c>
      <c r="L314" s="4" t="s">
        <v>37</v>
      </c>
      <c r="M314" s="4" t="s">
        <v>29</v>
      </c>
      <c r="N314" s="4">
        <v>331.55</v>
      </c>
    </row>
    <row r="315" spans="1:14" ht="15" customHeight="1" x14ac:dyDescent="0.2">
      <c r="A315" s="4" t="s">
        <v>1242</v>
      </c>
      <c r="B315" s="6">
        <v>45116</v>
      </c>
      <c r="C315" s="4" t="s">
        <v>1243</v>
      </c>
      <c r="D315" s="4" t="s">
        <v>41</v>
      </c>
      <c r="E315" s="4">
        <v>2</v>
      </c>
      <c r="F315" s="4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4">
        <v>7</v>
      </c>
      <c r="L315" s="4" t="s">
        <v>21</v>
      </c>
      <c r="M315" s="4" t="s">
        <v>22</v>
      </c>
      <c r="N315" s="4">
        <v>868.6</v>
      </c>
    </row>
    <row r="316" spans="1:14" ht="15" customHeight="1" x14ac:dyDescent="0.2">
      <c r="A316" s="4" t="s">
        <v>1246</v>
      </c>
      <c r="B316" s="6">
        <v>45203</v>
      </c>
      <c r="C316" s="4" t="s">
        <v>1247</v>
      </c>
      <c r="D316" s="4" t="s">
        <v>73</v>
      </c>
      <c r="E316" s="4">
        <v>4</v>
      </c>
      <c r="F316" s="4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4">
        <v>4</v>
      </c>
      <c r="L316" s="4" t="s">
        <v>37</v>
      </c>
      <c r="M316" s="4" t="s">
        <v>29</v>
      </c>
      <c r="N316" s="4">
        <v>612.36</v>
      </c>
    </row>
    <row r="317" spans="1:14" ht="15" customHeight="1" x14ac:dyDescent="0.2">
      <c r="A317" s="4" t="s">
        <v>1250</v>
      </c>
      <c r="B317" s="6">
        <v>45789</v>
      </c>
      <c r="C317" s="4" t="s">
        <v>1251</v>
      </c>
      <c r="D317" s="4" t="s">
        <v>32</v>
      </c>
      <c r="E317" s="4">
        <v>5</v>
      </c>
      <c r="F317" s="4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4">
        <v>9</v>
      </c>
      <c r="L317" s="4" t="s">
        <v>37</v>
      </c>
      <c r="M317" s="4" t="s">
        <v>38</v>
      </c>
      <c r="N317" s="4">
        <v>458.35</v>
      </c>
    </row>
    <row r="318" spans="1:14" ht="15" customHeight="1" x14ac:dyDescent="0.2">
      <c r="A318" s="4" t="s">
        <v>1254</v>
      </c>
      <c r="B318" s="6">
        <v>45201</v>
      </c>
      <c r="C318" s="4" t="s">
        <v>1255</v>
      </c>
      <c r="D318" s="4" t="s">
        <v>73</v>
      </c>
      <c r="E318" s="4">
        <v>4</v>
      </c>
      <c r="F318" s="4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4">
        <v>9</v>
      </c>
      <c r="L318" s="4" t="s">
        <v>81</v>
      </c>
      <c r="M318" s="4" t="s">
        <v>45</v>
      </c>
      <c r="N318" s="4">
        <v>1101.1199999999999</v>
      </c>
    </row>
    <row r="319" spans="1:14" ht="15" customHeight="1" x14ac:dyDescent="0.2">
      <c r="A319" s="4" t="s">
        <v>1258</v>
      </c>
      <c r="B319" s="6">
        <v>45026</v>
      </c>
      <c r="C319" s="4" t="s">
        <v>1259</v>
      </c>
      <c r="D319" s="4" t="s">
        <v>16</v>
      </c>
      <c r="E319" s="4">
        <v>2</v>
      </c>
      <c r="F319" s="4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4">
        <v>5</v>
      </c>
      <c r="M319" s="4" t="s">
        <v>22</v>
      </c>
      <c r="N319" s="4">
        <v>279.89999999999998</v>
      </c>
    </row>
    <row r="320" spans="1:14" ht="15" customHeight="1" x14ac:dyDescent="0.2">
      <c r="A320" s="4" t="s">
        <v>1262</v>
      </c>
      <c r="B320" s="6">
        <v>45500</v>
      </c>
      <c r="C320" s="4" t="s">
        <v>1263</v>
      </c>
      <c r="D320" s="4" t="s">
        <v>41</v>
      </c>
      <c r="E320" s="4">
        <v>3</v>
      </c>
      <c r="F320" s="4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4">
        <v>7</v>
      </c>
      <c r="L320" s="4" t="s">
        <v>21</v>
      </c>
      <c r="M320" s="4" t="s">
        <v>76</v>
      </c>
      <c r="N320" s="4">
        <v>446.16</v>
      </c>
    </row>
    <row r="321" spans="1:14" ht="15" customHeight="1" x14ac:dyDescent="0.2">
      <c r="A321" s="4" t="s">
        <v>1265</v>
      </c>
      <c r="B321" s="6">
        <v>45262</v>
      </c>
      <c r="C321" s="4" t="s">
        <v>1266</v>
      </c>
      <c r="D321" s="4" t="s">
        <v>58</v>
      </c>
      <c r="E321" s="4">
        <v>2</v>
      </c>
      <c r="F321" s="4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4">
        <v>6</v>
      </c>
      <c r="M321" s="4" t="s">
        <v>22</v>
      </c>
      <c r="N321" s="4">
        <v>1126.1199999999999</v>
      </c>
    </row>
    <row r="322" spans="1:14" ht="15" customHeight="1" x14ac:dyDescent="0.2">
      <c r="A322" s="4" t="s">
        <v>1269</v>
      </c>
      <c r="B322" s="6">
        <v>45645</v>
      </c>
      <c r="C322" s="4" t="s">
        <v>1270</v>
      </c>
      <c r="D322" s="4" t="s">
        <v>48</v>
      </c>
      <c r="E322" s="4">
        <v>1</v>
      </c>
      <c r="F322" s="4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4">
        <v>1</v>
      </c>
      <c r="L322" s="4" t="s">
        <v>37</v>
      </c>
      <c r="M322" s="4" t="s">
        <v>45</v>
      </c>
      <c r="N322" s="4">
        <v>625.51</v>
      </c>
    </row>
    <row r="323" spans="1:14" ht="15" customHeight="1" x14ac:dyDescent="0.2">
      <c r="A323" s="4" t="s">
        <v>1273</v>
      </c>
      <c r="B323" s="6">
        <v>45147</v>
      </c>
      <c r="C323" s="4" t="s">
        <v>1274</v>
      </c>
      <c r="D323" s="4" t="s">
        <v>25</v>
      </c>
      <c r="E323" s="4">
        <v>4</v>
      </c>
      <c r="F323" s="4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4">
        <v>6</v>
      </c>
      <c r="L323" s="4" t="s">
        <v>81</v>
      </c>
      <c r="M323" s="4" t="s">
        <v>76</v>
      </c>
      <c r="N323" s="4">
        <v>609.16</v>
      </c>
    </row>
    <row r="324" spans="1:14" ht="15" customHeight="1" x14ac:dyDescent="0.2">
      <c r="A324" s="4" t="s">
        <v>1276</v>
      </c>
      <c r="B324" s="6">
        <v>45457</v>
      </c>
      <c r="C324" s="4" t="s">
        <v>1277</v>
      </c>
      <c r="D324" s="4" t="s">
        <v>25</v>
      </c>
      <c r="E324" s="4">
        <v>5</v>
      </c>
      <c r="F324" s="4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4">
        <v>6</v>
      </c>
      <c r="L324" s="4" t="s">
        <v>21</v>
      </c>
      <c r="M324" s="4" t="s">
        <v>45</v>
      </c>
      <c r="N324" s="4">
        <v>1159.0999999999999</v>
      </c>
    </row>
    <row r="325" spans="1:14" ht="15" customHeight="1" x14ac:dyDescent="0.2">
      <c r="A325" s="4" t="s">
        <v>1279</v>
      </c>
      <c r="B325" s="6">
        <v>45683</v>
      </c>
      <c r="C325" s="4" t="s">
        <v>1280</v>
      </c>
      <c r="D325" s="4" t="s">
        <v>58</v>
      </c>
      <c r="E325" s="4">
        <v>1</v>
      </c>
      <c r="F325" s="4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4">
        <v>1</v>
      </c>
      <c r="L325" s="4" t="s">
        <v>21</v>
      </c>
      <c r="M325" s="4" t="s">
        <v>29</v>
      </c>
      <c r="N325" s="4">
        <v>150.16999999999999</v>
      </c>
    </row>
    <row r="326" spans="1:14" ht="15" customHeight="1" x14ac:dyDescent="0.2">
      <c r="A326" s="4" t="s">
        <v>1283</v>
      </c>
      <c r="B326" s="6">
        <v>45456</v>
      </c>
      <c r="C326" s="4" t="s">
        <v>1284</v>
      </c>
      <c r="D326" s="4" t="s">
        <v>32</v>
      </c>
      <c r="E326" s="4">
        <v>3</v>
      </c>
      <c r="F326" s="4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4">
        <v>5</v>
      </c>
      <c r="M326" s="4" t="s">
        <v>29</v>
      </c>
      <c r="N326" s="4">
        <v>212.79</v>
      </c>
    </row>
    <row r="327" spans="1:14" ht="15" customHeight="1" x14ac:dyDescent="0.2">
      <c r="A327" s="4" t="s">
        <v>1287</v>
      </c>
      <c r="B327" s="6">
        <v>45106</v>
      </c>
      <c r="C327" s="4" t="s">
        <v>1288</v>
      </c>
      <c r="D327" s="4" t="s">
        <v>73</v>
      </c>
      <c r="E327" s="4">
        <v>3</v>
      </c>
      <c r="F327" s="4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4">
        <v>8</v>
      </c>
      <c r="M327" s="4" t="s">
        <v>29</v>
      </c>
      <c r="N327" s="4">
        <v>1084.17</v>
      </c>
    </row>
    <row r="328" spans="1:14" ht="15" customHeight="1" x14ac:dyDescent="0.2">
      <c r="A328" s="4" t="s">
        <v>1291</v>
      </c>
      <c r="B328" s="6">
        <v>45474</v>
      </c>
      <c r="C328" s="4" t="s">
        <v>1292</v>
      </c>
      <c r="D328" s="4" t="s">
        <v>58</v>
      </c>
      <c r="E328" s="4">
        <v>5</v>
      </c>
      <c r="F328" s="4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4">
        <v>5</v>
      </c>
      <c r="L328" s="4" t="s">
        <v>21</v>
      </c>
      <c r="M328" s="4" t="s">
        <v>45</v>
      </c>
      <c r="N328" s="4">
        <v>3352.4</v>
      </c>
    </row>
    <row r="329" spans="1:14" ht="15" customHeight="1" x14ac:dyDescent="0.2">
      <c r="A329" s="4" t="s">
        <v>1294</v>
      </c>
      <c r="B329" s="6">
        <v>45132</v>
      </c>
      <c r="C329" s="4" t="s">
        <v>1295</v>
      </c>
      <c r="D329" s="4" t="s">
        <v>25</v>
      </c>
      <c r="E329" s="4">
        <v>1</v>
      </c>
      <c r="F329" s="4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4">
        <v>5</v>
      </c>
      <c r="L329" s="4" t="s">
        <v>21</v>
      </c>
      <c r="M329" s="4" t="s">
        <v>38</v>
      </c>
      <c r="N329" s="4">
        <v>359.99</v>
      </c>
    </row>
    <row r="330" spans="1:14" ht="15" customHeight="1" x14ac:dyDescent="0.2">
      <c r="A330" s="4" t="s">
        <v>1297</v>
      </c>
      <c r="B330" s="6">
        <v>44985</v>
      </c>
      <c r="C330" s="4" t="s">
        <v>1298</v>
      </c>
      <c r="D330" s="4" t="s">
        <v>32</v>
      </c>
      <c r="E330" s="4">
        <v>5</v>
      </c>
      <c r="F330" s="4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4">
        <v>7</v>
      </c>
      <c r="L330" s="4" t="s">
        <v>21</v>
      </c>
      <c r="M330" s="4" t="s">
        <v>76</v>
      </c>
      <c r="N330" s="4">
        <v>3370.2</v>
      </c>
    </row>
    <row r="331" spans="1:14" ht="15" customHeight="1" x14ac:dyDescent="0.2">
      <c r="A331" s="4" t="s">
        <v>1301</v>
      </c>
      <c r="B331" s="6">
        <v>45651</v>
      </c>
      <c r="C331" s="4" t="s">
        <v>1302</v>
      </c>
      <c r="D331" s="4" t="s">
        <v>41</v>
      </c>
      <c r="E331" s="4">
        <v>4</v>
      </c>
      <c r="F331" s="4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4">
        <v>6</v>
      </c>
      <c r="M331" s="4" t="s">
        <v>76</v>
      </c>
      <c r="N331" s="4">
        <v>1132.6400000000001</v>
      </c>
    </row>
    <row r="332" spans="1:14" ht="15" customHeight="1" x14ac:dyDescent="0.2">
      <c r="A332" s="4" t="s">
        <v>1304</v>
      </c>
      <c r="B332" s="6">
        <v>45445</v>
      </c>
      <c r="C332" s="4" t="s">
        <v>1305</v>
      </c>
      <c r="D332" s="4" t="s">
        <v>73</v>
      </c>
      <c r="E332" s="4">
        <v>5</v>
      </c>
      <c r="F332" s="4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4">
        <v>5</v>
      </c>
      <c r="L332" s="4" t="s">
        <v>21</v>
      </c>
      <c r="M332" s="4" t="s">
        <v>22</v>
      </c>
      <c r="N332" s="4">
        <v>1302.6500000000001</v>
      </c>
    </row>
    <row r="333" spans="1:14" ht="15" customHeight="1" x14ac:dyDescent="0.2">
      <c r="A333" s="4" t="s">
        <v>1308</v>
      </c>
      <c r="B333" s="6">
        <v>45031</v>
      </c>
      <c r="C333" s="4" t="s">
        <v>1309</v>
      </c>
      <c r="D333" s="4" t="s">
        <v>48</v>
      </c>
      <c r="E333" s="4">
        <v>3</v>
      </c>
      <c r="F333" s="4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4">
        <v>7</v>
      </c>
      <c r="L333" s="4" t="s">
        <v>21</v>
      </c>
      <c r="M333" s="4" t="s">
        <v>45</v>
      </c>
      <c r="N333" s="4">
        <v>1266.3900000000001</v>
      </c>
    </row>
    <row r="334" spans="1:14" ht="15" customHeight="1" x14ac:dyDescent="0.2">
      <c r="A334" s="4" t="s">
        <v>1311</v>
      </c>
      <c r="B334" s="6">
        <v>45476</v>
      </c>
      <c r="C334" s="4" t="s">
        <v>1312</v>
      </c>
      <c r="D334" s="4" t="s">
        <v>73</v>
      </c>
      <c r="E334" s="4">
        <v>5</v>
      </c>
      <c r="F334" s="4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4">
        <v>9</v>
      </c>
      <c r="L334" s="4" t="s">
        <v>21</v>
      </c>
      <c r="M334" s="4" t="s">
        <v>76</v>
      </c>
      <c r="N334" s="4">
        <v>625.1</v>
      </c>
    </row>
    <row r="335" spans="1:14" ht="15" customHeight="1" x14ac:dyDescent="0.2">
      <c r="A335" s="4" t="s">
        <v>1315</v>
      </c>
      <c r="B335" s="6">
        <v>45398</v>
      </c>
      <c r="C335" s="4" t="s">
        <v>1316</v>
      </c>
      <c r="D335" s="4" t="s">
        <v>25</v>
      </c>
      <c r="E335" s="4">
        <v>1</v>
      </c>
      <c r="F335" s="4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4">
        <v>5</v>
      </c>
      <c r="L335" s="4" t="s">
        <v>81</v>
      </c>
      <c r="M335" s="4" t="s">
        <v>22</v>
      </c>
      <c r="N335" s="4">
        <v>198.51</v>
      </c>
    </row>
    <row r="336" spans="1:14" ht="15" customHeight="1" x14ac:dyDescent="0.2">
      <c r="A336" s="4" t="s">
        <v>1319</v>
      </c>
      <c r="B336" s="6">
        <v>45377</v>
      </c>
      <c r="C336" s="4" t="s">
        <v>1320</v>
      </c>
      <c r="D336" s="4" t="s">
        <v>41</v>
      </c>
      <c r="E336" s="4">
        <v>4</v>
      </c>
      <c r="F336" s="4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4">
        <v>7</v>
      </c>
      <c r="L336" s="4" t="s">
        <v>81</v>
      </c>
      <c r="M336" s="4" t="s">
        <v>45</v>
      </c>
      <c r="N336" s="4">
        <v>899</v>
      </c>
    </row>
    <row r="337" spans="1:14" ht="15" customHeight="1" x14ac:dyDescent="0.2">
      <c r="A337" s="4" t="s">
        <v>1323</v>
      </c>
      <c r="B337" s="6">
        <v>45719</v>
      </c>
      <c r="C337" s="4" t="s">
        <v>1324</v>
      </c>
      <c r="D337" s="4" t="s">
        <v>32</v>
      </c>
      <c r="E337" s="4">
        <v>3</v>
      </c>
      <c r="F337" s="4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4">
        <v>4</v>
      </c>
      <c r="M337" s="4" t="s">
        <v>38</v>
      </c>
      <c r="N337" s="4">
        <v>617.58000000000004</v>
      </c>
    </row>
    <row r="338" spans="1:14" ht="15" customHeight="1" x14ac:dyDescent="0.2">
      <c r="A338" s="4" t="s">
        <v>1326</v>
      </c>
      <c r="B338" s="6">
        <v>45289</v>
      </c>
      <c r="C338" s="4" t="s">
        <v>1327</v>
      </c>
      <c r="D338" s="4" t="s">
        <v>58</v>
      </c>
      <c r="E338" s="4">
        <v>1</v>
      </c>
      <c r="F338" s="4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4">
        <v>4</v>
      </c>
      <c r="L338" s="4" t="s">
        <v>21</v>
      </c>
      <c r="M338" s="4" t="s">
        <v>22</v>
      </c>
      <c r="N338" s="4">
        <v>18.2</v>
      </c>
    </row>
    <row r="339" spans="1:14" ht="15" customHeight="1" x14ac:dyDescent="0.2">
      <c r="A339" s="4" t="s">
        <v>1330</v>
      </c>
      <c r="B339" s="6">
        <v>45075</v>
      </c>
      <c r="C339" s="4" t="s">
        <v>1331</v>
      </c>
      <c r="D339" s="4" t="s">
        <v>32</v>
      </c>
      <c r="E339" s="4">
        <v>3</v>
      </c>
      <c r="F339" s="4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4">
        <v>8</v>
      </c>
      <c r="L339" s="4" t="s">
        <v>81</v>
      </c>
      <c r="M339" s="4" t="s">
        <v>38</v>
      </c>
      <c r="N339" s="4">
        <v>1508.31</v>
      </c>
    </row>
    <row r="340" spans="1:14" ht="15" customHeight="1" x14ac:dyDescent="0.2">
      <c r="A340" s="4" t="s">
        <v>1334</v>
      </c>
      <c r="B340" s="6">
        <v>45238</v>
      </c>
      <c r="C340" s="4" t="s">
        <v>1335</v>
      </c>
      <c r="D340" s="4" t="s">
        <v>25</v>
      </c>
      <c r="E340" s="4">
        <v>5</v>
      </c>
      <c r="F340" s="4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4">
        <v>10</v>
      </c>
      <c r="M340" s="4" t="s">
        <v>29</v>
      </c>
      <c r="N340" s="4">
        <v>1527.45</v>
      </c>
    </row>
    <row r="341" spans="1:14" ht="15" customHeight="1" x14ac:dyDescent="0.2">
      <c r="A341" s="4" t="s">
        <v>1338</v>
      </c>
      <c r="B341" s="6">
        <v>45392</v>
      </c>
      <c r="C341" s="4" t="s">
        <v>1339</v>
      </c>
      <c r="D341" s="4" t="s">
        <v>48</v>
      </c>
      <c r="E341" s="4">
        <v>2</v>
      </c>
      <c r="F341" s="4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4">
        <v>3</v>
      </c>
      <c r="L341" s="4" t="s">
        <v>21</v>
      </c>
      <c r="M341" s="4" t="s">
        <v>22</v>
      </c>
      <c r="N341" s="4">
        <v>472.66</v>
      </c>
    </row>
    <row r="342" spans="1:14" ht="15" customHeight="1" x14ac:dyDescent="0.2">
      <c r="A342" s="4" t="s">
        <v>1342</v>
      </c>
      <c r="B342" s="6">
        <v>45039</v>
      </c>
      <c r="C342" s="4" t="s">
        <v>1343</v>
      </c>
      <c r="D342" s="4" t="s">
        <v>58</v>
      </c>
      <c r="E342" s="4">
        <v>5</v>
      </c>
      <c r="F342" s="4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4">
        <v>8</v>
      </c>
      <c r="M342" s="4" t="s">
        <v>38</v>
      </c>
      <c r="N342" s="4">
        <v>2606.25</v>
      </c>
    </row>
    <row r="343" spans="1:14" ht="15" customHeight="1" x14ac:dyDescent="0.2">
      <c r="A343" s="4" t="s">
        <v>1346</v>
      </c>
      <c r="B343" s="6">
        <v>45558</v>
      </c>
      <c r="C343" s="4" t="s">
        <v>1347</v>
      </c>
      <c r="D343" s="4" t="s">
        <v>32</v>
      </c>
      <c r="E343" s="4">
        <v>1</v>
      </c>
      <c r="F343" s="4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4">
        <v>5</v>
      </c>
      <c r="L343" s="4" t="s">
        <v>81</v>
      </c>
      <c r="M343" s="4" t="s">
        <v>38</v>
      </c>
      <c r="N343" s="4">
        <v>167.15</v>
      </c>
    </row>
    <row r="344" spans="1:14" ht="15" customHeight="1" x14ac:dyDescent="0.2">
      <c r="A344" s="4" t="s">
        <v>1350</v>
      </c>
      <c r="B344" s="6">
        <v>45832</v>
      </c>
      <c r="C344" s="4" t="s">
        <v>1351</v>
      </c>
      <c r="D344" s="4" t="s">
        <v>16</v>
      </c>
      <c r="E344" s="4">
        <v>5</v>
      </c>
      <c r="F344" s="4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4">
        <v>5</v>
      </c>
      <c r="M344" s="4" t="s">
        <v>29</v>
      </c>
      <c r="N344" s="4">
        <v>2332.1</v>
      </c>
    </row>
    <row r="345" spans="1:14" ht="15" customHeight="1" x14ac:dyDescent="0.2">
      <c r="A345" s="4" t="s">
        <v>1354</v>
      </c>
      <c r="B345" s="6">
        <v>44983</v>
      </c>
      <c r="C345" s="4" t="s">
        <v>1355</v>
      </c>
      <c r="D345" s="4" t="s">
        <v>48</v>
      </c>
      <c r="E345" s="4">
        <v>1</v>
      </c>
      <c r="F345" s="4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4">
        <v>3</v>
      </c>
      <c r="L345" s="4" t="s">
        <v>37</v>
      </c>
      <c r="M345" s="4" t="s">
        <v>45</v>
      </c>
      <c r="N345" s="4">
        <v>527.57000000000005</v>
      </c>
    </row>
    <row r="346" spans="1:14" ht="15" customHeight="1" x14ac:dyDescent="0.2">
      <c r="A346" s="4" t="s">
        <v>1358</v>
      </c>
      <c r="B346" s="6">
        <v>45722</v>
      </c>
      <c r="C346" s="4" t="s">
        <v>1359</v>
      </c>
      <c r="D346" s="4" t="s">
        <v>32</v>
      </c>
      <c r="E346" s="4">
        <v>3</v>
      </c>
      <c r="F346" s="4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4">
        <v>3</v>
      </c>
      <c r="L346" s="4" t="s">
        <v>21</v>
      </c>
      <c r="M346" s="4" t="s">
        <v>22</v>
      </c>
      <c r="N346" s="4">
        <v>1870.02</v>
      </c>
    </row>
    <row r="347" spans="1:14" ht="15" customHeight="1" x14ac:dyDescent="0.2">
      <c r="A347" s="4" t="s">
        <v>1362</v>
      </c>
      <c r="B347" s="6">
        <v>45267</v>
      </c>
      <c r="C347" s="4" t="s">
        <v>1363</v>
      </c>
      <c r="D347" s="4" t="s">
        <v>32</v>
      </c>
      <c r="E347" s="4">
        <v>5</v>
      </c>
      <c r="F347" s="4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4">
        <v>10</v>
      </c>
      <c r="L347" s="4" t="s">
        <v>37</v>
      </c>
      <c r="M347" s="4" t="s">
        <v>29</v>
      </c>
      <c r="N347" s="4">
        <v>2506.3000000000002</v>
      </c>
    </row>
    <row r="348" spans="1:14" ht="15" customHeight="1" x14ac:dyDescent="0.2">
      <c r="A348" s="4" t="s">
        <v>1366</v>
      </c>
      <c r="B348" s="6">
        <v>45632</v>
      </c>
      <c r="C348" s="4" t="s">
        <v>1367</v>
      </c>
      <c r="D348" s="4" t="s">
        <v>32</v>
      </c>
      <c r="E348" s="4">
        <v>1</v>
      </c>
      <c r="F348" s="4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4">
        <v>6</v>
      </c>
      <c r="M348" s="4" t="s">
        <v>29</v>
      </c>
      <c r="N348" s="4">
        <v>655.09</v>
      </c>
    </row>
    <row r="349" spans="1:14" ht="15" customHeight="1" x14ac:dyDescent="0.2">
      <c r="A349" s="4" t="s">
        <v>1370</v>
      </c>
      <c r="B349" s="6">
        <v>45325</v>
      </c>
      <c r="C349" s="4" t="s">
        <v>1371</v>
      </c>
      <c r="D349" s="4" t="s">
        <v>48</v>
      </c>
      <c r="E349" s="4">
        <v>4</v>
      </c>
      <c r="F349" s="4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4">
        <v>5</v>
      </c>
      <c r="L349" s="4" t="s">
        <v>21</v>
      </c>
      <c r="M349" s="4" t="s">
        <v>76</v>
      </c>
      <c r="N349" s="4">
        <v>1059.1600000000001</v>
      </c>
    </row>
    <row r="350" spans="1:14" ht="15" customHeight="1" x14ac:dyDescent="0.2">
      <c r="A350" s="4" t="s">
        <v>1374</v>
      </c>
      <c r="B350" s="6">
        <v>45364</v>
      </c>
      <c r="C350" s="4" t="s">
        <v>1375</v>
      </c>
      <c r="D350" s="4" t="s">
        <v>58</v>
      </c>
      <c r="E350" s="4">
        <v>3</v>
      </c>
      <c r="F350" s="4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4">
        <v>7</v>
      </c>
      <c r="L350" s="4" t="s">
        <v>37</v>
      </c>
      <c r="M350" s="4" t="s">
        <v>38</v>
      </c>
      <c r="N350" s="4">
        <v>1079.19</v>
      </c>
    </row>
    <row r="351" spans="1:14" ht="15" customHeight="1" x14ac:dyDescent="0.2">
      <c r="A351" s="4" t="s">
        <v>1378</v>
      </c>
      <c r="B351" s="6">
        <v>45260</v>
      </c>
      <c r="C351" s="4" t="s">
        <v>1379</v>
      </c>
      <c r="D351" s="4" t="s">
        <v>41</v>
      </c>
      <c r="E351" s="4">
        <v>1</v>
      </c>
      <c r="F351" s="4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4">
        <v>2</v>
      </c>
      <c r="L351" s="4" t="s">
        <v>37</v>
      </c>
      <c r="M351" s="4" t="s">
        <v>76</v>
      </c>
      <c r="N351" s="4">
        <v>465.33</v>
      </c>
    </row>
    <row r="352" spans="1:14" ht="15" customHeight="1" x14ac:dyDescent="0.2">
      <c r="A352" s="4" t="s">
        <v>1382</v>
      </c>
      <c r="B352" s="6">
        <v>45080</v>
      </c>
      <c r="C352" s="4" t="s">
        <v>1383</v>
      </c>
      <c r="D352" s="4" t="s">
        <v>41</v>
      </c>
      <c r="E352" s="4">
        <v>2</v>
      </c>
      <c r="F352" s="4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4">
        <v>6</v>
      </c>
      <c r="M352" s="4" t="s">
        <v>22</v>
      </c>
      <c r="N352" s="4">
        <v>108.82</v>
      </c>
    </row>
    <row r="353" spans="1:14" ht="15" customHeight="1" x14ac:dyDescent="0.2">
      <c r="A353" s="4" t="s">
        <v>1386</v>
      </c>
      <c r="B353" s="6">
        <v>45703</v>
      </c>
      <c r="C353" s="4" t="s">
        <v>1387</v>
      </c>
      <c r="D353" s="4" t="s">
        <v>58</v>
      </c>
      <c r="E353" s="4">
        <v>1</v>
      </c>
      <c r="F353" s="4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4">
        <v>4</v>
      </c>
      <c r="M353" s="4" t="s">
        <v>22</v>
      </c>
      <c r="N353" s="4">
        <v>64.66</v>
      </c>
    </row>
    <row r="354" spans="1:14" ht="15" customHeight="1" x14ac:dyDescent="0.2">
      <c r="A354" s="4" t="s">
        <v>1390</v>
      </c>
      <c r="B354" s="6">
        <v>45169</v>
      </c>
      <c r="C354" s="4" t="s">
        <v>1391</v>
      </c>
      <c r="D354" s="4" t="s">
        <v>41</v>
      </c>
      <c r="E354" s="4">
        <v>5</v>
      </c>
      <c r="F354" s="4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4">
        <v>8</v>
      </c>
      <c r="L354" s="4" t="s">
        <v>81</v>
      </c>
      <c r="M354" s="4" t="s">
        <v>22</v>
      </c>
      <c r="N354" s="4">
        <v>869.8</v>
      </c>
    </row>
    <row r="355" spans="1:14" ht="15" customHeight="1" x14ac:dyDescent="0.2">
      <c r="A355" s="4" t="s">
        <v>1394</v>
      </c>
      <c r="B355" s="6">
        <v>45744</v>
      </c>
      <c r="C355" s="4" t="s">
        <v>1395</v>
      </c>
      <c r="D355" s="4" t="s">
        <v>32</v>
      </c>
      <c r="E355" s="4">
        <v>1</v>
      </c>
      <c r="F355" s="4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4">
        <v>5</v>
      </c>
      <c r="L355" s="4" t="s">
        <v>37</v>
      </c>
      <c r="M355" s="4" t="s">
        <v>76</v>
      </c>
      <c r="N355" s="4">
        <v>630.82000000000005</v>
      </c>
    </row>
    <row r="356" spans="1:14" ht="15" customHeight="1" x14ac:dyDescent="0.2">
      <c r="A356" s="4" t="s">
        <v>1398</v>
      </c>
      <c r="B356" s="6">
        <v>45118</v>
      </c>
      <c r="C356" s="4" t="s">
        <v>1399</v>
      </c>
      <c r="D356" s="4" t="s">
        <v>25</v>
      </c>
      <c r="E356" s="4">
        <v>1</v>
      </c>
      <c r="F356" s="4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4">
        <v>4</v>
      </c>
      <c r="M356" s="4" t="s">
        <v>22</v>
      </c>
      <c r="N356" s="4">
        <v>693.41</v>
      </c>
    </row>
    <row r="357" spans="1:14" ht="15" customHeight="1" x14ac:dyDescent="0.2">
      <c r="A357" s="4" t="s">
        <v>1402</v>
      </c>
      <c r="B357" s="6">
        <v>45811</v>
      </c>
      <c r="C357" s="4" t="s">
        <v>1403</v>
      </c>
      <c r="D357" s="4" t="s">
        <v>32</v>
      </c>
      <c r="E357" s="4">
        <v>3</v>
      </c>
      <c r="F357" s="4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4">
        <v>4</v>
      </c>
      <c r="L357" s="4" t="s">
        <v>37</v>
      </c>
      <c r="M357" s="4" t="s">
        <v>29</v>
      </c>
      <c r="N357" s="4">
        <v>1299.99</v>
      </c>
    </row>
    <row r="358" spans="1:14" ht="15" customHeight="1" x14ac:dyDescent="0.2">
      <c r="A358" s="4" t="s">
        <v>1406</v>
      </c>
      <c r="B358" s="6">
        <v>45052</v>
      </c>
      <c r="C358" s="4" t="s">
        <v>1407</v>
      </c>
      <c r="D358" s="4" t="s">
        <v>48</v>
      </c>
      <c r="E358" s="4">
        <v>5</v>
      </c>
      <c r="F358" s="4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4">
        <v>10</v>
      </c>
      <c r="L358" s="4" t="s">
        <v>37</v>
      </c>
      <c r="M358" s="4" t="s">
        <v>22</v>
      </c>
      <c r="N358" s="4">
        <v>1872.9</v>
      </c>
    </row>
    <row r="359" spans="1:14" ht="15" customHeight="1" x14ac:dyDescent="0.2">
      <c r="A359" s="4" t="s">
        <v>1410</v>
      </c>
      <c r="B359" s="6">
        <v>45115</v>
      </c>
      <c r="C359" s="4" t="s">
        <v>1411</v>
      </c>
      <c r="D359" s="4" t="s">
        <v>58</v>
      </c>
      <c r="E359" s="4">
        <v>5</v>
      </c>
      <c r="F359" s="4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4">
        <v>8</v>
      </c>
      <c r="L359" s="4" t="s">
        <v>37</v>
      </c>
      <c r="M359" s="4" t="s">
        <v>22</v>
      </c>
      <c r="N359" s="4">
        <v>2042.8</v>
      </c>
    </row>
    <row r="360" spans="1:14" ht="15" customHeight="1" x14ac:dyDescent="0.2">
      <c r="A360" s="4" t="s">
        <v>1413</v>
      </c>
      <c r="B360" s="6">
        <v>45389</v>
      </c>
      <c r="C360" s="4" t="s">
        <v>1414</v>
      </c>
      <c r="D360" s="4" t="s">
        <v>32</v>
      </c>
      <c r="E360" s="4">
        <v>2</v>
      </c>
      <c r="F360" s="4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4">
        <v>3</v>
      </c>
      <c r="L360" s="4" t="s">
        <v>21</v>
      </c>
      <c r="M360" s="4" t="s">
        <v>76</v>
      </c>
      <c r="N360" s="4">
        <v>367.34</v>
      </c>
    </row>
    <row r="361" spans="1:14" ht="15" customHeight="1" x14ac:dyDescent="0.2">
      <c r="A361" s="4" t="s">
        <v>1417</v>
      </c>
      <c r="B361" s="6">
        <v>45086</v>
      </c>
      <c r="C361" s="4" t="s">
        <v>1418</v>
      </c>
      <c r="D361" s="4" t="s">
        <v>73</v>
      </c>
      <c r="E361" s="4">
        <v>4</v>
      </c>
      <c r="F361" s="4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4">
        <v>5</v>
      </c>
      <c r="L361" s="4" t="s">
        <v>81</v>
      </c>
      <c r="M361" s="4" t="s">
        <v>29</v>
      </c>
      <c r="N361" s="4">
        <v>2426.2800000000002</v>
      </c>
    </row>
    <row r="362" spans="1:14" ht="15" customHeight="1" x14ac:dyDescent="0.2">
      <c r="A362" s="4" t="s">
        <v>1421</v>
      </c>
      <c r="B362" s="6">
        <v>45449</v>
      </c>
      <c r="C362" s="4" t="s">
        <v>1422</v>
      </c>
      <c r="D362" s="4" t="s">
        <v>25</v>
      </c>
      <c r="E362" s="4">
        <v>4</v>
      </c>
      <c r="F362" s="4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4">
        <v>8</v>
      </c>
      <c r="M362" s="4" t="s">
        <v>22</v>
      </c>
      <c r="N362" s="4">
        <v>2358.2800000000002</v>
      </c>
    </row>
    <row r="363" spans="1:14" ht="15" customHeight="1" x14ac:dyDescent="0.2">
      <c r="A363" s="4" t="s">
        <v>1425</v>
      </c>
      <c r="B363" s="6">
        <v>45472</v>
      </c>
      <c r="C363" s="4" t="s">
        <v>1426</v>
      </c>
      <c r="D363" s="4" t="s">
        <v>48</v>
      </c>
      <c r="E363" s="4">
        <v>5</v>
      </c>
      <c r="F363" s="4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4">
        <v>9</v>
      </c>
      <c r="L363" s="4" t="s">
        <v>21</v>
      </c>
      <c r="M363" s="4" t="s">
        <v>45</v>
      </c>
      <c r="N363" s="4">
        <v>3299.25</v>
      </c>
    </row>
    <row r="364" spans="1:14" ht="15" customHeight="1" x14ac:dyDescent="0.2">
      <c r="A364" s="4" t="s">
        <v>1429</v>
      </c>
      <c r="B364" s="6">
        <v>45104</v>
      </c>
      <c r="C364" s="4" t="s">
        <v>1430</v>
      </c>
      <c r="D364" s="4" t="s">
        <v>16</v>
      </c>
      <c r="E364" s="4">
        <v>4</v>
      </c>
      <c r="F364" s="4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4">
        <v>5</v>
      </c>
      <c r="L364" s="4" t="s">
        <v>81</v>
      </c>
      <c r="M364" s="4" t="s">
        <v>22</v>
      </c>
      <c r="N364" s="4">
        <v>827.36</v>
      </c>
    </row>
    <row r="365" spans="1:14" ht="15" customHeight="1" x14ac:dyDescent="0.2">
      <c r="A365" s="4" t="s">
        <v>1433</v>
      </c>
      <c r="B365" s="6">
        <v>45436</v>
      </c>
      <c r="C365" s="4" t="s">
        <v>1434</v>
      </c>
      <c r="D365" s="4" t="s">
        <v>58</v>
      </c>
      <c r="E365" s="4">
        <v>5</v>
      </c>
      <c r="F365" s="4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4">
        <v>6</v>
      </c>
      <c r="L365" s="4" t="s">
        <v>21</v>
      </c>
      <c r="M365" s="4" t="s">
        <v>38</v>
      </c>
      <c r="N365" s="4">
        <v>569.35</v>
      </c>
    </row>
    <row r="366" spans="1:14" ht="15" customHeight="1" x14ac:dyDescent="0.2">
      <c r="A366" s="4" t="s">
        <v>1436</v>
      </c>
      <c r="B366" s="6">
        <v>45254</v>
      </c>
      <c r="C366" s="4" t="s">
        <v>1437</v>
      </c>
      <c r="D366" s="4" t="s">
        <v>25</v>
      </c>
      <c r="E366" s="4">
        <v>5</v>
      </c>
      <c r="F366" s="4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4">
        <v>9</v>
      </c>
      <c r="L366" s="4" t="s">
        <v>37</v>
      </c>
      <c r="M366" s="4" t="s">
        <v>45</v>
      </c>
      <c r="N366" s="4">
        <v>3143.7</v>
      </c>
    </row>
    <row r="367" spans="1:14" ht="15" customHeight="1" x14ac:dyDescent="0.2">
      <c r="A367" s="4" t="s">
        <v>1439</v>
      </c>
      <c r="B367" s="6">
        <v>45702</v>
      </c>
      <c r="C367" s="4" t="s">
        <v>1440</v>
      </c>
      <c r="D367" s="4" t="s">
        <v>25</v>
      </c>
      <c r="E367" s="4">
        <v>1</v>
      </c>
      <c r="F367" s="4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4">
        <v>4</v>
      </c>
      <c r="L367" s="4" t="s">
        <v>21</v>
      </c>
      <c r="M367" s="4" t="s">
        <v>29</v>
      </c>
      <c r="N367" s="4">
        <v>678.38</v>
      </c>
    </row>
    <row r="368" spans="1:14" ht="15" customHeight="1" x14ac:dyDescent="0.2">
      <c r="A368" s="4" t="s">
        <v>1442</v>
      </c>
      <c r="B368" s="6">
        <v>44967</v>
      </c>
      <c r="C368" s="4" t="s">
        <v>1443</v>
      </c>
      <c r="D368" s="4" t="s">
        <v>48</v>
      </c>
      <c r="E368" s="4">
        <v>3</v>
      </c>
      <c r="F368" s="4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4">
        <v>8</v>
      </c>
      <c r="M368" s="4" t="s">
        <v>29</v>
      </c>
      <c r="N368" s="4">
        <v>1806.72</v>
      </c>
    </row>
    <row r="369" spans="1:14" ht="15" customHeight="1" x14ac:dyDescent="0.2">
      <c r="A369" s="4" t="s">
        <v>1446</v>
      </c>
      <c r="B369" s="6">
        <v>45407</v>
      </c>
      <c r="C369" s="4" t="s">
        <v>1447</v>
      </c>
      <c r="D369" s="4" t="s">
        <v>58</v>
      </c>
      <c r="E369" s="4">
        <v>5</v>
      </c>
      <c r="F369" s="4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4">
        <v>10</v>
      </c>
      <c r="L369" s="4" t="s">
        <v>37</v>
      </c>
      <c r="M369" s="4" t="s">
        <v>22</v>
      </c>
      <c r="N369" s="4">
        <v>3293.85</v>
      </c>
    </row>
    <row r="370" spans="1:14" ht="15" customHeight="1" x14ac:dyDescent="0.2">
      <c r="A370" s="4" t="s">
        <v>1449</v>
      </c>
      <c r="B370" s="6">
        <v>45047</v>
      </c>
      <c r="C370" s="4" t="s">
        <v>1450</v>
      </c>
      <c r="D370" s="4" t="s">
        <v>16</v>
      </c>
      <c r="E370" s="4">
        <v>3</v>
      </c>
      <c r="F370" s="4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4">
        <v>6</v>
      </c>
      <c r="M370" s="4" t="s">
        <v>76</v>
      </c>
      <c r="N370" s="4">
        <v>813.06</v>
      </c>
    </row>
    <row r="371" spans="1:14" ht="15" customHeight="1" x14ac:dyDescent="0.2">
      <c r="A371" s="4" t="s">
        <v>1453</v>
      </c>
      <c r="B371" s="6">
        <v>45648</v>
      </c>
      <c r="C371" s="4" t="s">
        <v>1454</v>
      </c>
      <c r="D371" s="4" t="s">
        <v>16</v>
      </c>
      <c r="E371" s="4">
        <v>5</v>
      </c>
      <c r="F371" s="4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4">
        <v>9</v>
      </c>
      <c r="L371" s="4" t="s">
        <v>21</v>
      </c>
      <c r="M371" s="4" t="s">
        <v>38</v>
      </c>
      <c r="N371" s="4">
        <v>1876.25</v>
      </c>
    </row>
    <row r="372" spans="1:14" ht="15" customHeight="1" x14ac:dyDescent="0.2">
      <c r="A372" s="4" t="s">
        <v>1457</v>
      </c>
      <c r="B372" s="6">
        <v>45780</v>
      </c>
      <c r="C372" s="4" t="s">
        <v>1458</v>
      </c>
      <c r="D372" s="4" t="s">
        <v>25</v>
      </c>
      <c r="E372" s="4">
        <v>1</v>
      </c>
      <c r="F372" s="4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4">
        <v>4</v>
      </c>
      <c r="L372" s="4" t="s">
        <v>81</v>
      </c>
      <c r="M372" s="4" t="s">
        <v>45</v>
      </c>
      <c r="N372" s="4">
        <v>312.11</v>
      </c>
    </row>
    <row r="373" spans="1:14" ht="15" customHeight="1" x14ac:dyDescent="0.2">
      <c r="A373" s="4" t="s">
        <v>1461</v>
      </c>
      <c r="B373" s="6">
        <v>44931</v>
      </c>
      <c r="C373" s="4" t="s">
        <v>1462</v>
      </c>
      <c r="D373" s="4" t="s">
        <v>25</v>
      </c>
      <c r="E373" s="4">
        <v>5</v>
      </c>
      <c r="F373" s="4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4">
        <v>9</v>
      </c>
      <c r="L373" s="4" t="s">
        <v>37</v>
      </c>
      <c r="M373" s="4" t="s">
        <v>76</v>
      </c>
      <c r="N373" s="4">
        <v>1538.8</v>
      </c>
    </row>
    <row r="374" spans="1:14" ht="15" customHeight="1" x14ac:dyDescent="0.2">
      <c r="A374" s="4" t="s">
        <v>1464</v>
      </c>
      <c r="B374" s="6">
        <v>45702</v>
      </c>
      <c r="C374" s="4" t="s">
        <v>1465</v>
      </c>
      <c r="D374" s="4" t="s">
        <v>41</v>
      </c>
      <c r="E374" s="4">
        <v>3</v>
      </c>
      <c r="F374" s="4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4">
        <v>4</v>
      </c>
      <c r="M374" s="4" t="s">
        <v>29</v>
      </c>
      <c r="N374" s="4">
        <v>1450.59</v>
      </c>
    </row>
    <row r="375" spans="1:14" ht="15" customHeight="1" x14ac:dyDescent="0.2">
      <c r="A375" s="4" t="s">
        <v>1468</v>
      </c>
      <c r="B375" s="6">
        <v>44928</v>
      </c>
      <c r="C375" s="4" t="s">
        <v>1469</v>
      </c>
      <c r="D375" s="4" t="s">
        <v>58</v>
      </c>
      <c r="E375" s="4">
        <v>3</v>
      </c>
      <c r="F375" s="4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4">
        <v>4</v>
      </c>
      <c r="L375" s="4" t="s">
        <v>37</v>
      </c>
      <c r="M375" s="4" t="s">
        <v>22</v>
      </c>
      <c r="N375" s="4">
        <v>1023.45</v>
      </c>
    </row>
    <row r="376" spans="1:14" ht="15" customHeight="1" x14ac:dyDescent="0.2">
      <c r="A376" s="4" t="s">
        <v>1472</v>
      </c>
      <c r="B376" s="6">
        <v>45551</v>
      </c>
      <c r="C376" s="4" t="s">
        <v>1473</v>
      </c>
      <c r="D376" s="4" t="s">
        <v>16</v>
      </c>
      <c r="E376" s="4">
        <v>1</v>
      </c>
      <c r="F376" s="4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4">
        <v>1</v>
      </c>
      <c r="L376" s="4" t="s">
        <v>81</v>
      </c>
      <c r="M376" s="4" t="s">
        <v>22</v>
      </c>
      <c r="N376" s="4">
        <v>571.9</v>
      </c>
    </row>
    <row r="377" spans="1:14" ht="15" customHeight="1" x14ac:dyDescent="0.2">
      <c r="A377" s="4" t="s">
        <v>1475</v>
      </c>
      <c r="B377" s="6">
        <v>45673</v>
      </c>
      <c r="C377" s="4" t="s">
        <v>1476</v>
      </c>
      <c r="D377" s="4" t="s">
        <v>16</v>
      </c>
      <c r="E377" s="4">
        <v>4</v>
      </c>
      <c r="F377" s="4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4">
        <v>8</v>
      </c>
      <c r="L377" s="4" t="s">
        <v>37</v>
      </c>
      <c r="M377" s="4" t="s">
        <v>45</v>
      </c>
      <c r="N377" s="4">
        <v>380.12</v>
      </c>
    </row>
    <row r="378" spans="1:14" ht="15" customHeight="1" x14ac:dyDescent="0.2">
      <c r="A378" s="4" t="s">
        <v>1479</v>
      </c>
      <c r="B378" s="6">
        <v>45162</v>
      </c>
      <c r="C378" s="4" t="s">
        <v>1480</v>
      </c>
      <c r="D378" s="4" t="s">
        <v>16</v>
      </c>
      <c r="E378" s="4">
        <v>5</v>
      </c>
      <c r="F378" s="4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4">
        <v>6</v>
      </c>
      <c r="L378" s="4" t="s">
        <v>37</v>
      </c>
      <c r="M378" s="4" t="s">
        <v>45</v>
      </c>
      <c r="N378" s="4">
        <v>1006.1</v>
      </c>
    </row>
    <row r="379" spans="1:14" ht="15" customHeight="1" x14ac:dyDescent="0.2">
      <c r="A379" s="4" t="s">
        <v>1483</v>
      </c>
      <c r="B379" s="6">
        <v>45495</v>
      </c>
      <c r="C379" s="4" t="s">
        <v>1484</v>
      </c>
      <c r="D379" s="4" t="s">
        <v>16</v>
      </c>
      <c r="E379" s="4">
        <v>1</v>
      </c>
      <c r="F379" s="4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4">
        <v>5</v>
      </c>
      <c r="L379" s="4" t="s">
        <v>81</v>
      </c>
      <c r="M379" s="4" t="s">
        <v>22</v>
      </c>
      <c r="N379" s="4">
        <v>260.26</v>
      </c>
    </row>
    <row r="380" spans="1:14" ht="15" customHeight="1" x14ac:dyDescent="0.2">
      <c r="A380" s="4" t="s">
        <v>1486</v>
      </c>
      <c r="B380" s="6">
        <v>45323</v>
      </c>
      <c r="C380" s="4" t="s">
        <v>1487</v>
      </c>
      <c r="D380" s="4" t="s">
        <v>41</v>
      </c>
      <c r="E380" s="4">
        <v>5</v>
      </c>
      <c r="F380" s="4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4">
        <v>8</v>
      </c>
      <c r="L380" s="4" t="s">
        <v>81</v>
      </c>
      <c r="M380" s="4" t="s">
        <v>22</v>
      </c>
      <c r="N380" s="4">
        <v>322.5</v>
      </c>
    </row>
    <row r="381" spans="1:14" ht="15" customHeight="1" x14ac:dyDescent="0.2">
      <c r="A381" s="4" t="s">
        <v>1490</v>
      </c>
      <c r="B381" s="6">
        <v>45556</v>
      </c>
      <c r="C381" s="4" t="s">
        <v>1491</v>
      </c>
      <c r="D381" s="4" t="s">
        <v>25</v>
      </c>
      <c r="E381" s="4">
        <v>3</v>
      </c>
      <c r="F381" s="4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4">
        <v>6</v>
      </c>
      <c r="M381" s="4" t="s">
        <v>76</v>
      </c>
      <c r="N381" s="4">
        <v>893.01</v>
      </c>
    </row>
    <row r="382" spans="1:14" ht="15" customHeight="1" x14ac:dyDescent="0.2">
      <c r="A382" s="4" t="s">
        <v>1493</v>
      </c>
      <c r="B382" s="6">
        <v>45402</v>
      </c>
      <c r="C382" s="4" t="s">
        <v>1494</v>
      </c>
      <c r="D382" s="4" t="s">
        <v>48</v>
      </c>
      <c r="E382" s="4">
        <v>4</v>
      </c>
      <c r="F382" s="4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4">
        <v>5</v>
      </c>
      <c r="L382" s="4" t="s">
        <v>21</v>
      </c>
      <c r="M382" s="4" t="s">
        <v>22</v>
      </c>
      <c r="N382" s="4">
        <v>1327.6</v>
      </c>
    </row>
    <row r="383" spans="1:14" ht="15" customHeight="1" x14ac:dyDescent="0.2">
      <c r="A383" s="4" t="s">
        <v>1496</v>
      </c>
      <c r="B383" s="6">
        <v>45084</v>
      </c>
      <c r="C383" s="4" t="s">
        <v>1497</v>
      </c>
      <c r="D383" s="4" t="s">
        <v>41</v>
      </c>
      <c r="E383" s="4">
        <v>1</v>
      </c>
      <c r="F383" s="4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4">
        <v>1</v>
      </c>
      <c r="L383" s="4" t="s">
        <v>37</v>
      </c>
      <c r="M383" s="4" t="s">
        <v>22</v>
      </c>
      <c r="N383" s="4">
        <v>191.76</v>
      </c>
    </row>
    <row r="384" spans="1:14" ht="15" customHeight="1" x14ac:dyDescent="0.2">
      <c r="A384" s="4" t="s">
        <v>1499</v>
      </c>
      <c r="B384" s="6">
        <v>45687</v>
      </c>
      <c r="C384" s="4" t="s">
        <v>1500</v>
      </c>
      <c r="D384" s="4" t="s">
        <v>48</v>
      </c>
      <c r="E384" s="4">
        <v>4</v>
      </c>
      <c r="F384" s="4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4">
        <v>8</v>
      </c>
      <c r="L384" s="4" t="s">
        <v>21</v>
      </c>
      <c r="M384" s="4" t="s">
        <v>76</v>
      </c>
      <c r="N384" s="4">
        <v>1052.3599999999999</v>
      </c>
    </row>
    <row r="385" spans="1:14" ht="15" customHeight="1" x14ac:dyDescent="0.2">
      <c r="A385" s="4" t="s">
        <v>1503</v>
      </c>
      <c r="B385" s="6">
        <v>44946</v>
      </c>
      <c r="C385" s="4" t="s">
        <v>1504</v>
      </c>
      <c r="D385" s="4" t="s">
        <v>41</v>
      </c>
      <c r="E385" s="4">
        <v>4</v>
      </c>
      <c r="F385" s="4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4">
        <v>7</v>
      </c>
      <c r="L385" s="4" t="s">
        <v>21</v>
      </c>
      <c r="M385" s="4" t="s">
        <v>38</v>
      </c>
      <c r="N385" s="4">
        <v>1575.2</v>
      </c>
    </row>
    <row r="386" spans="1:14" ht="15" customHeight="1" x14ac:dyDescent="0.2">
      <c r="A386" s="4" t="s">
        <v>1506</v>
      </c>
      <c r="B386" s="6">
        <v>45620</v>
      </c>
      <c r="C386" s="4" t="s">
        <v>1507</v>
      </c>
      <c r="D386" s="4" t="s">
        <v>41</v>
      </c>
      <c r="E386" s="4">
        <v>3</v>
      </c>
      <c r="F386" s="4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4">
        <v>4</v>
      </c>
      <c r="L386" s="4" t="s">
        <v>37</v>
      </c>
      <c r="M386" s="4" t="s">
        <v>45</v>
      </c>
      <c r="N386" s="4">
        <v>1660.71</v>
      </c>
    </row>
    <row r="387" spans="1:14" ht="15" customHeight="1" x14ac:dyDescent="0.2">
      <c r="A387" s="4" t="s">
        <v>1510</v>
      </c>
      <c r="B387" s="6">
        <v>45230</v>
      </c>
      <c r="C387" s="4" t="s">
        <v>1511</v>
      </c>
      <c r="D387" s="4" t="s">
        <v>41</v>
      </c>
      <c r="E387" s="4">
        <v>5</v>
      </c>
      <c r="F387" s="4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4">
        <v>6</v>
      </c>
      <c r="L387" s="4" t="s">
        <v>37</v>
      </c>
      <c r="M387" s="4" t="s">
        <v>45</v>
      </c>
      <c r="N387" s="4">
        <v>958.15</v>
      </c>
    </row>
    <row r="388" spans="1:14" ht="15" customHeight="1" x14ac:dyDescent="0.2">
      <c r="A388" s="4" t="s">
        <v>1513</v>
      </c>
      <c r="B388" s="6">
        <v>45044</v>
      </c>
      <c r="C388" s="4" t="s">
        <v>1514</v>
      </c>
      <c r="D388" s="4" t="s">
        <v>32</v>
      </c>
      <c r="E388" s="4">
        <v>1</v>
      </c>
      <c r="F388" s="4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4">
        <v>4</v>
      </c>
      <c r="M388" s="4" t="s">
        <v>38</v>
      </c>
      <c r="N388" s="4">
        <v>93.02</v>
      </c>
    </row>
    <row r="389" spans="1:14" ht="15" customHeight="1" x14ac:dyDescent="0.2">
      <c r="A389" s="4" t="s">
        <v>1517</v>
      </c>
      <c r="B389" s="6">
        <v>45470</v>
      </c>
      <c r="C389" s="4" t="s">
        <v>1518</v>
      </c>
      <c r="D389" s="4" t="s">
        <v>48</v>
      </c>
      <c r="E389" s="4">
        <v>2</v>
      </c>
      <c r="F389" s="4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4">
        <v>3</v>
      </c>
      <c r="L389" s="4" t="s">
        <v>81</v>
      </c>
      <c r="M389" s="4" t="s">
        <v>76</v>
      </c>
      <c r="N389" s="4">
        <v>79.06</v>
      </c>
    </row>
    <row r="390" spans="1:14" ht="15" customHeight="1" x14ac:dyDescent="0.2">
      <c r="A390" s="4" t="s">
        <v>1520</v>
      </c>
      <c r="B390" s="6">
        <v>45288</v>
      </c>
      <c r="C390" s="4" t="s">
        <v>1521</v>
      </c>
      <c r="D390" s="4" t="s">
        <v>48</v>
      </c>
      <c r="E390" s="4">
        <v>3</v>
      </c>
      <c r="F390" s="4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4">
        <v>7</v>
      </c>
      <c r="L390" s="4" t="s">
        <v>81</v>
      </c>
      <c r="M390" s="4" t="s">
        <v>45</v>
      </c>
      <c r="N390" s="4">
        <v>1901.91</v>
      </c>
    </row>
    <row r="391" spans="1:14" ht="15" customHeight="1" x14ac:dyDescent="0.2">
      <c r="A391" s="4" t="s">
        <v>1523</v>
      </c>
      <c r="B391" s="6">
        <v>45277</v>
      </c>
      <c r="C391" s="4" t="s">
        <v>1524</v>
      </c>
      <c r="D391" s="4" t="s">
        <v>73</v>
      </c>
      <c r="E391" s="4">
        <v>4</v>
      </c>
      <c r="F391" s="4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4">
        <v>7</v>
      </c>
      <c r="L391" s="4" t="s">
        <v>37</v>
      </c>
      <c r="M391" s="4" t="s">
        <v>29</v>
      </c>
      <c r="N391" s="4">
        <v>2790</v>
      </c>
    </row>
    <row r="392" spans="1:14" ht="15" customHeight="1" x14ac:dyDescent="0.2">
      <c r="A392" s="4" t="s">
        <v>1527</v>
      </c>
      <c r="B392" s="6">
        <v>45121</v>
      </c>
      <c r="C392" s="4" t="s">
        <v>1528</v>
      </c>
      <c r="D392" s="4" t="s">
        <v>48</v>
      </c>
      <c r="E392" s="4">
        <v>5</v>
      </c>
      <c r="F392" s="4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4">
        <v>10</v>
      </c>
      <c r="L392" s="4" t="s">
        <v>37</v>
      </c>
      <c r="M392" s="4" t="s">
        <v>76</v>
      </c>
      <c r="N392" s="4">
        <v>2543.4499999999998</v>
      </c>
    </row>
    <row r="393" spans="1:14" ht="15" customHeight="1" x14ac:dyDescent="0.2">
      <c r="A393" s="4" t="s">
        <v>1530</v>
      </c>
      <c r="B393" s="6">
        <v>45673</v>
      </c>
      <c r="C393" s="4" t="s">
        <v>1531</v>
      </c>
      <c r="D393" s="4" t="s">
        <v>58</v>
      </c>
      <c r="E393" s="4">
        <v>2</v>
      </c>
      <c r="F393" s="4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4">
        <v>3</v>
      </c>
      <c r="L393" s="4" t="s">
        <v>37</v>
      </c>
      <c r="M393" s="4" t="s">
        <v>29</v>
      </c>
      <c r="N393" s="4">
        <v>1054.92</v>
      </c>
    </row>
    <row r="394" spans="1:14" ht="15" customHeight="1" x14ac:dyDescent="0.2">
      <c r="A394" s="4" t="s">
        <v>1533</v>
      </c>
      <c r="B394" s="6">
        <v>45350</v>
      </c>
      <c r="C394" s="4" t="s">
        <v>1534</v>
      </c>
      <c r="D394" s="4" t="s">
        <v>25</v>
      </c>
      <c r="E394" s="4">
        <v>1</v>
      </c>
      <c r="F394" s="4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4">
        <v>1</v>
      </c>
      <c r="L394" s="4" t="s">
        <v>81</v>
      </c>
      <c r="M394" s="4" t="s">
        <v>38</v>
      </c>
      <c r="N394" s="4">
        <v>627.20000000000005</v>
      </c>
    </row>
    <row r="395" spans="1:14" ht="15" customHeight="1" x14ac:dyDescent="0.2">
      <c r="A395" s="4" t="s">
        <v>1536</v>
      </c>
      <c r="B395" s="6">
        <v>45487</v>
      </c>
      <c r="C395" s="4" t="s">
        <v>1537</v>
      </c>
      <c r="D395" s="4" t="s">
        <v>48</v>
      </c>
      <c r="E395" s="4">
        <v>1</v>
      </c>
      <c r="F395" s="4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4">
        <v>3</v>
      </c>
      <c r="M395" s="4" t="s">
        <v>76</v>
      </c>
      <c r="N395" s="4">
        <v>75.010000000000005</v>
      </c>
    </row>
    <row r="396" spans="1:14" ht="15" customHeight="1" x14ac:dyDescent="0.2">
      <c r="A396" s="4" t="s">
        <v>1540</v>
      </c>
      <c r="B396" s="6">
        <v>45112</v>
      </c>
      <c r="C396" s="4" t="s">
        <v>1541</v>
      </c>
      <c r="D396" s="4" t="s">
        <v>73</v>
      </c>
      <c r="E396" s="4">
        <v>5</v>
      </c>
      <c r="F396" s="4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4">
        <v>10</v>
      </c>
      <c r="M396" s="4" t="s">
        <v>45</v>
      </c>
      <c r="N396" s="4">
        <v>2647.75</v>
      </c>
    </row>
    <row r="397" spans="1:14" ht="15" customHeight="1" x14ac:dyDescent="0.2">
      <c r="A397" s="4" t="s">
        <v>1544</v>
      </c>
      <c r="B397" s="6">
        <v>45772</v>
      </c>
      <c r="C397" s="4" t="s">
        <v>1545</v>
      </c>
      <c r="D397" s="4" t="s">
        <v>25</v>
      </c>
      <c r="E397" s="4">
        <v>3</v>
      </c>
      <c r="F397" s="4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4">
        <v>7</v>
      </c>
      <c r="L397" s="4" t="s">
        <v>21</v>
      </c>
      <c r="M397" s="4" t="s">
        <v>29</v>
      </c>
      <c r="N397" s="4">
        <v>382.23</v>
      </c>
    </row>
    <row r="398" spans="1:14" ht="15" customHeight="1" x14ac:dyDescent="0.2">
      <c r="A398" s="4" t="s">
        <v>1547</v>
      </c>
      <c r="B398" s="6">
        <v>45261</v>
      </c>
      <c r="C398" s="4" t="s">
        <v>1548</v>
      </c>
      <c r="D398" s="4" t="s">
        <v>32</v>
      </c>
      <c r="E398" s="4">
        <v>5</v>
      </c>
      <c r="F398" s="4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4">
        <v>10</v>
      </c>
      <c r="L398" s="4" t="s">
        <v>21</v>
      </c>
      <c r="M398" s="4" t="s">
        <v>38</v>
      </c>
      <c r="N398" s="4">
        <v>1435.65</v>
      </c>
    </row>
    <row r="399" spans="1:14" ht="15" customHeight="1" x14ac:dyDescent="0.2">
      <c r="A399" s="4" t="s">
        <v>1551</v>
      </c>
      <c r="B399" s="6">
        <v>45197</v>
      </c>
      <c r="C399" s="4" t="s">
        <v>1552</v>
      </c>
      <c r="D399" s="4" t="s">
        <v>16</v>
      </c>
      <c r="E399" s="4">
        <v>1</v>
      </c>
      <c r="F399" s="4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4">
        <v>1</v>
      </c>
      <c r="L399" s="4" t="s">
        <v>81</v>
      </c>
      <c r="M399" s="4" t="s">
        <v>29</v>
      </c>
      <c r="N399" s="4">
        <v>427.06</v>
      </c>
    </row>
    <row r="400" spans="1:14" ht="15" customHeight="1" x14ac:dyDescent="0.2">
      <c r="A400" s="4" t="s">
        <v>1555</v>
      </c>
      <c r="B400" s="6">
        <v>45539</v>
      </c>
      <c r="C400" s="4" t="s">
        <v>1556</v>
      </c>
      <c r="D400" s="4" t="s">
        <v>25</v>
      </c>
      <c r="E400" s="4">
        <v>5</v>
      </c>
      <c r="F400" s="4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4">
        <v>7</v>
      </c>
      <c r="L400" s="4" t="s">
        <v>21</v>
      </c>
      <c r="M400" s="4" t="s">
        <v>22</v>
      </c>
      <c r="N400" s="4">
        <v>269.64999999999998</v>
      </c>
    </row>
    <row r="401" spans="1:14" ht="15" customHeight="1" x14ac:dyDescent="0.2">
      <c r="A401" s="4" t="s">
        <v>1558</v>
      </c>
      <c r="B401" s="6">
        <v>45298</v>
      </c>
      <c r="C401" s="4" t="s">
        <v>1559</v>
      </c>
      <c r="D401" s="4" t="s">
        <v>32</v>
      </c>
      <c r="E401" s="4">
        <v>5</v>
      </c>
      <c r="F401" s="4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4">
        <v>5</v>
      </c>
      <c r="L401" s="4" t="s">
        <v>37</v>
      </c>
      <c r="M401" s="4" t="s">
        <v>45</v>
      </c>
      <c r="N401" s="4">
        <v>2119.65</v>
      </c>
    </row>
    <row r="402" spans="1:14" ht="15" customHeight="1" x14ac:dyDescent="0.2">
      <c r="A402" s="4" t="s">
        <v>1562</v>
      </c>
      <c r="B402" s="6">
        <v>45563</v>
      </c>
      <c r="C402" s="4" t="s">
        <v>1563</v>
      </c>
      <c r="D402" s="4" t="s">
        <v>73</v>
      </c>
      <c r="E402" s="4">
        <v>4</v>
      </c>
      <c r="F402" s="4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4">
        <v>9</v>
      </c>
      <c r="L402" s="4" t="s">
        <v>81</v>
      </c>
      <c r="M402" s="4" t="s">
        <v>22</v>
      </c>
      <c r="N402" s="4">
        <v>640.88</v>
      </c>
    </row>
    <row r="403" spans="1:14" ht="15" customHeight="1" x14ac:dyDescent="0.2">
      <c r="A403" s="4" t="s">
        <v>1566</v>
      </c>
      <c r="B403" s="6">
        <v>45756</v>
      </c>
      <c r="C403" s="4" t="s">
        <v>1567</v>
      </c>
      <c r="D403" s="4" t="s">
        <v>48</v>
      </c>
      <c r="E403" s="4">
        <v>1</v>
      </c>
      <c r="F403" s="4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4">
        <v>6</v>
      </c>
      <c r="M403" s="4" t="s">
        <v>29</v>
      </c>
      <c r="N403" s="4">
        <v>538.67999999999995</v>
      </c>
    </row>
    <row r="404" spans="1:14" ht="15" customHeight="1" x14ac:dyDescent="0.2">
      <c r="A404" s="4" t="s">
        <v>1569</v>
      </c>
      <c r="B404" s="6">
        <v>45025</v>
      </c>
      <c r="C404" s="4" t="s">
        <v>1570</v>
      </c>
      <c r="D404" s="4" t="s">
        <v>48</v>
      </c>
      <c r="E404" s="4">
        <v>5</v>
      </c>
      <c r="F404" s="4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4">
        <v>5</v>
      </c>
      <c r="M404" s="4" t="s">
        <v>29</v>
      </c>
      <c r="N404" s="4">
        <v>1686.9</v>
      </c>
    </row>
    <row r="405" spans="1:14" ht="15" customHeight="1" x14ac:dyDescent="0.2">
      <c r="A405" s="4" t="s">
        <v>1573</v>
      </c>
      <c r="B405" s="6">
        <v>45606</v>
      </c>
      <c r="C405" s="4" t="s">
        <v>1574</v>
      </c>
      <c r="D405" s="4" t="s">
        <v>32</v>
      </c>
      <c r="E405" s="4">
        <v>1</v>
      </c>
      <c r="F405" s="4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4">
        <v>1</v>
      </c>
      <c r="L405" s="4" t="s">
        <v>37</v>
      </c>
      <c r="M405" s="4" t="s">
        <v>29</v>
      </c>
      <c r="N405" s="4">
        <v>620.21</v>
      </c>
    </row>
    <row r="406" spans="1:14" ht="15" customHeight="1" x14ac:dyDescent="0.2">
      <c r="A406" s="4" t="s">
        <v>1576</v>
      </c>
      <c r="B406" s="6">
        <v>44994</v>
      </c>
      <c r="C406" s="4" t="s">
        <v>1577</v>
      </c>
      <c r="D406" s="4" t="s">
        <v>16</v>
      </c>
      <c r="E406" s="4">
        <v>2</v>
      </c>
      <c r="F406" s="4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4">
        <v>6</v>
      </c>
      <c r="M406" s="4" t="s">
        <v>22</v>
      </c>
      <c r="N406" s="4">
        <v>198.2</v>
      </c>
    </row>
    <row r="407" spans="1:14" ht="15" customHeight="1" x14ac:dyDescent="0.2">
      <c r="A407" s="4" t="s">
        <v>1579</v>
      </c>
      <c r="B407" s="6">
        <v>45683</v>
      </c>
      <c r="C407" s="4" t="s">
        <v>1580</v>
      </c>
      <c r="D407" s="4" t="s">
        <v>16</v>
      </c>
      <c r="E407" s="4">
        <v>4</v>
      </c>
      <c r="F407" s="4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4">
        <v>7</v>
      </c>
      <c r="L407" s="4" t="s">
        <v>81</v>
      </c>
      <c r="M407" s="4" t="s">
        <v>38</v>
      </c>
      <c r="N407" s="4">
        <v>1807.88</v>
      </c>
    </row>
    <row r="408" spans="1:14" ht="15" customHeight="1" x14ac:dyDescent="0.2">
      <c r="A408" s="4" t="s">
        <v>1582</v>
      </c>
      <c r="B408" s="6">
        <v>45270</v>
      </c>
      <c r="C408" s="4" t="s">
        <v>1583</v>
      </c>
      <c r="D408" s="4" t="s">
        <v>32</v>
      </c>
      <c r="E408" s="4">
        <v>4</v>
      </c>
      <c r="F408" s="4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4">
        <v>9</v>
      </c>
      <c r="L408" s="4" t="s">
        <v>81</v>
      </c>
      <c r="M408" s="4" t="s">
        <v>76</v>
      </c>
      <c r="N408" s="4">
        <v>264.39999999999998</v>
      </c>
    </row>
    <row r="409" spans="1:14" ht="15" customHeight="1" x14ac:dyDescent="0.2">
      <c r="A409" s="4" t="s">
        <v>1585</v>
      </c>
      <c r="B409" s="6">
        <v>45151</v>
      </c>
      <c r="C409" s="4" t="s">
        <v>1586</v>
      </c>
      <c r="D409" s="4" t="s">
        <v>32</v>
      </c>
      <c r="E409" s="4">
        <v>4</v>
      </c>
      <c r="F409" s="4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4">
        <v>8</v>
      </c>
      <c r="L409" s="4" t="s">
        <v>37</v>
      </c>
      <c r="M409" s="4" t="s">
        <v>22</v>
      </c>
      <c r="N409" s="4">
        <v>2189.2800000000002</v>
      </c>
    </row>
    <row r="410" spans="1:14" ht="15" customHeight="1" x14ac:dyDescent="0.2">
      <c r="A410" s="4" t="s">
        <v>1588</v>
      </c>
      <c r="B410" s="6">
        <v>45658</v>
      </c>
      <c r="C410" s="4" t="s">
        <v>1589</v>
      </c>
      <c r="D410" s="4" t="s">
        <v>48</v>
      </c>
      <c r="E410" s="4">
        <v>3</v>
      </c>
      <c r="F410" s="4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4">
        <v>6</v>
      </c>
      <c r="L410" s="4" t="s">
        <v>81</v>
      </c>
      <c r="M410" s="4" t="s">
        <v>76</v>
      </c>
      <c r="N410" s="4">
        <v>1237.5899999999999</v>
      </c>
    </row>
    <row r="411" spans="1:14" ht="15" customHeight="1" x14ac:dyDescent="0.2">
      <c r="A411" s="4" t="s">
        <v>1592</v>
      </c>
      <c r="B411" s="6">
        <v>45105</v>
      </c>
      <c r="C411" s="4" t="s">
        <v>1593</v>
      </c>
      <c r="D411" s="4" t="s">
        <v>73</v>
      </c>
      <c r="E411" s="4">
        <v>5</v>
      </c>
      <c r="F411" s="4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4">
        <v>9</v>
      </c>
      <c r="L411" s="4" t="s">
        <v>21</v>
      </c>
      <c r="M411" s="4" t="s">
        <v>76</v>
      </c>
      <c r="N411" s="4">
        <v>420.65</v>
      </c>
    </row>
    <row r="412" spans="1:14" ht="15" customHeight="1" x14ac:dyDescent="0.2">
      <c r="A412" s="4" t="s">
        <v>1596</v>
      </c>
      <c r="B412" s="6">
        <v>45309</v>
      </c>
      <c r="C412" s="4" t="s">
        <v>1597</v>
      </c>
      <c r="D412" s="4" t="s">
        <v>32</v>
      </c>
      <c r="E412" s="4">
        <v>2</v>
      </c>
      <c r="F412" s="4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4">
        <v>5</v>
      </c>
      <c r="M412" s="4" t="s">
        <v>38</v>
      </c>
      <c r="N412" s="4">
        <v>1036.46</v>
      </c>
    </row>
    <row r="413" spans="1:14" ht="15" customHeight="1" x14ac:dyDescent="0.2">
      <c r="A413" s="4" t="s">
        <v>1600</v>
      </c>
      <c r="B413" s="6">
        <v>45462</v>
      </c>
      <c r="C413" s="4" t="s">
        <v>1601</v>
      </c>
      <c r="D413" s="4" t="s">
        <v>73</v>
      </c>
      <c r="E413" s="4">
        <v>2</v>
      </c>
      <c r="F413" s="4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4">
        <v>5</v>
      </c>
      <c r="M413" s="4" t="s">
        <v>45</v>
      </c>
      <c r="N413" s="4">
        <v>79.02</v>
      </c>
    </row>
    <row r="414" spans="1:14" ht="15" customHeight="1" x14ac:dyDescent="0.2">
      <c r="A414" s="4" t="s">
        <v>1603</v>
      </c>
      <c r="B414" s="6">
        <v>45758</v>
      </c>
      <c r="C414" s="4" t="s">
        <v>1604</v>
      </c>
      <c r="D414" s="4" t="s">
        <v>32</v>
      </c>
      <c r="E414" s="4">
        <v>5</v>
      </c>
      <c r="F414" s="4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4">
        <v>10</v>
      </c>
      <c r="M414" s="4" t="s">
        <v>45</v>
      </c>
      <c r="N414" s="4">
        <v>665.05</v>
      </c>
    </row>
    <row r="415" spans="1:14" ht="15" customHeight="1" x14ac:dyDescent="0.2">
      <c r="A415" s="4" t="s">
        <v>1607</v>
      </c>
      <c r="B415" s="6">
        <v>45207</v>
      </c>
      <c r="C415" s="4" t="s">
        <v>1608</v>
      </c>
      <c r="D415" s="4" t="s">
        <v>32</v>
      </c>
      <c r="E415" s="4">
        <v>1</v>
      </c>
      <c r="F415" s="4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4">
        <v>6</v>
      </c>
      <c r="L415" s="4" t="s">
        <v>21</v>
      </c>
      <c r="M415" s="4" t="s">
        <v>38</v>
      </c>
      <c r="N415" s="4">
        <v>118.8</v>
      </c>
    </row>
    <row r="416" spans="1:14" ht="15" customHeight="1" x14ac:dyDescent="0.2">
      <c r="A416" s="4" t="s">
        <v>1611</v>
      </c>
      <c r="B416" s="6">
        <v>45781</v>
      </c>
      <c r="C416" s="4" t="s">
        <v>1612</v>
      </c>
      <c r="D416" s="4" t="s">
        <v>73</v>
      </c>
      <c r="E416" s="4">
        <v>2</v>
      </c>
      <c r="F416" s="4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4">
        <v>4</v>
      </c>
      <c r="L416" s="4" t="s">
        <v>81</v>
      </c>
      <c r="M416" s="4" t="s">
        <v>45</v>
      </c>
      <c r="N416" s="4">
        <v>279.14</v>
      </c>
    </row>
    <row r="417" spans="1:14" ht="15" customHeight="1" x14ac:dyDescent="0.2">
      <c r="A417" s="4" t="s">
        <v>1615</v>
      </c>
      <c r="B417" s="6">
        <v>45753</v>
      </c>
      <c r="C417" s="4" t="s">
        <v>1616</v>
      </c>
      <c r="D417" s="4" t="s">
        <v>41</v>
      </c>
      <c r="E417" s="4">
        <v>1</v>
      </c>
      <c r="F417" s="4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4">
        <v>5</v>
      </c>
      <c r="L417" s="4" t="s">
        <v>37</v>
      </c>
      <c r="M417" s="4" t="s">
        <v>45</v>
      </c>
      <c r="N417" s="4">
        <v>184.15</v>
      </c>
    </row>
    <row r="418" spans="1:14" ht="15" customHeight="1" x14ac:dyDescent="0.2">
      <c r="A418" s="4" t="s">
        <v>1618</v>
      </c>
      <c r="B418" s="6">
        <v>45125</v>
      </c>
      <c r="C418" s="4" t="s">
        <v>1619</v>
      </c>
      <c r="D418" s="4" t="s">
        <v>58</v>
      </c>
      <c r="E418" s="4">
        <v>2</v>
      </c>
      <c r="F418" s="4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4">
        <v>5</v>
      </c>
      <c r="L418" s="4" t="s">
        <v>81</v>
      </c>
      <c r="M418" s="4" t="s">
        <v>29</v>
      </c>
      <c r="N418" s="4">
        <v>1288.0999999999999</v>
      </c>
    </row>
    <row r="419" spans="1:14" ht="15" customHeight="1" x14ac:dyDescent="0.2">
      <c r="A419" s="4" t="s">
        <v>1622</v>
      </c>
      <c r="B419" s="6">
        <v>45223</v>
      </c>
      <c r="C419" s="4" t="s">
        <v>1623</v>
      </c>
      <c r="D419" s="4" t="s">
        <v>58</v>
      </c>
      <c r="E419" s="4">
        <v>5</v>
      </c>
      <c r="F419" s="4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4">
        <v>5</v>
      </c>
      <c r="M419" s="4" t="s">
        <v>76</v>
      </c>
      <c r="N419" s="4">
        <v>277.05</v>
      </c>
    </row>
    <row r="420" spans="1:14" ht="15" customHeight="1" x14ac:dyDescent="0.2">
      <c r="A420" s="4" t="s">
        <v>1626</v>
      </c>
      <c r="B420" s="6">
        <v>44937</v>
      </c>
      <c r="C420" s="4" t="s">
        <v>1627</v>
      </c>
      <c r="D420" s="4" t="s">
        <v>48</v>
      </c>
      <c r="E420" s="4">
        <v>1</v>
      </c>
      <c r="F420" s="4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4">
        <v>3</v>
      </c>
      <c r="M420" s="4" t="s">
        <v>45</v>
      </c>
      <c r="N420" s="4">
        <v>310.93</v>
      </c>
    </row>
    <row r="421" spans="1:14" ht="15" customHeight="1" x14ac:dyDescent="0.2">
      <c r="A421" s="4" t="s">
        <v>1630</v>
      </c>
      <c r="B421" s="6">
        <v>45399</v>
      </c>
      <c r="C421" s="4" t="s">
        <v>1631</v>
      </c>
      <c r="D421" s="4" t="s">
        <v>32</v>
      </c>
      <c r="E421" s="4">
        <v>2</v>
      </c>
      <c r="F421" s="4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4">
        <v>6</v>
      </c>
      <c r="L421" s="4" t="s">
        <v>37</v>
      </c>
      <c r="M421" s="4" t="s">
        <v>22</v>
      </c>
      <c r="N421" s="4">
        <v>433.32</v>
      </c>
    </row>
    <row r="422" spans="1:14" ht="15" customHeight="1" x14ac:dyDescent="0.2">
      <c r="A422" s="4" t="s">
        <v>1633</v>
      </c>
      <c r="B422" s="6">
        <v>45625</v>
      </c>
      <c r="C422" s="4" t="s">
        <v>1634</v>
      </c>
      <c r="D422" s="4" t="s">
        <v>25</v>
      </c>
      <c r="E422" s="4">
        <v>1</v>
      </c>
      <c r="F422" s="4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4">
        <v>5</v>
      </c>
      <c r="L422" s="4" t="s">
        <v>37</v>
      </c>
      <c r="M422" s="4" t="s">
        <v>22</v>
      </c>
      <c r="N422" s="4">
        <v>452.7</v>
      </c>
    </row>
    <row r="423" spans="1:14" ht="15" customHeight="1" x14ac:dyDescent="0.2">
      <c r="A423" s="4" t="s">
        <v>1637</v>
      </c>
      <c r="B423" s="6">
        <v>45214</v>
      </c>
      <c r="C423" s="4" t="s">
        <v>1638</v>
      </c>
      <c r="D423" s="4" t="s">
        <v>41</v>
      </c>
      <c r="E423" s="4">
        <v>2</v>
      </c>
      <c r="F423" s="4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4">
        <v>5</v>
      </c>
      <c r="M423" s="4" t="s">
        <v>38</v>
      </c>
      <c r="N423" s="4">
        <v>576.41999999999996</v>
      </c>
    </row>
    <row r="424" spans="1:14" ht="15" customHeight="1" x14ac:dyDescent="0.2">
      <c r="A424" s="4" t="s">
        <v>1641</v>
      </c>
      <c r="B424" s="6">
        <v>45082</v>
      </c>
      <c r="C424" s="4" t="s">
        <v>1642</v>
      </c>
      <c r="D424" s="4" t="s">
        <v>25</v>
      </c>
      <c r="E424" s="4">
        <v>4</v>
      </c>
      <c r="F424" s="4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4">
        <v>6</v>
      </c>
      <c r="L424" s="4" t="s">
        <v>81</v>
      </c>
      <c r="M424" s="4" t="s">
        <v>29</v>
      </c>
      <c r="N424" s="4">
        <v>826.4</v>
      </c>
    </row>
    <row r="425" spans="1:14" ht="15" customHeight="1" x14ac:dyDescent="0.2">
      <c r="A425" s="4" t="s">
        <v>1644</v>
      </c>
      <c r="B425" s="6">
        <v>45493</v>
      </c>
      <c r="C425" s="4" t="s">
        <v>1645</v>
      </c>
      <c r="D425" s="4" t="s">
        <v>48</v>
      </c>
      <c r="E425" s="4">
        <v>4</v>
      </c>
      <c r="F425" s="4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4">
        <v>6</v>
      </c>
      <c r="L425" s="4" t="s">
        <v>81</v>
      </c>
      <c r="M425" s="4" t="s">
        <v>76</v>
      </c>
      <c r="N425" s="4">
        <v>2740.8</v>
      </c>
    </row>
    <row r="426" spans="1:14" ht="15" customHeight="1" x14ac:dyDescent="0.2">
      <c r="A426" s="4" t="s">
        <v>1647</v>
      </c>
      <c r="B426" s="6">
        <v>45028</v>
      </c>
      <c r="C426" s="4" t="s">
        <v>1648</v>
      </c>
      <c r="D426" s="4" t="s">
        <v>41</v>
      </c>
      <c r="E426" s="4">
        <v>5</v>
      </c>
      <c r="F426" s="4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4">
        <v>10</v>
      </c>
      <c r="M426" s="4" t="s">
        <v>38</v>
      </c>
      <c r="N426" s="4">
        <v>114.7</v>
      </c>
    </row>
    <row r="427" spans="1:14" ht="15" customHeight="1" x14ac:dyDescent="0.2">
      <c r="A427" s="4" t="s">
        <v>1650</v>
      </c>
      <c r="B427" s="6">
        <v>44994</v>
      </c>
      <c r="C427" s="4" t="s">
        <v>1651</v>
      </c>
      <c r="D427" s="4" t="s">
        <v>58</v>
      </c>
      <c r="E427" s="4">
        <v>2</v>
      </c>
      <c r="F427" s="4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4">
        <v>5</v>
      </c>
      <c r="L427" s="4" t="s">
        <v>81</v>
      </c>
      <c r="M427" s="4" t="s">
        <v>38</v>
      </c>
      <c r="N427" s="4">
        <v>603.76</v>
      </c>
    </row>
    <row r="428" spans="1:14" ht="15" customHeight="1" x14ac:dyDescent="0.2">
      <c r="A428" s="4" t="s">
        <v>1654</v>
      </c>
      <c r="B428" s="6">
        <v>45732</v>
      </c>
      <c r="C428" s="4" t="s">
        <v>1655</v>
      </c>
      <c r="D428" s="4" t="s">
        <v>16</v>
      </c>
      <c r="E428" s="4">
        <v>5</v>
      </c>
      <c r="F428" s="4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4">
        <v>10</v>
      </c>
      <c r="M428" s="4" t="s">
        <v>45</v>
      </c>
      <c r="N428" s="4">
        <v>287.25</v>
      </c>
    </row>
    <row r="429" spans="1:14" ht="15" customHeight="1" x14ac:dyDescent="0.2">
      <c r="A429" s="4" t="s">
        <v>1658</v>
      </c>
      <c r="B429" s="6">
        <v>45644</v>
      </c>
      <c r="C429" s="4" t="s">
        <v>1659</v>
      </c>
      <c r="D429" s="4" t="s">
        <v>73</v>
      </c>
      <c r="E429" s="4">
        <v>1</v>
      </c>
      <c r="F429" s="4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4">
        <v>3</v>
      </c>
      <c r="L429" s="4" t="s">
        <v>81</v>
      </c>
      <c r="M429" s="4" t="s">
        <v>22</v>
      </c>
      <c r="N429" s="4">
        <v>161.24</v>
      </c>
    </row>
    <row r="430" spans="1:14" ht="15" customHeight="1" x14ac:dyDescent="0.2">
      <c r="A430" s="4" t="s">
        <v>1662</v>
      </c>
      <c r="B430" s="6">
        <v>45622</v>
      </c>
      <c r="C430" s="4" t="s">
        <v>1663</v>
      </c>
      <c r="D430" s="4" t="s">
        <v>41</v>
      </c>
      <c r="E430" s="4">
        <v>4</v>
      </c>
      <c r="F430" s="4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4">
        <v>8</v>
      </c>
      <c r="L430" s="4" t="s">
        <v>81</v>
      </c>
      <c r="M430" s="4" t="s">
        <v>38</v>
      </c>
      <c r="N430" s="4">
        <v>1050.32</v>
      </c>
    </row>
    <row r="431" spans="1:14" ht="15" customHeight="1" x14ac:dyDescent="0.2">
      <c r="A431" s="4" t="s">
        <v>1665</v>
      </c>
      <c r="B431" s="6">
        <v>45645</v>
      </c>
      <c r="C431" s="4" t="s">
        <v>1666</v>
      </c>
      <c r="D431" s="4" t="s">
        <v>48</v>
      </c>
      <c r="E431" s="4">
        <v>4</v>
      </c>
      <c r="F431" s="4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4">
        <v>9</v>
      </c>
      <c r="L431" s="4" t="s">
        <v>21</v>
      </c>
      <c r="M431" s="4" t="s">
        <v>45</v>
      </c>
      <c r="N431" s="4">
        <v>2060.7600000000002</v>
      </c>
    </row>
    <row r="432" spans="1:14" ht="15" customHeight="1" x14ac:dyDescent="0.2">
      <c r="A432" s="4" t="s">
        <v>1668</v>
      </c>
      <c r="B432" s="6">
        <v>45084</v>
      </c>
      <c r="C432" s="4" t="s">
        <v>1669</v>
      </c>
      <c r="D432" s="4" t="s">
        <v>25</v>
      </c>
      <c r="E432" s="4">
        <v>1</v>
      </c>
      <c r="F432" s="4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4">
        <v>6</v>
      </c>
      <c r="L432" s="4" t="s">
        <v>37</v>
      </c>
      <c r="M432" s="4" t="s">
        <v>76</v>
      </c>
      <c r="N432" s="4">
        <v>450.07</v>
      </c>
    </row>
    <row r="433" spans="1:14" ht="15" customHeight="1" x14ac:dyDescent="0.2">
      <c r="A433" s="4" t="s">
        <v>1672</v>
      </c>
      <c r="B433" s="6">
        <v>45571</v>
      </c>
      <c r="C433" s="4" t="s">
        <v>1673</v>
      </c>
      <c r="D433" s="4" t="s">
        <v>48</v>
      </c>
      <c r="E433" s="4">
        <v>1</v>
      </c>
      <c r="F433" s="4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4">
        <v>6</v>
      </c>
      <c r="L433" s="4" t="s">
        <v>81</v>
      </c>
      <c r="M433" s="4" t="s">
        <v>45</v>
      </c>
      <c r="N433" s="4">
        <v>52.54</v>
      </c>
    </row>
    <row r="434" spans="1:14" ht="15" customHeight="1" x14ac:dyDescent="0.2">
      <c r="A434" s="4" t="s">
        <v>1675</v>
      </c>
      <c r="B434" s="6">
        <v>45173</v>
      </c>
      <c r="C434" s="4" t="s">
        <v>1676</v>
      </c>
      <c r="D434" s="4" t="s">
        <v>32</v>
      </c>
      <c r="E434" s="4">
        <v>2</v>
      </c>
      <c r="F434" s="4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4">
        <v>6</v>
      </c>
      <c r="M434" s="4" t="s">
        <v>29</v>
      </c>
      <c r="N434" s="4">
        <v>848.64</v>
      </c>
    </row>
    <row r="435" spans="1:14" ht="15" customHeight="1" x14ac:dyDescent="0.2">
      <c r="A435" s="4" t="s">
        <v>1679</v>
      </c>
      <c r="B435" s="6">
        <v>45164</v>
      </c>
      <c r="C435" s="4" t="s">
        <v>1680</v>
      </c>
      <c r="D435" s="4" t="s">
        <v>16</v>
      </c>
      <c r="E435" s="4">
        <v>3</v>
      </c>
      <c r="F435" s="4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4">
        <v>3</v>
      </c>
      <c r="L435" s="4" t="s">
        <v>37</v>
      </c>
      <c r="M435" s="4" t="s">
        <v>45</v>
      </c>
      <c r="N435" s="4">
        <v>1894.92</v>
      </c>
    </row>
    <row r="436" spans="1:14" ht="15" customHeight="1" x14ac:dyDescent="0.2">
      <c r="A436" s="4" t="s">
        <v>1682</v>
      </c>
      <c r="B436" s="6">
        <v>45221</v>
      </c>
      <c r="C436" s="4" t="s">
        <v>1683</v>
      </c>
      <c r="D436" s="4" t="s">
        <v>48</v>
      </c>
      <c r="E436" s="4">
        <v>5</v>
      </c>
      <c r="F436" s="4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4">
        <v>6</v>
      </c>
      <c r="M436" s="4" t="s">
        <v>45</v>
      </c>
      <c r="N436" s="4">
        <v>1638.4</v>
      </c>
    </row>
    <row r="437" spans="1:14" ht="15" customHeight="1" x14ac:dyDescent="0.2">
      <c r="A437" s="4" t="s">
        <v>1685</v>
      </c>
      <c r="B437" s="6">
        <v>45073</v>
      </c>
      <c r="C437" s="4" t="s">
        <v>1686</v>
      </c>
      <c r="D437" s="4" t="s">
        <v>48</v>
      </c>
      <c r="E437" s="4">
        <v>1</v>
      </c>
      <c r="F437" s="4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4">
        <v>3</v>
      </c>
      <c r="L437" s="4" t="s">
        <v>37</v>
      </c>
      <c r="M437" s="4" t="s">
        <v>22</v>
      </c>
      <c r="N437" s="4">
        <v>414.47</v>
      </c>
    </row>
    <row r="438" spans="1:14" ht="15" customHeight="1" x14ac:dyDescent="0.2">
      <c r="A438" s="4" t="s">
        <v>1688</v>
      </c>
      <c r="B438" s="6">
        <v>44968</v>
      </c>
      <c r="C438" s="4" t="s">
        <v>1689</v>
      </c>
      <c r="D438" s="4" t="s">
        <v>58</v>
      </c>
      <c r="E438" s="4">
        <v>4</v>
      </c>
      <c r="F438" s="4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4">
        <v>5</v>
      </c>
      <c r="M438" s="4" t="s">
        <v>76</v>
      </c>
      <c r="N438" s="4">
        <v>885.32</v>
      </c>
    </row>
    <row r="439" spans="1:14" ht="15" customHeight="1" x14ac:dyDescent="0.2">
      <c r="A439" s="4" t="s">
        <v>1691</v>
      </c>
      <c r="B439" s="6">
        <v>45400</v>
      </c>
      <c r="C439" s="4" t="s">
        <v>1692</v>
      </c>
      <c r="D439" s="4" t="s">
        <v>25</v>
      </c>
      <c r="E439" s="4">
        <v>1</v>
      </c>
      <c r="F439" s="4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4">
        <v>2</v>
      </c>
      <c r="L439" s="4" t="s">
        <v>37</v>
      </c>
      <c r="M439" s="4" t="s">
        <v>22</v>
      </c>
      <c r="N439" s="4">
        <v>512.39</v>
      </c>
    </row>
    <row r="440" spans="1:14" ht="15" customHeight="1" x14ac:dyDescent="0.2">
      <c r="A440" s="4" t="s">
        <v>1695</v>
      </c>
      <c r="B440" s="6">
        <v>45660</v>
      </c>
      <c r="C440" s="4" t="s">
        <v>1696</v>
      </c>
      <c r="D440" s="4" t="s">
        <v>32</v>
      </c>
      <c r="E440" s="4">
        <v>3</v>
      </c>
      <c r="F440" s="4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4">
        <v>3</v>
      </c>
      <c r="L440" s="4" t="s">
        <v>21</v>
      </c>
      <c r="M440" s="4" t="s">
        <v>22</v>
      </c>
      <c r="N440" s="4">
        <v>1378.02</v>
      </c>
    </row>
    <row r="441" spans="1:14" ht="15" customHeight="1" x14ac:dyDescent="0.2">
      <c r="A441" s="4" t="s">
        <v>1699</v>
      </c>
      <c r="B441" s="6">
        <v>45543</v>
      </c>
      <c r="C441" s="4" t="s">
        <v>1700</v>
      </c>
      <c r="D441" s="4" t="s">
        <v>32</v>
      </c>
      <c r="E441" s="4">
        <v>1</v>
      </c>
      <c r="F441" s="4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4">
        <v>4</v>
      </c>
      <c r="L441" s="4" t="s">
        <v>81</v>
      </c>
      <c r="M441" s="4" t="s">
        <v>45</v>
      </c>
      <c r="N441" s="4">
        <v>146.32</v>
      </c>
    </row>
    <row r="442" spans="1:14" ht="15" customHeight="1" x14ac:dyDescent="0.2">
      <c r="A442" s="4" t="s">
        <v>1703</v>
      </c>
      <c r="B442" s="6">
        <v>45601</v>
      </c>
      <c r="C442" s="4" t="s">
        <v>1704</v>
      </c>
      <c r="D442" s="4" t="s">
        <v>73</v>
      </c>
      <c r="E442" s="4">
        <v>4</v>
      </c>
      <c r="F442" s="4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4">
        <v>4</v>
      </c>
      <c r="L442" s="4" t="s">
        <v>21</v>
      </c>
      <c r="M442" s="4" t="s">
        <v>45</v>
      </c>
      <c r="N442" s="4">
        <v>334.4</v>
      </c>
    </row>
    <row r="443" spans="1:14" ht="15" customHeight="1" x14ac:dyDescent="0.2">
      <c r="A443" s="4" t="s">
        <v>1706</v>
      </c>
      <c r="B443" s="6">
        <v>45273</v>
      </c>
      <c r="C443" s="4" t="s">
        <v>1707</v>
      </c>
      <c r="D443" s="4" t="s">
        <v>48</v>
      </c>
      <c r="E443" s="4">
        <v>2</v>
      </c>
      <c r="F443" s="4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4">
        <v>6</v>
      </c>
      <c r="L443" s="4" t="s">
        <v>37</v>
      </c>
      <c r="M443" s="4" t="s">
        <v>38</v>
      </c>
      <c r="N443" s="4">
        <v>657.08</v>
      </c>
    </row>
    <row r="444" spans="1:14" ht="15" customHeight="1" x14ac:dyDescent="0.2">
      <c r="A444" s="4" t="s">
        <v>1710</v>
      </c>
      <c r="B444" s="6">
        <v>45418</v>
      </c>
      <c r="C444" s="4" t="s">
        <v>1711</v>
      </c>
      <c r="D444" s="4" t="s">
        <v>41</v>
      </c>
      <c r="E444" s="4">
        <v>5</v>
      </c>
      <c r="F444" s="4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4">
        <v>8</v>
      </c>
      <c r="L444" s="4" t="s">
        <v>21</v>
      </c>
      <c r="M444" s="4" t="s">
        <v>22</v>
      </c>
      <c r="N444" s="4">
        <v>1574.7</v>
      </c>
    </row>
    <row r="445" spans="1:14" ht="15" customHeight="1" x14ac:dyDescent="0.2">
      <c r="A445" s="4" t="s">
        <v>1714</v>
      </c>
      <c r="B445" s="6">
        <v>45426</v>
      </c>
      <c r="C445" s="4" t="s">
        <v>1715</v>
      </c>
      <c r="D445" s="4" t="s">
        <v>41</v>
      </c>
      <c r="E445" s="4">
        <v>2</v>
      </c>
      <c r="F445" s="4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4">
        <v>6</v>
      </c>
      <c r="M445" s="4" t="s">
        <v>45</v>
      </c>
      <c r="N445" s="4">
        <v>139.28</v>
      </c>
    </row>
    <row r="446" spans="1:14" ht="15" customHeight="1" x14ac:dyDescent="0.2">
      <c r="A446" s="4" t="s">
        <v>1717</v>
      </c>
      <c r="B446" s="6">
        <v>45451</v>
      </c>
      <c r="C446" s="4" t="s">
        <v>1718</v>
      </c>
      <c r="D446" s="4" t="s">
        <v>48</v>
      </c>
      <c r="E446" s="4">
        <v>1</v>
      </c>
      <c r="F446" s="4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4">
        <v>6</v>
      </c>
      <c r="L446" s="4" t="s">
        <v>37</v>
      </c>
      <c r="M446" s="4" t="s">
        <v>22</v>
      </c>
      <c r="N446" s="4">
        <v>135.16999999999999</v>
      </c>
    </row>
    <row r="447" spans="1:14" ht="15" customHeight="1" x14ac:dyDescent="0.2">
      <c r="A447" s="4" t="s">
        <v>1721</v>
      </c>
      <c r="B447" s="6">
        <v>45374</v>
      </c>
      <c r="C447" s="4" t="s">
        <v>1722</v>
      </c>
      <c r="D447" s="4" t="s">
        <v>25</v>
      </c>
      <c r="E447" s="4">
        <v>1</v>
      </c>
      <c r="F447" s="4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4">
        <v>3</v>
      </c>
      <c r="L447" s="4" t="s">
        <v>21</v>
      </c>
      <c r="M447" s="4" t="s">
        <v>29</v>
      </c>
      <c r="N447" s="4">
        <v>487.21</v>
      </c>
    </row>
    <row r="448" spans="1:14" ht="15" customHeight="1" x14ac:dyDescent="0.2">
      <c r="A448" s="4" t="s">
        <v>1725</v>
      </c>
      <c r="B448" s="6">
        <v>45217</v>
      </c>
      <c r="C448" s="4" t="s">
        <v>1726</v>
      </c>
      <c r="D448" s="4" t="s">
        <v>58</v>
      </c>
      <c r="E448" s="4">
        <v>5</v>
      </c>
      <c r="F448" s="4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4">
        <v>6</v>
      </c>
      <c r="L448" s="4" t="s">
        <v>37</v>
      </c>
      <c r="M448" s="4" t="s">
        <v>22</v>
      </c>
      <c r="N448" s="4">
        <v>2547.9</v>
      </c>
    </row>
    <row r="449" spans="1:14" ht="15" customHeight="1" x14ac:dyDescent="0.2">
      <c r="A449" s="4" t="s">
        <v>1729</v>
      </c>
      <c r="B449" s="6">
        <v>45389</v>
      </c>
      <c r="C449" s="4" t="s">
        <v>1730</v>
      </c>
      <c r="D449" s="4" t="s">
        <v>48</v>
      </c>
      <c r="E449" s="4">
        <v>2</v>
      </c>
      <c r="F449" s="4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4">
        <v>2</v>
      </c>
      <c r="M449" s="4" t="s">
        <v>45</v>
      </c>
      <c r="N449" s="4">
        <v>833.62</v>
      </c>
    </row>
    <row r="450" spans="1:14" ht="15" customHeight="1" x14ac:dyDescent="0.2">
      <c r="A450" s="4" t="s">
        <v>1733</v>
      </c>
      <c r="B450" s="6">
        <v>45173</v>
      </c>
      <c r="C450" s="4" t="s">
        <v>1734</v>
      </c>
      <c r="D450" s="4" t="s">
        <v>58</v>
      </c>
      <c r="E450" s="4">
        <v>2</v>
      </c>
      <c r="F450" s="4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4">
        <v>4</v>
      </c>
      <c r="L450" s="4" t="s">
        <v>21</v>
      </c>
      <c r="M450" s="4" t="s">
        <v>22</v>
      </c>
      <c r="N450" s="4">
        <v>320</v>
      </c>
    </row>
    <row r="451" spans="1:14" ht="15" customHeight="1" x14ac:dyDescent="0.2">
      <c r="A451" s="4" t="s">
        <v>1737</v>
      </c>
      <c r="B451" s="6">
        <v>45530</v>
      </c>
      <c r="C451" s="4" t="s">
        <v>1738</v>
      </c>
      <c r="D451" s="4" t="s">
        <v>32</v>
      </c>
      <c r="E451" s="4">
        <v>3</v>
      </c>
      <c r="F451" s="4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4">
        <v>3</v>
      </c>
      <c r="M451" s="4" t="s">
        <v>22</v>
      </c>
      <c r="N451" s="4">
        <v>759.15</v>
      </c>
    </row>
    <row r="452" spans="1:14" ht="15" customHeight="1" x14ac:dyDescent="0.2">
      <c r="A452" s="4" t="s">
        <v>1741</v>
      </c>
      <c r="B452" s="6">
        <v>45306</v>
      </c>
      <c r="C452" s="4" t="s">
        <v>1742</v>
      </c>
      <c r="D452" s="4" t="s">
        <v>16</v>
      </c>
      <c r="E452" s="4">
        <v>5</v>
      </c>
      <c r="F452" s="4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4">
        <v>10</v>
      </c>
      <c r="L452" s="4" t="s">
        <v>81</v>
      </c>
      <c r="M452" s="4" t="s">
        <v>22</v>
      </c>
      <c r="N452" s="4">
        <v>3075.5</v>
      </c>
    </row>
    <row r="453" spans="1:14" ht="15" customHeight="1" x14ac:dyDescent="0.2">
      <c r="A453" s="4" t="s">
        <v>1745</v>
      </c>
      <c r="B453" s="6">
        <v>45017</v>
      </c>
      <c r="C453" s="4" t="s">
        <v>1746</v>
      </c>
      <c r="D453" s="4" t="s">
        <v>16</v>
      </c>
      <c r="E453" s="4">
        <v>1</v>
      </c>
      <c r="F453" s="4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4">
        <v>6</v>
      </c>
      <c r="L453" s="4" t="s">
        <v>21</v>
      </c>
      <c r="M453" s="4" t="s">
        <v>38</v>
      </c>
      <c r="N453" s="4">
        <v>183.18</v>
      </c>
    </row>
    <row r="454" spans="1:14" ht="15" customHeight="1" x14ac:dyDescent="0.2">
      <c r="A454" s="4" t="s">
        <v>1748</v>
      </c>
      <c r="B454" s="6">
        <v>45130</v>
      </c>
      <c r="C454" s="4" t="s">
        <v>1749</v>
      </c>
      <c r="D454" s="4" t="s">
        <v>48</v>
      </c>
      <c r="E454" s="4">
        <v>1</v>
      </c>
      <c r="F454" s="4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4">
        <v>5</v>
      </c>
      <c r="L454" s="4" t="s">
        <v>21</v>
      </c>
      <c r="M454" s="4" t="s">
        <v>76</v>
      </c>
      <c r="N454" s="4">
        <v>75.78</v>
      </c>
    </row>
    <row r="455" spans="1:14" ht="15" customHeight="1" x14ac:dyDescent="0.2">
      <c r="A455" s="4" t="s">
        <v>1752</v>
      </c>
      <c r="B455" s="6">
        <v>45779</v>
      </c>
      <c r="C455" s="4" t="s">
        <v>1753</v>
      </c>
      <c r="D455" s="4" t="s">
        <v>32</v>
      </c>
      <c r="E455" s="4">
        <v>1</v>
      </c>
      <c r="F455" s="4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4">
        <v>1</v>
      </c>
      <c r="L455" s="4" t="s">
        <v>81</v>
      </c>
      <c r="M455" s="4" t="s">
        <v>45</v>
      </c>
      <c r="N455" s="4">
        <v>675.57</v>
      </c>
    </row>
    <row r="456" spans="1:14" ht="15" customHeight="1" x14ac:dyDescent="0.2">
      <c r="A456" s="4" t="s">
        <v>1756</v>
      </c>
      <c r="B456" s="6">
        <v>45623</v>
      </c>
      <c r="C456" s="4" t="s">
        <v>1757</v>
      </c>
      <c r="D456" s="4" t="s">
        <v>58</v>
      </c>
      <c r="E456" s="4">
        <v>1</v>
      </c>
      <c r="F456" s="4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4">
        <v>5</v>
      </c>
      <c r="L456" s="4" t="s">
        <v>37</v>
      </c>
      <c r="M456" s="4" t="s">
        <v>76</v>
      </c>
      <c r="N456" s="4">
        <v>109.29</v>
      </c>
    </row>
    <row r="457" spans="1:14" ht="15" customHeight="1" x14ac:dyDescent="0.2">
      <c r="A457" s="4" t="s">
        <v>1760</v>
      </c>
      <c r="B457" s="6">
        <v>45377</v>
      </c>
      <c r="C457" s="4" t="s">
        <v>1761</v>
      </c>
      <c r="D457" s="4" t="s">
        <v>25</v>
      </c>
      <c r="E457" s="4">
        <v>1</v>
      </c>
      <c r="F457" s="4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4">
        <v>2</v>
      </c>
      <c r="L457" s="4" t="s">
        <v>21</v>
      </c>
      <c r="M457" s="4" t="s">
        <v>29</v>
      </c>
      <c r="N457" s="4">
        <v>639.83000000000004</v>
      </c>
    </row>
    <row r="458" spans="1:14" ht="15" customHeight="1" x14ac:dyDescent="0.2">
      <c r="A458" s="4" t="s">
        <v>1764</v>
      </c>
      <c r="B458" s="6">
        <v>45103</v>
      </c>
      <c r="C458" s="4" t="s">
        <v>1765</v>
      </c>
      <c r="D458" s="4" t="s">
        <v>73</v>
      </c>
      <c r="E458" s="4">
        <v>5</v>
      </c>
      <c r="F458" s="4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4">
        <v>9</v>
      </c>
      <c r="L458" s="4" t="s">
        <v>21</v>
      </c>
      <c r="M458" s="4" t="s">
        <v>45</v>
      </c>
      <c r="N458" s="4">
        <v>314.05</v>
      </c>
    </row>
    <row r="459" spans="1:14" ht="15" customHeight="1" x14ac:dyDescent="0.2">
      <c r="A459" s="4" t="s">
        <v>1767</v>
      </c>
      <c r="B459" s="6">
        <v>45802</v>
      </c>
      <c r="C459" s="4" t="s">
        <v>1768</v>
      </c>
      <c r="D459" s="4" t="s">
        <v>73</v>
      </c>
      <c r="E459" s="4">
        <v>4</v>
      </c>
      <c r="F459" s="4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4">
        <v>4</v>
      </c>
      <c r="L459" s="4" t="s">
        <v>81</v>
      </c>
      <c r="M459" s="4" t="s">
        <v>22</v>
      </c>
      <c r="N459" s="4">
        <v>2463.3200000000002</v>
      </c>
    </row>
    <row r="460" spans="1:14" ht="15" customHeight="1" x14ac:dyDescent="0.2">
      <c r="A460" s="4" t="s">
        <v>1771</v>
      </c>
      <c r="B460" s="6">
        <v>45475</v>
      </c>
      <c r="C460" s="4" t="s">
        <v>1772</v>
      </c>
      <c r="D460" s="4" t="s">
        <v>16</v>
      </c>
      <c r="E460" s="4">
        <v>4</v>
      </c>
      <c r="F460" s="4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4">
        <v>7</v>
      </c>
      <c r="L460" s="4" t="s">
        <v>81</v>
      </c>
      <c r="M460" s="4" t="s">
        <v>38</v>
      </c>
      <c r="N460" s="4">
        <v>2042.32</v>
      </c>
    </row>
    <row r="461" spans="1:14" ht="15" customHeight="1" x14ac:dyDescent="0.2">
      <c r="A461" s="4" t="s">
        <v>1774</v>
      </c>
      <c r="B461" s="6">
        <v>45497</v>
      </c>
      <c r="C461" s="4" t="s">
        <v>1775</v>
      </c>
      <c r="D461" s="4" t="s">
        <v>73</v>
      </c>
      <c r="E461" s="4">
        <v>1</v>
      </c>
      <c r="F461" s="4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4">
        <v>2</v>
      </c>
      <c r="M461" s="4" t="s">
        <v>22</v>
      </c>
      <c r="N461" s="4">
        <v>334.39</v>
      </c>
    </row>
    <row r="462" spans="1:14" ht="15" customHeight="1" x14ac:dyDescent="0.2">
      <c r="A462" s="4" t="s">
        <v>1777</v>
      </c>
      <c r="B462" s="6">
        <v>45571</v>
      </c>
      <c r="C462" s="4" t="s">
        <v>1778</v>
      </c>
      <c r="D462" s="4" t="s">
        <v>58</v>
      </c>
      <c r="E462" s="4">
        <v>1</v>
      </c>
      <c r="F462" s="4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4">
        <v>2</v>
      </c>
      <c r="L462" s="4" t="s">
        <v>81</v>
      </c>
      <c r="M462" s="4" t="s">
        <v>29</v>
      </c>
      <c r="N462" s="4">
        <v>144.25</v>
      </c>
    </row>
    <row r="463" spans="1:14" ht="15" customHeight="1" x14ac:dyDescent="0.2">
      <c r="A463" s="4" t="s">
        <v>1781</v>
      </c>
      <c r="B463" s="6">
        <v>45451</v>
      </c>
      <c r="C463" s="4" t="s">
        <v>1782</v>
      </c>
      <c r="D463" s="4" t="s">
        <v>32</v>
      </c>
      <c r="E463" s="4">
        <v>1</v>
      </c>
      <c r="F463" s="4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4">
        <v>5</v>
      </c>
      <c r="L463" s="4" t="s">
        <v>37</v>
      </c>
      <c r="M463" s="4" t="s">
        <v>76</v>
      </c>
      <c r="N463" s="4">
        <v>401.82</v>
      </c>
    </row>
    <row r="464" spans="1:14" ht="15" customHeight="1" x14ac:dyDescent="0.2">
      <c r="A464" s="4" t="s">
        <v>1784</v>
      </c>
      <c r="B464" s="6">
        <v>45747</v>
      </c>
      <c r="C464" s="4" t="s">
        <v>1785</v>
      </c>
      <c r="D464" s="4" t="s">
        <v>25</v>
      </c>
      <c r="E464" s="4">
        <v>1</v>
      </c>
      <c r="F464" s="4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4">
        <v>1</v>
      </c>
      <c r="M464" s="4" t="s">
        <v>29</v>
      </c>
      <c r="N464" s="4">
        <v>252.68</v>
      </c>
    </row>
    <row r="465" spans="1:14" ht="15" customHeight="1" x14ac:dyDescent="0.2">
      <c r="A465" s="4" t="s">
        <v>1788</v>
      </c>
      <c r="B465" s="6">
        <v>45072</v>
      </c>
      <c r="C465" s="4" t="s">
        <v>1789</v>
      </c>
      <c r="D465" s="4" t="s">
        <v>58</v>
      </c>
      <c r="E465" s="4">
        <v>5</v>
      </c>
      <c r="F465" s="4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4">
        <v>9</v>
      </c>
      <c r="L465" s="4" t="s">
        <v>21</v>
      </c>
      <c r="M465" s="4" t="s">
        <v>22</v>
      </c>
      <c r="N465" s="4">
        <v>3313.9</v>
      </c>
    </row>
    <row r="466" spans="1:14" ht="15" customHeight="1" x14ac:dyDescent="0.2">
      <c r="A466" s="4" t="s">
        <v>1792</v>
      </c>
      <c r="B466" s="6">
        <v>44999</v>
      </c>
      <c r="C466" s="4" t="s">
        <v>1793</v>
      </c>
      <c r="D466" s="4" t="s">
        <v>32</v>
      </c>
      <c r="E466" s="4">
        <v>4</v>
      </c>
      <c r="F466" s="4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4">
        <v>6</v>
      </c>
      <c r="L466" s="4" t="s">
        <v>37</v>
      </c>
      <c r="M466" s="4" t="s">
        <v>76</v>
      </c>
      <c r="N466" s="4">
        <v>1737.68</v>
      </c>
    </row>
    <row r="467" spans="1:14" ht="15" customHeight="1" x14ac:dyDescent="0.2">
      <c r="A467" s="4" t="s">
        <v>1796</v>
      </c>
      <c r="B467" s="6">
        <v>45348</v>
      </c>
      <c r="C467" s="4" t="s">
        <v>1797</v>
      </c>
      <c r="D467" s="4" t="s">
        <v>48</v>
      </c>
      <c r="E467" s="4">
        <v>5</v>
      </c>
      <c r="F467" s="4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4">
        <v>8</v>
      </c>
      <c r="M467" s="4" t="s">
        <v>76</v>
      </c>
      <c r="N467" s="4">
        <v>2567.4499999999998</v>
      </c>
    </row>
    <row r="468" spans="1:14" ht="15" customHeight="1" x14ac:dyDescent="0.2">
      <c r="A468" s="4" t="s">
        <v>1800</v>
      </c>
      <c r="B468" s="6">
        <v>45125</v>
      </c>
      <c r="C468" s="4" t="s">
        <v>1801</v>
      </c>
      <c r="D468" s="4" t="s">
        <v>25</v>
      </c>
      <c r="E468" s="4">
        <v>1</v>
      </c>
      <c r="F468" s="4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4">
        <v>4</v>
      </c>
      <c r="L468" s="4" t="s">
        <v>37</v>
      </c>
      <c r="M468" s="4" t="s">
        <v>29</v>
      </c>
      <c r="N468" s="4">
        <v>432.47</v>
      </c>
    </row>
    <row r="469" spans="1:14" ht="15" customHeight="1" x14ac:dyDescent="0.2">
      <c r="A469" s="4" t="s">
        <v>1803</v>
      </c>
      <c r="B469" s="6">
        <v>45534</v>
      </c>
      <c r="C469" s="4" t="s">
        <v>1804</v>
      </c>
      <c r="D469" s="4" t="s">
        <v>73</v>
      </c>
      <c r="E469" s="4">
        <v>1</v>
      </c>
      <c r="F469" s="4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4">
        <v>2</v>
      </c>
      <c r="L469" s="4" t="s">
        <v>81</v>
      </c>
      <c r="M469" s="4" t="s">
        <v>38</v>
      </c>
      <c r="N469" s="4">
        <v>45.94</v>
      </c>
    </row>
    <row r="470" spans="1:14" ht="15" customHeight="1" x14ac:dyDescent="0.2">
      <c r="A470" s="4" t="s">
        <v>1806</v>
      </c>
      <c r="B470" s="6">
        <v>45829</v>
      </c>
      <c r="C470" s="4" t="s">
        <v>1807</v>
      </c>
      <c r="D470" s="4" t="s">
        <v>25</v>
      </c>
      <c r="E470" s="4">
        <v>1</v>
      </c>
      <c r="F470" s="4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4">
        <v>5</v>
      </c>
      <c r="L470" s="4" t="s">
        <v>37</v>
      </c>
      <c r="M470" s="4" t="s">
        <v>38</v>
      </c>
      <c r="N470" s="4">
        <v>418.36</v>
      </c>
    </row>
    <row r="471" spans="1:14" ht="15" customHeight="1" x14ac:dyDescent="0.2">
      <c r="A471" s="4" t="s">
        <v>1810</v>
      </c>
      <c r="B471" s="6">
        <v>45256</v>
      </c>
      <c r="C471" s="4" t="s">
        <v>1811</v>
      </c>
      <c r="D471" s="4" t="s">
        <v>41</v>
      </c>
      <c r="E471" s="4">
        <v>5</v>
      </c>
      <c r="F471" s="4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4">
        <v>5</v>
      </c>
      <c r="M471" s="4" t="s">
        <v>45</v>
      </c>
      <c r="N471" s="4">
        <v>3384.9</v>
      </c>
    </row>
    <row r="472" spans="1:14" ht="15" customHeight="1" x14ac:dyDescent="0.2">
      <c r="A472" s="4" t="s">
        <v>1813</v>
      </c>
      <c r="B472" s="6">
        <v>45198</v>
      </c>
      <c r="C472" s="4" t="s">
        <v>1814</v>
      </c>
      <c r="D472" s="4" t="s">
        <v>32</v>
      </c>
      <c r="E472" s="4">
        <v>4</v>
      </c>
      <c r="F472" s="4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4">
        <v>5</v>
      </c>
      <c r="L472" s="4" t="s">
        <v>21</v>
      </c>
      <c r="M472" s="4" t="s">
        <v>38</v>
      </c>
      <c r="N472" s="4">
        <v>1054.48</v>
      </c>
    </row>
    <row r="473" spans="1:14" ht="15" customHeight="1" x14ac:dyDescent="0.2">
      <c r="A473" s="4" t="s">
        <v>1817</v>
      </c>
      <c r="B473" s="6">
        <v>45766</v>
      </c>
      <c r="C473" s="4" t="s">
        <v>1818</v>
      </c>
      <c r="D473" s="4" t="s">
        <v>73</v>
      </c>
      <c r="E473" s="4">
        <v>5</v>
      </c>
      <c r="F473" s="4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4">
        <v>7</v>
      </c>
      <c r="L473" s="4" t="s">
        <v>37</v>
      </c>
      <c r="M473" s="4" t="s">
        <v>29</v>
      </c>
      <c r="N473" s="4">
        <v>2756.35</v>
      </c>
    </row>
    <row r="474" spans="1:14" ht="15" customHeight="1" x14ac:dyDescent="0.2">
      <c r="A474" s="4" t="s">
        <v>1821</v>
      </c>
      <c r="B474" s="6">
        <v>44932</v>
      </c>
      <c r="C474" s="4" t="s">
        <v>1822</v>
      </c>
      <c r="D474" s="4" t="s">
        <v>41</v>
      </c>
      <c r="E474" s="4">
        <v>3</v>
      </c>
      <c r="F474" s="4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4">
        <v>8</v>
      </c>
      <c r="L474" s="4" t="s">
        <v>37</v>
      </c>
      <c r="M474" s="4" t="s">
        <v>29</v>
      </c>
      <c r="N474" s="4">
        <v>1524.36</v>
      </c>
    </row>
    <row r="475" spans="1:14" ht="15" customHeight="1" x14ac:dyDescent="0.2">
      <c r="A475" s="4" t="s">
        <v>1825</v>
      </c>
      <c r="B475" s="6">
        <v>45713</v>
      </c>
      <c r="C475" s="4" t="s">
        <v>1826</v>
      </c>
      <c r="D475" s="4" t="s">
        <v>41</v>
      </c>
      <c r="E475" s="4">
        <v>2</v>
      </c>
      <c r="F475" s="4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4">
        <v>4</v>
      </c>
      <c r="M475" s="4" t="s">
        <v>45</v>
      </c>
      <c r="N475" s="4">
        <v>29.86</v>
      </c>
    </row>
    <row r="476" spans="1:14" ht="15" customHeight="1" x14ac:dyDescent="0.2">
      <c r="A476" s="4" t="s">
        <v>1829</v>
      </c>
      <c r="B476" s="6">
        <v>45245</v>
      </c>
      <c r="C476" s="4" t="s">
        <v>1830</v>
      </c>
      <c r="D476" s="4" t="s">
        <v>48</v>
      </c>
      <c r="E476" s="4">
        <v>3</v>
      </c>
      <c r="F476" s="4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4">
        <v>6</v>
      </c>
      <c r="L476" s="4" t="s">
        <v>21</v>
      </c>
      <c r="M476" s="4" t="s">
        <v>29</v>
      </c>
      <c r="N476" s="4">
        <v>688.02</v>
      </c>
    </row>
    <row r="477" spans="1:14" ht="15" customHeight="1" x14ac:dyDescent="0.2">
      <c r="A477" s="4" t="s">
        <v>1832</v>
      </c>
      <c r="B477" s="6">
        <v>45766</v>
      </c>
      <c r="C477" s="4" t="s">
        <v>1833</v>
      </c>
      <c r="D477" s="4" t="s">
        <v>32</v>
      </c>
      <c r="E477" s="4">
        <v>2</v>
      </c>
      <c r="F477" s="4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4">
        <v>3</v>
      </c>
      <c r="L477" s="4" t="s">
        <v>21</v>
      </c>
      <c r="M477" s="4" t="s">
        <v>45</v>
      </c>
      <c r="N477" s="4">
        <v>877.24</v>
      </c>
    </row>
    <row r="478" spans="1:14" ht="15" customHeight="1" x14ac:dyDescent="0.2">
      <c r="A478" s="4" t="s">
        <v>1836</v>
      </c>
      <c r="B478" s="6">
        <v>45306</v>
      </c>
      <c r="C478" s="4" t="s">
        <v>1837</v>
      </c>
      <c r="D478" s="4" t="s">
        <v>25</v>
      </c>
      <c r="E478" s="4">
        <v>2</v>
      </c>
      <c r="F478" s="4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4">
        <v>4</v>
      </c>
      <c r="L478" s="4" t="s">
        <v>37</v>
      </c>
      <c r="M478" s="4" t="s">
        <v>29</v>
      </c>
      <c r="N478" s="4">
        <v>1027.18</v>
      </c>
    </row>
    <row r="479" spans="1:14" ht="15" customHeight="1" x14ac:dyDescent="0.2">
      <c r="A479" s="4" t="s">
        <v>1840</v>
      </c>
      <c r="B479" s="6">
        <v>45721</v>
      </c>
      <c r="C479" s="4" t="s">
        <v>1841</v>
      </c>
      <c r="D479" s="4" t="s">
        <v>25</v>
      </c>
      <c r="E479" s="4">
        <v>2</v>
      </c>
      <c r="F479" s="4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4">
        <v>5</v>
      </c>
      <c r="L479" s="4" t="s">
        <v>21</v>
      </c>
      <c r="M479" s="4" t="s">
        <v>76</v>
      </c>
      <c r="N479" s="4">
        <v>507.48</v>
      </c>
    </row>
    <row r="480" spans="1:14" ht="15" customHeight="1" x14ac:dyDescent="0.2">
      <c r="A480" s="4" t="s">
        <v>1844</v>
      </c>
      <c r="B480" s="6">
        <v>45597</v>
      </c>
      <c r="C480" s="4" t="s">
        <v>1845</v>
      </c>
      <c r="D480" s="4" t="s">
        <v>32</v>
      </c>
      <c r="E480" s="4">
        <v>3</v>
      </c>
      <c r="F480" s="4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4">
        <v>6</v>
      </c>
      <c r="L480" s="4" t="s">
        <v>37</v>
      </c>
      <c r="M480" s="4" t="s">
        <v>29</v>
      </c>
      <c r="N480" s="4">
        <v>188.31</v>
      </c>
    </row>
    <row r="481" spans="1:14" ht="15" customHeight="1" x14ac:dyDescent="0.2">
      <c r="A481" s="4" t="s">
        <v>1847</v>
      </c>
      <c r="B481" s="6">
        <v>44975</v>
      </c>
      <c r="C481" s="4" t="s">
        <v>1848</v>
      </c>
      <c r="D481" s="4" t="s">
        <v>16</v>
      </c>
      <c r="E481" s="4">
        <v>4</v>
      </c>
      <c r="F481" s="4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4">
        <v>8</v>
      </c>
      <c r="M481" s="4" t="s">
        <v>76</v>
      </c>
      <c r="N481" s="4">
        <v>101.16</v>
      </c>
    </row>
    <row r="482" spans="1:14" ht="15" customHeight="1" x14ac:dyDescent="0.2">
      <c r="A482" s="4" t="s">
        <v>1851</v>
      </c>
      <c r="B482" s="6">
        <v>45093</v>
      </c>
      <c r="C482" s="4" t="s">
        <v>1852</v>
      </c>
      <c r="D482" s="4" t="s">
        <v>41</v>
      </c>
      <c r="E482" s="4">
        <v>1</v>
      </c>
      <c r="F482" s="4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4">
        <v>6</v>
      </c>
      <c r="L482" s="4" t="s">
        <v>37</v>
      </c>
      <c r="M482" s="4" t="s">
        <v>29</v>
      </c>
      <c r="N482" s="4">
        <v>335.1</v>
      </c>
    </row>
    <row r="483" spans="1:14" ht="15" customHeight="1" x14ac:dyDescent="0.2">
      <c r="A483" s="4" t="s">
        <v>1854</v>
      </c>
      <c r="B483" s="6">
        <v>45039</v>
      </c>
      <c r="C483" s="4" t="s">
        <v>1855</v>
      </c>
      <c r="D483" s="4" t="s">
        <v>58</v>
      </c>
      <c r="E483" s="4">
        <v>4</v>
      </c>
      <c r="F483" s="4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4">
        <v>5</v>
      </c>
      <c r="L483" s="4" t="s">
        <v>81</v>
      </c>
      <c r="M483" s="4" t="s">
        <v>29</v>
      </c>
      <c r="N483" s="4">
        <v>1939.4</v>
      </c>
    </row>
    <row r="484" spans="1:14" ht="15" customHeight="1" x14ac:dyDescent="0.2">
      <c r="A484" s="4" t="s">
        <v>1857</v>
      </c>
      <c r="B484" s="6">
        <v>45718</v>
      </c>
      <c r="C484" s="4" t="s">
        <v>1858</v>
      </c>
      <c r="D484" s="4" t="s">
        <v>16</v>
      </c>
      <c r="E484" s="4">
        <v>3</v>
      </c>
      <c r="F484" s="4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4">
        <v>6</v>
      </c>
      <c r="M484" s="4" t="s">
        <v>22</v>
      </c>
      <c r="N484" s="4">
        <v>1144.23</v>
      </c>
    </row>
    <row r="485" spans="1:14" ht="15" customHeight="1" x14ac:dyDescent="0.2">
      <c r="A485" s="4" t="s">
        <v>1860</v>
      </c>
      <c r="B485" s="6">
        <v>44944</v>
      </c>
      <c r="C485" s="4" t="s">
        <v>1861</v>
      </c>
      <c r="D485" s="4" t="s">
        <v>25</v>
      </c>
      <c r="E485" s="4">
        <v>5</v>
      </c>
      <c r="F485" s="4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4">
        <v>6</v>
      </c>
      <c r="L485" s="4" t="s">
        <v>81</v>
      </c>
      <c r="M485" s="4" t="s">
        <v>76</v>
      </c>
      <c r="N485" s="4">
        <v>1739.6</v>
      </c>
    </row>
    <row r="486" spans="1:14" ht="15" customHeight="1" x14ac:dyDescent="0.2">
      <c r="A486" s="4" t="s">
        <v>1864</v>
      </c>
      <c r="B486" s="6">
        <v>45441</v>
      </c>
      <c r="C486" s="4" t="s">
        <v>1865</v>
      </c>
      <c r="D486" s="4" t="s">
        <v>41</v>
      </c>
      <c r="E486" s="4">
        <v>4</v>
      </c>
      <c r="F486" s="4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4">
        <v>6</v>
      </c>
      <c r="M486" s="4" t="s">
        <v>45</v>
      </c>
      <c r="N486" s="4">
        <v>60.04</v>
      </c>
    </row>
    <row r="487" spans="1:14" ht="15" customHeight="1" x14ac:dyDescent="0.2">
      <c r="A487" s="4" t="s">
        <v>1867</v>
      </c>
      <c r="B487" s="6">
        <v>45139</v>
      </c>
      <c r="C487" s="4" t="s">
        <v>1868</v>
      </c>
      <c r="D487" s="4" t="s">
        <v>41</v>
      </c>
      <c r="E487" s="4">
        <v>3</v>
      </c>
      <c r="F487" s="4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4">
        <v>6</v>
      </c>
      <c r="L487" s="4" t="s">
        <v>21</v>
      </c>
      <c r="M487" s="4" t="s">
        <v>22</v>
      </c>
      <c r="N487" s="4">
        <v>1214.3699999999999</v>
      </c>
    </row>
    <row r="488" spans="1:14" ht="15" customHeight="1" x14ac:dyDescent="0.2">
      <c r="A488" s="4" t="s">
        <v>1871</v>
      </c>
      <c r="B488" s="6">
        <v>44960</v>
      </c>
      <c r="C488" s="4" t="s">
        <v>1872</v>
      </c>
      <c r="D488" s="4" t="s">
        <v>48</v>
      </c>
      <c r="E488" s="4">
        <v>4</v>
      </c>
      <c r="F488" s="4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4">
        <v>5</v>
      </c>
      <c r="L488" s="4" t="s">
        <v>21</v>
      </c>
      <c r="M488" s="4" t="s">
        <v>29</v>
      </c>
      <c r="N488" s="4">
        <v>2445.04</v>
      </c>
    </row>
    <row r="489" spans="1:14" ht="15" customHeight="1" x14ac:dyDescent="0.2">
      <c r="A489" s="4" t="s">
        <v>1874</v>
      </c>
      <c r="B489" s="6">
        <v>44994</v>
      </c>
      <c r="C489" s="4" t="s">
        <v>1875</v>
      </c>
      <c r="D489" s="4" t="s">
        <v>48</v>
      </c>
      <c r="E489" s="4">
        <v>3</v>
      </c>
      <c r="F489" s="4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4">
        <v>3</v>
      </c>
      <c r="L489" s="4" t="s">
        <v>21</v>
      </c>
      <c r="M489" s="4" t="s">
        <v>76</v>
      </c>
      <c r="N489" s="4">
        <v>1039.56</v>
      </c>
    </row>
    <row r="490" spans="1:14" ht="15" customHeight="1" x14ac:dyDescent="0.2">
      <c r="A490" s="4" t="s">
        <v>1878</v>
      </c>
      <c r="B490" s="6">
        <v>45631</v>
      </c>
      <c r="C490" s="4" t="s">
        <v>1879</v>
      </c>
      <c r="D490" s="4" t="s">
        <v>41</v>
      </c>
      <c r="E490" s="4">
        <v>1</v>
      </c>
      <c r="F490" s="4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4">
        <v>1</v>
      </c>
      <c r="L490" s="4" t="s">
        <v>81</v>
      </c>
      <c r="M490" s="4" t="s">
        <v>38</v>
      </c>
      <c r="N490" s="4">
        <v>36.65</v>
      </c>
    </row>
    <row r="491" spans="1:14" ht="15" customHeight="1" x14ac:dyDescent="0.2">
      <c r="A491" s="4" t="s">
        <v>1882</v>
      </c>
      <c r="B491" s="6">
        <v>45174</v>
      </c>
      <c r="C491" s="4" t="s">
        <v>1883</v>
      </c>
      <c r="D491" s="4" t="s">
        <v>32</v>
      </c>
      <c r="E491" s="4">
        <v>3</v>
      </c>
      <c r="F491" s="4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4">
        <v>7</v>
      </c>
      <c r="L491" s="4" t="s">
        <v>81</v>
      </c>
      <c r="M491" s="4" t="s">
        <v>38</v>
      </c>
      <c r="N491" s="4">
        <v>448.02</v>
      </c>
    </row>
    <row r="492" spans="1:14" ht="15" customHeight="1" x14ac:dyDescent="0.2">
      <c r="A492" s="4" t="s">
        <v>1885</v>
      </c>
      <c r="B492" s="6">
        <v>45495</v>
      </c>
      <c r="C492" s="4" t="s">
        <v>1886</v>
      </c>
      <c r="D492" s="4" t="s">
        <v>41</v>
      </c>
      <c r="E492" s="4">
        <v>5</v>
      </c>
      <c r="F492" s="4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4">
        <v>10</v>
      </c>
      <c r="M492" s="4" t="s">
        <v>45</v>
      </c>
      <c r="N492" s="4">
        <v>2339.0500000000002</v>
      </c>
    </row>
    <row r="493" spans="1:14" ht="15" customHeight="1" x14ac:dyDescent="0.2">
      <c r="A493" s="4" t="s">
        <v>1889</v>
      </c>
      <c r="B493" s="6">
        <v>44931</v>
      </c>
      <c r="C493" s="4" t="s">
        <v>1890</v>
      </c>
      <c r="D493" s="4" t="s">
        <v>25</v>
      </c>
      <c r="E493" s="4">
        <v>5</v>
      </c>
      <c r="F493" s="4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4">
        <v>5</v>
      </c>
      <c r="L493" s="4" t="s">
        <v>81</v>
      </c>
      <c r="M493" s="4" t="s">
        <v>45</v>
      </c>
      <c r="N493" s="4">
        <v>2103.5</v>
      </c>
    </row>
    <row r="494" spans="1:14" ht="15" customHeight="1" x14ac:dyDescent="0.2">
      <c r="A494" s="4" t="s">
        <v>1892</v>
      </c>
      <c r="B494" s="6">
        <v>45224</v>
      </c>
      <c r="C494" s="4" t="s">
        <v>1893</v>
      </c>
      <c r="D494" s="4" t="s">
        <v>58</v>
      </c>
      <c r="E494" s="4">
        <v>5</v>
      </c>
      <c r="F494" s="4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4">
        <v>6</v>
      </c>
      <c r="L494" s="4" t="s">
        <v>21</v>
      </c>
      <c r="M494" s="4" t="s">
        <v>22</v>
      </c>
      <c r="N494" s="4">
        <v>3032.6</v>
      </c>
    </row>
    <row r="495" spans="1:14" ht="15" customHeight="1" x14ac:dyDescent="0.2">
      <c r="A495" s="4" t="s">
        <v>1895</v>
      </c>
      <c r="B495" s="6">
        <v>45685</v>
      </c>
      <c r="C495" s="4" t="s">
        <v>1896</v>
      </c>
      <c r="D495" s="4" t="s">
        <v>25</v>
      </c>
      <c r="E495" s="4">
        <v>1</v>
      </c>
      <c r="F495" s="4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4">
        <v>4</v>
      </c>
      <c r="L495" s="4" t="s">
        <v>37</v>
      </c>
      <c r="M495" s="4" t="s">
        <v>45</v>
      </c>
      <c r="N495" s="4">
        <v>420.26</v>
      </c>
    </row>
    <row r="496" spans="1:14" ht="15" customHeight="1" x14ac:dyDescent="0.2">
      <c r="A496" s="4" t="s">
        <v>1899</v>
      </c>
      <c r="B496" s="6">
        <v>45126</v>
      </c>
      <c r="C496" s="4" t="s">
        <v>1900</v>
      </c>
      <c r="D496" s="4" t="s">
        <v>58</v>
      </c>
      <c r="E496" s="4">
        <v>3</v>
      </c>
      <c r="F496" s="4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4">
        <v>3</v>
      </c>
      <c r="L496" s="4" t="s">
        <v>37</v>
      </c>
      <c r="M496" s="4" t="s">
        <v>29</v>
      </c>
      <c r="N496" s="4">
        <v>1517.37</v>
      </c>
    </row>
    <row r="497" spans="1:14" ht="15" customHeight="1" x14ac:dyDescent="0.2">
      <c r="A497" s="4" t="s">
        <v>1903</v>
      </c>
      <c r="B497" s="6">
        <v>45813</v>
      </c>
      <c r="C497" s="4" t="s">
        <v>1904</v>
      </c>
      <c r="D497" s="4" t="s">
        <v>25</v>
      </c>
      <c r="E497" s="4">
        <v>4</v>
      </c>
      <c r="F497" s="4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4">
        <v>6</v>
      </c>
      <c r="L497" s="4" t="s">
        <v>21</v>
      </c>
      <c r="M497" s="4" t="s">
        <v>45</v>
      </c>
      <c r="N497" s="4">
        <v>1974.92</v>
      </c>
    </row>
    <row r="498" spans="1:14" ht="15" customHeight="1" x14ac:dyDescent="0.2">
      <c r="A498" s="4" t="s">
        <v>1906</v>
      </c>
      <c r="B498" s="6">
        <v>45730</v>
      </c>
      <c r="C498" s="4" t="s">
        <v>1907</v>
      </c>
      <c r="D498" s="4" t="s">
        <v>48</v>
      </c>
      <c r="E498" s="4">
        <v>3</v>
      </c>
      <c r="F498" s="4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4">
        <v>3</v>
      </c>
      <c r="L498" s="4" t="s">
        <v>21</v>
      </c>
      <c r="M498" s="4" t="s">
        <v>76</v>
      </c>
      <c r="N498" s="4">
        <v>603.63</v>
      </c>
    </row>
    <row r="499" spans="1:14" ht="15" customHeight="1" x14ac:dyDescent="0.2">
      <c r="A499" s="4" t="s">
        <v>1910</v>
      </c>
      <c r="B499" s="6">
        <v>45589</v>
      </c>
      <c r="C499" s="4" t="s">
        <v>1911</v>
      </c>
      <c r="D499" s="4" t="s">
        <v>48</v>
      </c>
      <c r="E499" s="4">
        <v>3</v>
      </c>
      <c r="F499" s="4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4">
        <v>6</v>
      </c>
      <c r="M499" s="4" t="s">
        <v>76</v>
      </c>
      <c r="N499" s="4">
        <v>336.87</v>
      </c>
    </row>
    <row r="500" spans="1:14" ht="15" customHeight="1" x14ac:dyDescent="0.2">
      <c r="A500" s="4" t="s">
        <v>1914</v>
      </c>
      <c r="B500" s="6">
        <v>45119</v>
      </c>
      <c r="C500" s="4" t="s">
        <v>1915</v>
      </c>
      <c r="D500" s="4" t="s">
        <v>32</v>
      </c>
      <c r="E500" s="4">
        <v>4</v>
      </c>
      <c r="F500" s="4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4">
        <v>8</v>
      </c>
      <c r="L500" s="4" t="s">
        <v>81</v>
      </c>
      <c r="M500" s="4" t="s">
        <v>22</v>
      </c>
      <c r="N500" s="4">
        <v>530.24</v>
      </c>
    </row>
    <row r="501" spans="1:14" ht="15" customHeight="1" x14ac:dyDescent="0.2">
      <c r="A501" s="4" t="s">
        <v>1917</v>
      </c>
      <c r="B501" s="6">
        <v>45022</v>
      </c>
      <c r="C501" s="4" t="s">
        <v>1918</v>
      </c>
      <c r="D501" s="4" t="s">
        <v>48</v>
      </c>
      <c r="E501" s="4">
        <v>3</v>
      </c>
      <c r="F501" s="4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4">
        <v>4</v>
      </c>
      <c r="L501" s="4" t="s">
        <v>21</v>
      </c>
      <c r="M501" s="4" t="s">
        <v>45</v>
      </c>
      <c r="N501" s="4">
        <v>1618.38</v>
      </c>
    </row>
    <row r="502" spans="1:14" ht="15" customHeight="1" x14ac:dyDescent="0.2">
      <c r="A502" s="4" t="s">
        <v>1921</v>
      </c>
      <c r="B502" s="6">
        <v>45389</v>
      </c>
      <c r="C502" s="4" t="s">
        <v>1922</v>
      </c>
      <c r="D502" s="4" t="s">
        <v>58</v>
      </c>
      <c r="E502" s="4">
        <v>5</v>
      </c>
      <c r="F502" s="4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4">
        <v>8</v>
      </c>
      <c r="L502" s="4" t="s">
        <v>81</v>
      </c>
      <c r="M502" s="4" t="s">
        <v>45</v>
      </c>
      <c r="N502" s="4">
        <v>2542.9499999999998</v>
      </c>
    </row>
    <row r="503" spans="1:14" ht="15" customHeight="1" x14ac:dyDescent="0.2">
      <c r="A503" s="4" t="s">
        <v>1925</v>
      </c>
      <c r="B503" s="6">
        <v>45326</v>
      </c>
      <c r="C503" s="4" t="s">
        <v>1926</v>
      </c>
      <c r="D503" s="4" t="s">
        <v>73</v>
      </c>
      <c r="E503" s="4">
        <v>4</v>
      </c>
      <c r="F503" s="4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4">
        <v>7</v>
      </c>
      <c r="L503" s="4" t="s">
        <v>21</v>
      </c>
      <c r="M503" s="4" t="s">
        <v>29</v>
      </c>
      <c r="N503" s="4">
        <v>813.84</v>
      </c>
    </row>
    <row r="504" spans="1:14" ht="15" customHeight="1" x14ac:dyDescent="0.2">
      <c r="A504" s="4" t="s">
        <v>1928</v>
      </c>
      <c r="B504" s="6">
        <v>45066</v>
      </c>
      <c r="C504" s="4" t="s">
        <v>1929</v>
      </c>
      <c r="D504" s="4" t="s">
        <v>16</v>
      </c>
      <c r="E504" s="4">
        <v>3</v>
      </c>
      <c r="F504" s="4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4">
        <v>7</v>
      </c>
      <c r="L504" s="4" t="s">
        <v>21</v>
      </c>
      <c r="M504" s="4" t="s">
        <v>38</v>
      </c>
      <c r="N504" s="4">
        <v>1695.75</v>
      </c>
    </row>
    <row r="505" spans="1:14" ht="15" customHeight="1" x14ac:dyDescent="0.2">
      <c r="A505" s="4" t="s">
        <v>1932</v>
      </c>
      <c r="B505" s="6">
        <v>45169</v>
      </c>
      <c r="C505" s="4" t="s">
        <v>1933</v>
      </c>
      <c r="D505" s="4" t="s">
        <v>32</v>
      </c>
      <c r="E505" s="4">
        <v>3</v>
      </c>
      <c r="F505" s="4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4">
        <v>4</v>
      </c>
      <c r="L505" s="4" t="s">
        <v>37</v>
      </c>
      <c r="M505" s="4" t="s">
        <v>45</v>
      </c>
      <c r="N505" s="4">
        <v>410.52</v>
      </c>
    </row>
    <row r="506" spans="1:14" ht="15" customHeight="1" x14ac:dyDescent="0.2">
      <c r="A506" s="4" t="s">
        <v>1936</v>
      </c>
      <c r="B506" s="6">
        <v>45819</v>
      </c>
      <c r="C506" s="4" t="s">
        <v>1937</v>
      </c>
      <c r="D506" s="4" t="s">
        <v>16</v>
      </c>
      <c r="E506" s="4">
        <v>2</v>
      </c>
      <c r="F506" s="4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4">
        <v>2</v>
      </c>
      <c r="L506" s="4" t="s">
        <v>81</v>
      </c>
      <c r="M506" s="4" t="s">
        <v>22</v>
      </c>
      <c r="N506" s="4">
        <v>929</v>
      </c>
    </row>
    <row r="507" spans="1:14" ht="15" customHeight="1" x14ac:dyDescent="0.2">
      <c r="A507" s="4" t="s">
        <v>1940</v>
      </c>
      <c r="B507" s="6">
        <v>45088</v>
      </c>
      <c r="C507" s="4" t="s">
        <v>1941</v>
      </c>
      <c r="D507" s="4" t="s">
        <v>48</v>
      </c>
      <c r="E507" s="4">
        <v>2</v>
      </c>
      <c r="F507" s="4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4">
        <v>7</v>
      </c>
      <c r="M507" s="4" t="s">
        <v>38</v>
      </c>
      <c r="N507" s="4">
        <v>869.94</v>
      </c>
    </row>
    <row r="508" spans="1:14" ht="15" customHeight="1" x14ac:dyDescent="0.2">
      <c r="A508" s="4" t="s">
        <v>1943</v>
      </c>
      <c r="B508" s="6">
        <v>45132</v>
      </c>
      <c r="C508" s="4" t="s">
        <v>1944</v>
      </c>
      <c r="D508" s="4" t="s">
        <v>16</v>
      </c>
      <c r="E508" s="4">
        <v>2</v>
      </c>
      <c r="F508" s="4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4">
        <v>4</v>
      </c>
      <c r="L508" s="4" t="s">
        <v>81</v>
      </c>
      <c r="M508" s="4" t="s">
        <v>22</v>
      </c>
      <c r="N508" s="4">
        <v>87.34</v>
      </c>
    </row>
    <row r="509" spans="1:14" ht="15" customHeight="1" x14ac:dyDescent="0.2">
      <c r="A509" s="4" t="s">
        <v>1947</v>
      </c>
      <c r="B509" s="6">
        <v>45112</v>
      </c>
      <c r="C509" s="4" t="s">
        <v>1948</v>
      </c>
      <c r="D509" s="4" t="s">
        <v>25</v>
      </c>
      <c r="E509" s="4">
        <v>1</v>
      </c>
      <c r="F509" s="4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4">
        <v>5</v>
      </c>
      <c r="L509" s="4" t="s">
        <v>81</v>
      </c>
      <c r="M509" s="4" t="s">
        <v>38</v>
      </c>
      <c r="N509" s="4">
        <v>171.59</v>
      </c>
    </row>
    <row r="510" spans="1:14" ht="15" customHeight="1" x14ac:dyDescent="0.2">
      <c r="A510" s="4" t="s">
        <v>1950</v>
      </c>
      <c r="B510" s="6">
        <v>45791</v>
      </c>
      <c r="C510" s="4" t="s">
        <v>1951</v>
      </c>
      <c r="D510" s="4" t="s">
        <v>25</v>
      </c>
      <c r="E510" s="4">
        <v>1</v>
      </c>
      <c r="F510" s="4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4">
        <v>1</v>
      </c>
      <c r="M510" s="4" t="s">
        <v>29</v>
      </c>
      <c r="N510" s="4">
        <v>558.27</v>
      </c>
    </row>
    <row r="511" spans="1:14" ht="15" customHeight="1" x14ac:dyDescent="0.2">
      <c r="A511" s="4" t="s">
        <v>1954</v>
      </c>
      <c r="B511" s="6">
        <v>44972</v>
      </c>
      <c r="C511" s="4" t="s">
        <v>1955</v>
      </c>
      <c r="D511" s="4" t="s">
        <v>58</v>
      </c>
      <c r="E511" s="4">
        <v>2</v>
      </c>
      <c r="F511" s="4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4">
        <v>2</v>
      </c>
      <c r="L511" s="4" t="s">
        <v>81</v>
      </c>
      <c r="M511" s="4" t="s">
        <v>76</v>
      </c>
      <c r="N511" s="4">
        <v>850.06</v>
      </c>
    </row>
    <row r="512" spans="1:14" ht="15" customHeight="1" x14ac:dyDescent="0.2">
      <c r="A512" s="4" t="s">
        <v>1958</v>
      </c>
      <c r="B512" s="6">
        <v>45642</v>
      </c>
      <c r="C512" s="4" t="s">
        <v>1959</v>
      </c>
      <c r="D512" s="4" t="s">
        <v>48</v>
      </c>
      <c r="E512" s="4">
        <v>1</v>
      </c>
      <c r="F512" s="4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4">
        <v>5</v>
      </c>
      <c r="L512" s="4" t="s">
        <v>21</v>
      </c>
      <c r="M512" s="4" t="s">
        <v>38</v>
      </c>
      <c r="N512" s="4">
        <v>376.76</v>
      </c>
    </row>
    <row r="513" spans="1:14" ht="15" customHeight="1" x14ac:dyDescent="0.2">
      <c r="A513" s="4" t="s">
        <v>1962</v>
      </c>
      <c r="B513" s="6">
        <v>45366</v>
      </c>
      <c r="C513" s="4" t="s">
        <v>1963</v>
      </c>
      <c r="D513" s="4" t="s">
        <v>16</v>
      </c>
      <c r="E513" s="4">
        <v>5</v>
      </c>
      <c r="F513" s="4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4">
        <v>7</v>
      </c>
      <c r="L513" s="4" t="s">
        <v>81</v>
      </c>
      <c r="M513" s="4" t="s">
        <v>38</v>
      </c>
      <c r="N513" s="4">
        <v>2876.2</v>
      </c>
    </row>
    <row r="514" spans="1:14" ht="15" customHeight="1" x14ac:dyDescent="0.2">
      <c r="A514" s="4" t="s">
        <v>1965</v>
      </c>
      <c r="B514" s="6">
        <v>45562</v>
      </c>
      <c r="C514" s="4" t="s">
        <v>1966</v>
      </c>
      <c r="D514" s="4" t="s">
        <v>73</v>
      </c>
      <c r="E514" s="4">
        <v>3</v>
      </c>
      <c r="F514" s="4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4">
        <v>3</v>
      </c>
      <c r="L514" s="4" t="s">
        <v>37</v>
      </c>
      <c r="M514" s="4" t="s">
        <v>22</v>
      </c>
      <c r="N514" s="4">
        <v>1704.06</v>
      </c>
    </row>
    <row r="515" spans="1:14" ht="15" customHeight="1" x14ac:dyDescent="0.2">
      <c r="A515" s="4" t="s">
        <v>1968</v>
      </c>
      <c r="B515" s="6">
        <v>45697</v>
      </c>
      <c r="C515" s="4" t="s">
        <v>1969</v>
      </c>
      <c r="D515" s="4" t="s">
        <v>32</v>
      </c>
      <c r="E515" s="4">
        <v>3</v>
      </c>
      <c r="F515" s="4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4">
        <v>8</v>
      </c>
      <c r="M515" s="4" t="s">
        <v>29</v>
      </c>
      <c r="N515" s="4">
        <v>284.64</v>
      </c>
    </row>
    <row r="516" spans="1:14" ht="15" customHeight="1" x14ac:dyDescent="0.2">
      <c r="A516" s="4" t="s">
        <v>1971</v>
      </c>
      <c r="B516" s="6">
        <v>45032</v>
      </c>
      <c r="C516" s="4" t="s">
        <v>1972</v>
      </c>
      <c r="D516" s="4" t="s">
        <v>48</v>
      </c>
      <c r="E516" s="4">
        <v>3</v>
      </c>
      <c r="F516" s="4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4">
        <v>3</v>
      </c>
      <c r="L516" s="4" t="s">
        <v>81</v>
      </c>
      <c r="M516" s="4" t="s">
        <v>22</v>
      </c>
      <c r="N516" s="4">
        <v>912.45</v>
      </c>
    </row>
    <row r="517" spans="1:14" ht="15" customHeight="1" x14ac:dyDescent="0.2">
      <c r="A517" s="4" t="s">
        <v>1974</v>
      </c>
      <c r="B517" s="6">
        <v>44999</v>
      </c>
      <c r="C517" s="4" t="s">
        <v>1975</v>
      </c>
      <c r="D517" s="4" t="s">
        <v>25</v>
      </c>
      <c r="E517" s="4">
        <v>3</v>
      </c>
      <c r="F517" s="4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4">
        <v>4</v>
      </c>
      <c r="L517" s="4" t="s">
        <v>37</v>
      </c>
      <c r="M517" s="4" t="s">
        <v>45</v>
      </c>
      <c r="N517" s="4">
        <v>1660.56</v>
      </c>
    </row>
    <row r="518" spans="1:14" ht="15" customHeight="1" x14ac:dyDescent="0.2">
      <c r="A518" s="4" t="s">
        <v>1977</v>
      </c>
      <c r="B518" s="6">
        <v>45389</v>
      </c>
      <c r="C518" s="4" t="s">
        <v>1978</v>
      </c>
      <c r="D518" s="4" t="s">
        <v>16</v>
      </c>
      <c r="E518" s="4">
        <v>3</v>
      </c>
      <c r="F518" s="4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4">
        <v>8</v>
      </c>
      <c r="M518" s="4" t="s">
        <v>45</v>
      </c>
      <c r="N518" s="4">
        <v>500.97</v>
      </c>
    </row>
    <row r="519" spans="1:14" ht="15" customHeight="1" x14ac:dyDescent="0.2">
      <c r="A519" s="4" t="s">
        <v>1980</v>
      </c>
      <c r="B519" s="6">
        <v>45391</v>
      </c>
      <c r="C519" s="4" t="s">
        <v>1981</v>
      </c>
      <c r="D519" s="4" t="s">
        <v>32</v>
      </c>
      <c r="E519" s="4">
        <v>4</v>
      </c>
      <c r="F519" s="4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4">
        <v>7</v>
      </c>
      <c r="L519" s="4" t="s">
        <v>37</v>
      </c>
      <c r="M519" s="4" t="s">
        <v>76</v>
      </c>
      <c r="N519" s="4">
        <v>793.4</v>
      </c>
    </row>
    <row r="520" spans="1:14" ht="15" customHeight="1" x14ac:dyDescent="0.2">
      <c r="A520" s="4" t="s">
        <v>1983</v>
      </c>
      <c r="B520" s="6">
        <v>45821</v>
      </c>
      <c r="C520" s="4" t="s">
        <v>1984</v>
      </c>
      <c r="D520" s="4" t="s">
        <v>48</v>
      </c>
      <c r="E520" s="4">
        <v>4</v>
      </c>
      <c r="F520" s="4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4">
        <v>9</v>
      </c>
      <c r="L520" s="4" t="s">
        <v>21</v>
      </c>
      <c r="M520" s="4" t="s">
        <v>29</v>
      </c>
      <c r="N520" s="4">
        <v>1614.32</v>
      </c>
    </row>
    <row r="521" spans="1:14" ht="15" customHeight="1" x14ac:dyDescent="0.2">
      <c r="A521" s="4" t="s">
        <v>1986</v>
      </c>
      <c r="B521" s="6">
        <v>45787</v>
      </c>
      <c r="C521" s="4" t="s">
        <v>1987</v>
      </c>
      <c r="D521" s="4" t="s">
        <v>58</v>
      </c>
      <c r="E521" s="4">
        <v>4</v>
      </c>
      <c r="F521" s="4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4">
        <v>5</v>
      </c>
      <c r="L521" s="4" t="s">
        <v>21</v>
      </c>
      <c r="M521" s="4" t="s">
        <v>38</v>
      </c>
      <c r="N521" s="4">
        <v>1857.16</v>
      </c>
    </row>
    <row r="522" spans="1:14" ht="15" customHeight="1" x14ac:dyDescent="0.2">
      <c r="A522" s="4" t="s">
        <v>1990</v>
      </c>
      <c r="B522" s="6">
        <v>44995</v>
      </c>
      <c r="C522" s="4" t="s">
        <v>1991</v>
      </c>
      <c r="D522" s="4" t="s">
        <v>16</v>
      </c>
      <c r="E522" s="4">
        <v>3</v>
      </c>
      <c r="F522" s="4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4">
        <v>5</v>
      </c>
      <c r="M522" s="4" t="s">
        <v>29</v>
      </c>
      <c r="N522" s="4">
        <v>1907.94</v>
      </c>
    </row>
    <row r="523" spans="1:14" ht="15" customHeight="1" x14ac:dyDescent="0.2">
      <c r="A523" s="4" t="s">
        <v>1994</v>
      </c>
      <c r="B523" s="6">
        <v>45347</v>
      </c>
      <c r="C523" s="4" t="s">
        <v>1995</v>
      </c>
      <c r="D523" s="4" t="s">
        <v>25</v>
      </c>
      <c r="E523" s="4">
        <v>1</v>
      </c>
      <c r="F523" s="4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4">
        <v>2</v>
      </c>
      <c r="M523" s="4" t="s">
        <v>45</v>
      </c>
      <c r="N523" s="4">
        <v>528.05999999999995</v>
      </c>
    </row>
    <row r="524" spans="1:14" ht="15" customHeight="1" x14ac:dyDescent="0.2">
      <c r="A524" s="4" t="s">
        <v>1998</v>
      </c>
      <c r="B524" s="6">
        <v>45402</v>
      </c>
      <c r="C524" s="4" t="s">
        <v>1999</v>
      </c>
      <c r="D524" s="4" t="s">
        <v>41</v>
      </c>
      <c r="E524" s="4">
        <v>1</v>
      </c>
      <c r="F524" s="4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4">
        <v>1</v>
      </c>
      <c r="L524" s="4" t="s">
        <v>37</v>
      </c>
      <c r="M524" s="4" t="s">
        <v>38</v>
      </c>
      <c r="N524" s="4">
        <v>515.32000000000005</v>
      </c>
    </row>
    <row r="525" spans="1:14" ht="15" customHeight="1" x14ac:dyDescent="0.2">
      <c r="A525" s="4" t="s">
        <v>2001</v>
      </c>
      <c r="B525" s="6">
        <v>45706</v>
      </c>
      <c r="C525" s="4" t="s">
        <v>2002</v>
      </c>
      <c r="D525" s="4" t="s">
        <v>73</v>
      </c>
      <c r="E525" s="4">
        <v>4</v>
      </c>
      <c r="F525" s="4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4">
        <v>6</v>
      </c>
      <c r="L525" s="4" t="s">
        <v>81</v>
      </c>
      <c r="M525" s="4" t="s">
        <v>76</v>
      </c>
      <c r="N525" s="4">
        <v>2631.16</v>
      </c>
    </row>
    <row r="526" spans="1:14" ht="15" customHeight="1" x14ac:dyDescent="0.2">
      <c r="A526" s="4" t="s">
        <v>2004</v>
      </c>
      <c r="B526" s="6">
        <v>45224</v>
      </c>
      <c r="C526" s="4" t="s">
        <v>2005</v>
      </c>
      <c r="D526" s="4" t="s">
        <v>25</v>
      </c>
      <c r="E526" s="4">
        <v>1</v>
      </c>
      <c r="F526" s="4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4">
        <v>4</v>
      </c>
      <c r="M526" s="4" t="s">
        <v>29</v>
      </c>
      <c r="N526" s="4">
        <v>153</v>
      </c>
    </row>
    <row r="527" spans="1:14" ht="15" customHeight="1" x14ac:dyDescent="0.2">
      <c r="A527" s="4" t="s">
        <v>2007</v>
      </c>
      <c r="B527" s="6">
        <v>45263</v>
      </c>
      <c r="C527" s="4" t="s">
        <v>2008</v>
      </c>
      <c r="D527" s="4" t="s">
        <v>16</v>
      </c>
      <c r="E527" s="4">
        <v>1</v>
      </c>
      <c r="F527" s="4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4">
        <v>1</v>
      </c>
      <c r="L527" s="4" t="s">
        <v>21</v>
      </c>
      <c r="M527" s="4" t="s">
        <v>38</v>
      </c>
      <c r="N527" s="4">
        <v>668.48</v>
      </c>
    </row>
    <row r="528" spans="1:14" ht="15" customHeight="1" x14ac:dyDescent="0.2">
      <c r="A528" s="4" t="s">
        <v>2010</v>
      </c>
      <c r="B528" s="6">
        <v>45351</v>
      </c>
      <c r="C528" s="4" t="s">
        <v>2011</v>
      </c>
      <c r="D528" s="4" t="s">
        <v>73</v>
      </c>
      <c r="E528" s="4">
        <v>2</v>
      </c>
      <c r="F528" s="4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4">
        <v>7</v>
      </c>
      <c r="L528" s="4" t="s">
        <v>81</v>
      </c>
      <c r="M528" s="4" t="s">
        <v>76</v>
      </c>
      <c r="N528" s="4">
        <v>93</v>
      </c>
    </row>
    <row r="529" spans="1:14" ht="15" customHeight="1" x14ac:dyDescent="0.2">
      <c r="A529" s="4" t="s">
        <v>2013</v>
      </c>
      <c r="B529" s="6">
        <v>45523</v>
      </c>
      <c r="C529" s="4" t="s">
        <v>2014</v>
      </c>
      <c r="D529" s="4" t="s">
        <v>41</v>
      </c>
      <c r="E529" s="4">
        <v>5</v>
      </c>
      <c r="F529" s="4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4">
        <v>10</v>
      </c>
      <c r="L529" s="4" t="s">
        <v>21</v>
      </c>
      <c r="M529" s="4" t="s">
        <v>29</v>
      </c>
      <c r="N529" s="4">
        <v>3267.35</v>
      </c>
    </row>
    <row r="530" spans="1:14" ht="15" customHeight="1" x14ac:dyDescent="0.2">
      <c r="A530" s="4" t="s">
        <v>2016</v>
      </c>
      <c r="B530" s="6">
        <v>45714</v>
      </c>
      <c r="C530" s="4" t="s">
        <v>2017</v>
      </c>
      <c r="D530" s="4" t="s">
        <v>41</v>
      </c>
      <c r="E530" s="4">
        <v>1</v>
      </c>
      <c r="F530" s="4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4">
        <v>2</v>
      </c>
      <c r="L530" s="4" t="s">
        <v>21</v>
      </c>
      <c r="M530" s="4" t="s">
        <v>29</v>
      </c>
      <c r="N530" s="4">
        <v>628.89</v>
      </c>
    </row>
    <row r="531" spans="1:14" ht="15" customHeight="1" x14ac:dyDescent="0.2">
      <c r="A531" s="4" t="s">
        <v>2019</v>
      </c>
      <c r="B531" s="6">
        <v>45389</v>
      </c>
      <c r="C531" s="4" t="s">
        <v>2020</v>
      </c>
      <c r="D531" s="4" t="s">
        <v>32</v>
      </c>
      <c r="E531" s="4">
        <v>2</v>
      </c>
      <c r="F531" s="4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4">
        <v>4</v>
      </c>
      <c r="L531" s="4" t="s">
        <v>37</v>
      </c>
      <c r="M531" s="4" t="s">
        <v>76</v>
      </c>
      <c r="N531" s="4">
        <v>1350.2</v>
      </c>
    </row>
    <row r="532" spans="1:14" ht="15" customHeight="1" x14ac:dyDescent="0.2">
      <c r="A532" s="4" t="s">
        <v>2023</v>
      </c>
      <c r="B532" s="6">
        <v>45491</v>
      </c>
      <c r="C532" s="4" t="s">
        <v>2024</v>
      </c>
      <c r="D532" s="4" t="s">
        <v>41</v>
      </c>
      <c r="E532" s="4">
        <v>4</v>
      </c>
      <c r="F532" s="4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4">
        <v>9</v>
      </c>
      <c r="M532" s="4" t="s">
        <v>76</v>
      </c>
      <c r="N532" s="4">
        <v>357.64</v>
      </c>
    </row>
    <row r="533" spans="1:14" ht="15" customHeight="1" x14ac:dyDescent="0.2">
      <c r="A533" s="4" t="s">
        <v>2027</v>
      </c>
      <c r="B533" s="6">
        <v>45475</v>
      </c>
      <c r="C533" s="4" t="s">
        <v>2028</v>
      </c>
      <c r="D533" s="4" t="s">
        <v>73</v>
      </c>
      <c r="E533" s="4">
        <v>5</v>
      </c>
      <c r="F533" s="4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4">
        <v>6</v>
      </c>
      <c r="M533" s="4" t="s">
        <v>29</v>
      </c>
      <c r="N533" s="4">
        <v>1600.05</v>
      </c>
    </row>
    <row r="534" spans="1:14" ht="15" customHeight="1" x14ac:dyDescent="0.2">
      <c r="A534" s="4" t="s">
        <v>2031</v>
      </c>
      <c r="B534" s="6">
        <v>45780</v>
      </c>
      <c r="C534" s="4" t="s">
        <v>2032</v>
      </c>
      <c r="D534" s="4" t="s">
        <v>58</v>
      </c>
      <c r="E534" s="4">
        <v>2</v>
      </c>
      <c r="F534" s="4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4">
        <v>7</v>
      </c>
      <c r="M534" s="4" t="s">
        <v>38</v>
      </c>
      <c r="N534" s="4">
        <v>82</v>
      </c>
    </row>
    <row r="535" spans="1:14" ht="15" customHeight="1" x14ac:dyDescent="0.2">
      <c r="A535" s="4" t="s">
        <v>2035</v>
      </c>
      <c r="B535" s="6">
        <v>44990</v>
      </c>
      <c r="C535" s="4" t="s">
        <v>2036</v>
      </c>
      <c r="D535" s="4" t="s">
        <v>73</v>
      </c>
      <c r="E535" s="4">
        <v>1</v>
      </c>
      <c r="F535" s="4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4">
        <v>1</v>
      </c>
      <c r="L535" s="4" t="s">
        <v>37</v>
      </c>
      <c r="M535" s="4" t="s">
        <v>45</v>
      </c>
      <c r="N535" s="4">
        <v>565.85</v>
      </c>
    </row>
    <row r="536" spans="1:14" ht="15" customHeight="1" x14ac:dyDescent="0.2">
      <c r="A536" s="4" t="s">
        <v>2038</v>
      </c>
      <c r="B536" s="6">
        <v>45449</v>
      </c>
      <c r="C536" s="4" t="s">
        <v>2039</v>
      </c>
      <c r="D536" s="4" t="s">
        <v>41</v>
      </c>
      <c r="E536" s="4">
        <v>3</v>
      </c>
      <c r="F536" s="4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4">
        <v>4</v>
      </c>
      <c r="L536" s="4" t="s">
        <v>21</v>
      </c>
      <c r="M536" s="4" t="s">
        <v>38</v>
      </c>
      <c r="N536" s="4">
        <v>1945.77</v>
      </c>
    </row>
    <row r="537" spans="1:14" ht="15" customHeight="1" x14ac:dyDescent="0.2">
      <c r="A537" s="4" t="s">
        <v>2042</v>
      </c>
      <c r="B537" s="6">
        <v>45497</v>
      </c>
      <c r="C537" s="4" t="s">
        <v>2043</v>
      </c>
      <c r="D537" s="4" t="s">
        <v>16</v>
      </c>
      <c r="E537" s="4">
        <v>3</v>
      </c>
      <c r="F537" s="4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4">
        <v>3</v>
      </c>
      <c r="L537" s="4" t="s">
        <v>37</v>
      </c>
      <c r="M537" s="4" t="s">
        <v>38</v>
      </c>
      <c r="N537" s="4">
        <v>204.36</v>
      </c>
    </row>
    <row r="538" spans="1:14" ht="15" customHeight="1" x14ac:dyDescent="0.2">
      <c r="A538" s="4" t="s">
        <v>2045</v>
      </c>
      <c r="B538" s="6">
        <v>45452</v>
      </c>
      <c r="C538" s="4" t="s">
        <v>2046</v>
      </c>
      <c r="D538" s="4" t="s">
        <v>41</v>
      </c>
      <c r="E538" s="4">
        <v>1</v>
      </c>
      <c r="F538" s="4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4">
        <v>6</v>
      </c>
      <c r="M538" s="4" t="s">
        <v>38</v>
      </c>
      <c r="N538" s="4">
        <v>616.1</v>
      </c>
    </row>
    <row r="539" spans="1:14" ht="15" customHeight="1" x14ac:dyDescent="0.2">
      <c r="A539" s="4" t="s">
        <v>2049</v>
      </c>
      <c r="B539" s="6">
        <v>45739</v>
      </c>
      <c r="C539" s="4" t="s">
        <v>2050</v>
      </c>
      <c r="D539" s="4" t="s">
        <v>32</v>
      </c>
      <c r="E539" s="4">
        <v>3</v>
      </c>
      <c r="F539" s="4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4">
        <v>4</v>
      </c>
      <c r="L539" s="4" t="s">
        <v>21</v>
      </c>
      <c r="M539" s="4" t="s">
        <v>45</v>
      </c>
      <c r="N539" s="4">
        <v>742.41</v>
      </c>
    </row>
    <row r="540" spans="1:14" ht="15" customHeight="1" x14ac:dyDescent="0.2">
      <c r="A540" s="4" t="s">
        <v>2052</v>
      </c>
      <c r="B540" s="6">
        <v>45436</v>
      </c>
      <c r="C540" s="4" t="s">
        <v>2053</v>
      </c>
      <c r="D540" s="4" t="s">
        <v>25</v>
      </c>
      <c r="E540" s="4">
        <v>3</v>
      </c>
      <c r="F540" s="4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4">
        <v>3</v>
      </c>
      <c r="L540" s="4" t="s">
        <v>81</v>
      </c>
      <c r="M540" s="4" t="s">
        <v>38</v>
      </c>
      <c r="N540" s="4">
        <v>1472.22</v>
      </c>
    </row>
    <row r="541" spans="1:14" ht="15" customHeight="1" x14ac:dyDescent="0.2">
      <c r="A541" s="4" t="s">
        <v>2056</v>
      </c>
      <c r="B541" s="6">
        <v>45706</v>
      </c>
      <c r="C541" s="4" t="s">
        <v>2057</v>
      </c>
      <c r="D541" s="4" t="s">
        <v>73</v>
      </c>
      <c r="E541" s="4">
        <v>3</v>
      </c>
      <c r="F541" s="4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4">
        <v>7</v>
      </c>
      <c r="L541" s="4" t="s">
        <v>21</v>
      </c>
      <c r="M541" s="4" t="s">
        <v>76</v>
      </c>
      <c r="N541" s="4">
        <v>1595.16</v>
      </c>
    </row>
    <row r="542" spans="1:14" ht="15" customHeight="1" x14ac:dyDescent="0.2">
      <c r="A542" s="4" t="s">
        <v>2060</v>
      </c>
      <c r="B542" s="6">
        <v>45320</v>
      </c>
      <c r="C542" s="4" t="s">
        <v>2061</v>
      </c>
      <c r="D542" s="4" t="s">
        <v>58</v>
      </c>
      <c r="E542" s="4">
        <v>5</v>
      </c>
      <c r="F542" s="4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4">
        <v>7</v>
      </c>
      <c r="M542" s="4" t="s">
        <v>29</v>
      </c>
      <c r="N542" s="4">
        <v>3243.25</v>
      </c>
    </row>
    <row r="543" spans="1:14" ht="15" customHeight="1" x14ac:dyDescent="0.2">
      <c r="A543" s="4" t="s">
        <v>2064</v>
      </c>
      <c r="B543" s="6">
        <v>45145</v>
      </c>
      <c r="C543" s="4" t="s">
        <v>2065</v>
      </c>
      <c r="D543" s="4" t="s">
        <v>48</v>
      </c>
      <c r="E543" s="4">
        <v>5</v>
      </c>
      <c r="F543" s="4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4">
        <v>10</v>
      </c>
      <c r="M543" s="4" t="s">
        <v>22</v>
      </c>
      <c r="N543" s="4">
        <v>2280.3000000000002</v>
      </c>
    </row>
    <row r="544" spans="1:14" ht="15" customHeight="1" x14ac:dyDescent="0.2">
      <c r="A544" s="4" t="s">
        <v>2068</v>
      </c>
      <c r="B544" s="6">
        <v>45244</v>
      </c>
      <c r="C544" s="4" t="s">
        <v>2069</v>
      </c>
      <c r="D544" s="4" t="s">
        <v>32</v>
      </c>
      <c r="E544" s="4">
        <v>1</v>
      </c>
      <c r="F544" s="4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4">
        <v>6</v>
      </c>
      <c r="L544" s="4" t="s">
        <v>37</v>
      </c>
      <c r="M544" s="4" t="s">
        <v>38</v>
      </c>
      <c r="N544" s="4">
        <v>17.98</v>
      </c>
    </row>
    <row r="545" spans="1:14" ht="15" customHeight="1" x14ac:dyDescent="0.2">
      <c r="A545" s="4" t="s">
        <v>2071</v>
      </c>
      <c r="B545" s="6">
        <v>45360</v>
      </c>
      <c r="C545" s="4" t="s">
        <v>2072</v>
      </c>
      <c r="D545" s="4" t="s">
        <v>73</v>
      </c>
      <c r="E545" s="4">
        <v>5</v>
      </c>
      <c r="F545" s="4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4">
        <v>6</v>
      </c>
      <c r="L545" s="4" t="s">
        <v>81</v>
      </c>
      <c r="M545" s="4" t="s">
        <v>45</v>
      </c>
      <c r="N545" s="4">
        <v>1349.3</v>
      </c>
    </row>
    <row r="546" spans="1:14" ht="15" customHeight="1" x14ac:dyDescent="0.2">
      <c r="A546" s="4" t="s">
        <v>2074</v>
      </c>
      <c r="B546" s="6">
        <v>45361</v>
      </c>
      <c r="C546" s="4" t="s">
        <v>2075</v>
      </c>
      <c r="D546" s="4" t="s">
        <v>48</v>
      </c>
      <c r="E546" s="4">
        <v>5</v>
      </c>
      <c r="F546" s="4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4">
        <v>5</v>
      </c>
      <c r="L546" s="4" t="s">
        <v>37</v>
      </c>
      <c r="M546" s="4" t="s">
        <v>29</v>
      </c>
      <c r="N546" s="4">
        <v>159.80000000000001</v>
      </c>
    </row>
    <row r="547" spans="1:14" ht="15" customHeight="1" x14ac:dyDescent="0.2">
      <c r="A547" s="4" t="s">
        <v>2077</v>
      </c>
      <c r="B547" s="6">
        <v>45279</v>
      </c>
      <c r="C547" s="4" t="s">
        <v>2078</v>
      </c>
      <c r="D547" s="4" t="s">
        <v>16</v>
      </c>
      <c r="E547" s="4">
        <v>2</v>
      </c>
      <c r="F547" s="4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4">
        <v>3</v>
      </c>
      <c r="M547" s="4" t="s">
        <v>22</v>
      </c>
      <c r="N547" s="4">
        <v>196.94</v>
      </c>
    </row>
    <row r="548" spans="1:14" ht="15" customHeight="1" x14ac:dyDescent="0.2">
      <c r="A548" s="4" t="s">
        <v>2081</v>
      </c>
      <c r="B548" s="6">
        <v>45352</v>
      </c>
      <c r="C548" s="4" t="s">
        <v>2082</v>
      </c>
      <c r="D548" s="4" t="s">
        <v>16</v>
      </c>
      <c r="E548" s="4">
        <v>1</v>
      </c>
      <c r="F548" s="4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4">
        <v>6</v>
      </c>
      <c r="L548" s="4" t="s">
        <v>81</v>
      </c>
      <c r="M548" s="4" t="s">
        <v>22</v>
      </c>
      <c r="N548" s="4">
        <v>158.68</v>
      </c>
    </row>
    <row r="549" spans="1:14" ht="15" customHeight="1" x14ac:dyDescent="0.2">
      <c r="A549" s="4" t="s">
        <v>2084</v>
      </c>
      <c r="B549" s="6">
        <v>45158</v>
      </c>
      <c r="C549" s="4" t="s">
        <v>2085</v>
      </c>
      <c r="D549" s="4" t="s">
        <v>25</v>
      </c>
      <c r="E549" s="4">
        <v>1</v>
      </c>
      <c r="F549" s="4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4">
        <v>4</v>
      </c>
      <c r="L549" s="4" t="s">
        <v>37</v>
      </c>
      <c r="M549" s="4" t="s">
        <v>45</v>
      </c>
      <c r="N549" s="4">
        <v>613.98</v>
      </c>
    </row>
    <row r="550" spans="1:14" ht="15" customHeight="1" x14ac:dyDescent="0.2">
      <c r="A550" s="4" t="s">
        <v>2088</v>
      </c>
      <c r="B550" s="6">
        <v>45296</v>
      </c>
      <c r="C550" s="4" t="s">
        <v>2089</v>
      </c>
      <c r="D550" s="4" t="s">
        <v>48</v>
      </c>
      <c r="E550" s="4">
        <v>3</v>
      </c>
      <c r="F550" s="4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4">
        <v>5</v>
      </c>
      <c r="L550" s="4" t="s">
        <v>81</v>
      </c>
      <c r="M550" s="4" t="s">
        <v>22</v>
      </c>
      <c r="N550" s="4">
        <v>1278.3599999999999</v>
      </c>
    </row>
    <row r="551" spans="1:14" ht="15" customHeight="1" x14ac:dyDescent="0.2">
      <c r="A551" s="4" t="s">
        <v>2091</v>
      </c>
      <c r="B551" s="6">
        <v>45713</v>
      </c>
      <c r="C551" s="4" t="s">
        <v>2092</v>
      </c>
      <c r="D551" s="4" t="s">
        <v>16</v>
      </c>
      <c r="E551" s="4">
        <v>4</v>
      </c>
      <c r="F551" s="4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4">
        <v>8</v>
      </c>
      <c r="L551" s="4" t="s">
        <v>81</v>
      </c>
      <c r="M551" s="4" t="s">
        <v>22</v>
      </c>
      <c r="N551" s="4">
        <v>2519.52</v>
      </c>
    </row>
    <row r="552" spans="1:14" ht="15" customHeight="1" x14ac:dyDescent="0.2">
      <c r="A552" s="4" t="s">
        <v>2095</v>
      </c>
      <c r="B552" s="6">
        <v>45228</v>
      </c>
      <c r="C552" s="4" t="s">
        <v>2096</v>
      </c>
      <c r="D552" s="4" t="s">
        <v>58</v>
      </c>
      <c r="E552" s="4">
        <v>4</v>
      </c>
      <c r="F552" s="4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4">
        <v>4</v>
      </c>
      <c r="L552" s="4" t="s">
        <v>37</v>
      </c>
      <c r="M552" s="4" t="s">
        <v>76</v>
      </c>
      <c r="N552" s="4">
        <v>915.64</v>
      </c>
    </row>
    <row r="553" spans="1:14" ht="15" customHeight="1" x14ac:dyDescent="0.2">
      <c r="A553" s="4" t="s">
        <v>2098</v>
      </c>
      <c r="B553" s="6">
        <v>45064</v>
      </c>
      <c r="C553" s="4" t="s">
        <v>2099</v>
      </c>
      <c r="D553" s="4" t="s">
        <v>58</v>
      </c>
      <c r="E553" s="4">
        <v>1</v>
      </c>
      <c r="F553" s="4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4">
        <v>6</v>
      </c>
      <c r="L553" s="4" t="s">
        <v>81</v>
      </c>
      <c r="M553" s="4" t="s">
        <v>38</v>
      </c>
      <c r="N553" s="4">
        <v>120.98</v>
      </c>
    </row>
    <row r="554" spans="1:14" ht="15" customHeight="1" x14ac:dyDescent="0.2">
      <c r="A554" s="4" t="s">
        <v>2101</v>
      </c>
      <c r="B554" s="6">
        <v>45199</v>
      </c>
      <c r="C554" s="4" t="s">
        <v>2102</v>
      </c>
      <c r="D554" s="4" t="s">
        <v>41</v>
      </c>
      <c r="E554" s="4">
        <v>4</v>
      </c>
      <c r="F554" s="4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4">
        <v>8</v>
      </c>
      <c r="L554" s="4" t="s">
        <v>81</v>
      </c>
      <c r="M554" s="4" t="s">
        <v>45</v>
      </c>
      <c r="N554" s="4">
        <v>1700.72</v>
      </c>
    </row>
    <row r="555" spans="1:14" ht="15" customHeight="1" x14ac:dyDescent="0.2">
      <c r="A555" s="4" t="s">
        <v>2104</v>
      </c>
      <c r="B555" s="6">
        <v>45161</v>
      </c>
      <c r="C555" s="4" t="s">
        <v>2105</v>
      </c>
      <c r="D555" s="4" t="s">
        <v>25</v>
      </c>
      <c r="E555" s="4">
        <v>2</v>
      </c>
      <c r="F555" s="4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4">
        <v>4</v>
      </c>
      <c r="L555" s="4" t="s">
        <v>37</v>
      </c>
      <c r="M555" s="4" t="s">
        <v>29</v>
      </c>
      <c r="N555" s="4">
        <v>667.66</v>
      </c>
    </row>
    <row r="556" spans="1:14" ht="15" customHeight="1" x14ac:dyDescent="0.2">
      <c r="A556" s="4" t="s">
        <v>2108</v>
      </c>
      <c r="B556" s="6">
        <v>45807</v>
      </c>
      <c r="C556" s="4" t="s">
        <v>2109</v>
      </c>
      <c r="D556" s="4" t="s">
        <v>58</v>
      </c>
      <c r="E556" s="4">
        <v>2</v>
      </c>
      <c r="F556" s="4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4">
        <v>5</v>
      </c>
      <c r="L556" s="4" t="s">
        <v>37</v>
      </c>
      <c r="M556" s="4" t="s">
        <v>22</v>
      </c>
      <c r="N556" s="4">
        <v>985.8</v>
      </c>
    </row>
    <row r="557" spans="1:14" ht="15" customHeight="1" x14ac:dyDescent="0.2">
      <c r="A557" s="4" t="s">
        <v>2111</v>
      </c>
      <c r="B557" s="6">
        <v>44933</v>
      </c>
      <c r="C557" s="4" t="s">
        <v>2112</v>
      </c>
      <c r="D557" s="4" t="s">
        <v>32</v>
      </c>
      <c r="E557" s="4">
        <v>1</v>
      </c>
      <c r="F557" s="4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4">
        <v>2</v>
      </c>
      <c r="M557" s="4" t="s">
        <v>45</v>
      </c>
      <c r="N557" s="4">
        <v>92.04</v>
      </c>
    </row>
    <row r="558" spans="1:14" ht="15" customHeight="1" x14ac:dyDescent="0.2">
      <c r="A558" s="4" t="s">
        <v>2114</v>
      </c>
      <c r="B558" s="6">
        <v>44954</v>
      </c>
      <c r="C558" s="4" t="s">
        <v>2115</v>
      </c>
      <c r="D558" s="4" t="s">
        <v>58</v>
      </c>
      <c r="E558" s="4">
        <v>1</v>
      </c>
      <c r="F558" s="4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4">
        <v>2</v>
      </c>
      <c r="L558" s="4" t="s">
        <v>21</v>
      </c>
      <c r="M558" s="4" t="s">
        <v>45</v>
      </c>
      <c r="N558" s="4">
        <v>654.27</v>
      </c>
    </row>
    <row r="559" spans="1:14" ht="15" customHeight="1" x14ac:dyDescent="0.2">
      <c r="A559" s="4" t="s">
        <v>2118</v>
      </c>
      <c r="B559" s="6">
        <v>45106</v>
      </c>
      <c r="C559" s="4" t="s">
        <v>2119</v>
      </c>
      <c r="D559" s="4" t="s">
        <v>32</v>
      </c>
      <c r="E559" s="4">
        <v>1</v>
      </c>
      <c r="F559" s="4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4">
        <v>1</v>
      </c>
      <c r="L559" s="4" t="s">
        <v>81</v>
      </c>
      <c r="M559" s="4" t="s">
        <v>45</v>
      </c>
      <c r="N559" s="4">
        <v>56.2</v>
      </c>
    </row>
    <row r="560" spans="1:14" ht="15" customHeight="1" x14ac:dyDescent="0.2">
      <c r="A560" s="4" t="s">
        <v>2122</v>
      </c>
      <c r="B560" s="6">
        <v>45489</v>
      </c>
      <c r="C560" s="4" t="s">
        <v>2123</v>
      </c>
      <c r="D560" s="4" t="s">
        <v>25</v>
      </c>
      <c r="E560" s="4">
        <v>4</v>
      </c>
      <c r="F560" s="4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4">
        <v>6</v>
      </c>
      <c r="L560" s="4" t="s">
        <v>81</v>
      </c>
      <c r="M560" s="4" t="s">
        <v>22</v>
      </c>
      <c r="N560" s="4">
        <v>2512.48</v>
      </c>
    </row>
    <row r="561" spans="1:14" ht="15" customHeight="1" x14ac:dyDescent="0.2">
      <c r="A561" s="4" t="s">
        <v>2126</v>
      </c>
      <c r="B561" s="6">
        <v>45397</v>
      </c>
      <c r="C561" s="4" t="s">
        <v>2127</v>
      </c>
      <c r="D561" s="4" t="s">
        <v>73</v>
      </c>
      <c r="E561" s="4">
        <v>3</v>
      </c>
      <c r="F561" s="4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4">
        <v>7</v>
      </c>
      <c r="L561" s="4" t="s">
        <v>81</v>
      </c>
      <c r="M561" s="4" t="s">
        <v>38</v>
      </c>
      <c r="N561" s="4">
        <v>472.2</v>
      </c>
    </row>
    <row r="562" spans="1:14" ht="15" customHeight="1" x14ac:dyDescent="0.2">
      <c r="A562" s="4" t="s">
        <v>2129</v>
      </c>
      <c r="B562" s="6">
        <v>44957</v>
      </c>
      <c r="C562" s="4" t="s">
        <v>2130</v>
      </c>
      <c r="D562" s="4" t="s">
        <v>16</v>
      </c>
      <c r="E562" s="4">
        <v>4</v>
      </c>
      <c r="F562" s="4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4">
        <v>7</v>
      </c>
      <c r="M562" s="4" t="s">
        <v>38</v>
      </c>
      <c r="N562" s="4">
        <v>2355.4</v>
      </c>
    </row>
    <row r="563" spans="1:14" ht="15" customHeight="1" x14ac:dyDescent="0.2">
      <c r="A563" s="4" t="s">
        <v>2133</v>
      </c>
      <c r="B563" s="6">
        <v>44957</v>
      </c>
      <c r="C563" s="4" t="s">
        <v>2134</v>
      </c>
      <c r="D563" s="4" t="s">
        <v>48</v>
      </c>
      <c r="E563" s="4">
        <v>2</v>
      </c>
      <c r="F563" s="4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4">
        <v>2</v>
      </c>
      <c r="M563" s="4" t="s">
        <v>76</v>
      </c>
      <c r="N563" s="4">
        <v>989.56</v>
      </c>
    </row>
    <row r="564" spans="1:14" ht="15" customHeight="1" x14ac:dyDescent="0.2">
      <c r="A564" s="4" t="s">
        <v>2137</v>
      </c>
      <c r="B564" s="6">
        <v>45205</v>
      </c>
      <c r="C564" s="4" t="s">
        <v>2138</v>
      </c>
      <c r="D564" s="4" t="s">
        <v>58</v>
      </c>
      <c r="E564" s="4">
        <v>3</v>
      </c>
      <c r="F564" s="4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4">
        <v>6</v>
      </c>
      <c r="L564" s="4" t="s">
        <v>37</v>
      </c>
      <c r="M564" s="4" t="s">
        <v>38</v>
      </c>
      <c r="N564" s="4">
        <v>1991.79</v>
      </c>
    </row>
    <row r="565" spans="1:14" ht="15" customHeight="1" x14ac:dyDescent="0.2">
      <c r="A565" s="4" t="s">
        <v>2140</v>
      </c>
      <c r="B565" s="6">
        <v>45272</v>
      </c>
      <c r="C565" s="4" t="s">
        <v>2141</v>
      </c>
      <c r="D565" s="4" t="s">
        <v>58</v>
      </c>
      <c r="E565" s="4">
        <v>1</v>
      </c>
      <c r="F565" s="4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4">
        <v>1</v>
      </c>
      <c r="L565" s="4" t="s">
        <v>21</v>
      </c>
      <c r="M565" s="4" t="s">
        <v>29</v>
      </c>
      <c r="N565" s="4">
        <v>132.68</v>
      </c>
    </row>
    <row r="566" spans="1:14" ht="15" customHeight="1" x14ac:dyDescent="0.2">
      <c r="A566" s="4" t="s">
        <v>2144</v>
      </c>
      <c r="B566" s="6">
        <v>45755</v>
      </c>
      <c r="C566" s="4" t="s">
        <v>2145</v>
      </c>
      <c r="D566" s="4" t="s">
        <v>73</v>
      </c>
      <c r="E566" s="4">
        <v>5</v>
      </c>
      <c r="F566" s="4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4">
        <v>5</v>
      </c>
      <c r="L566" s="4" t="s">
        <v>81</v>
      </c>
      <c r="M566" s="4" t="s">
        <v>76</v>
      </c>
      <c r="N566" s="4">
        <v>1821.4</v>
      </c>
    </row>
    <row r="567" spans="1:14" ht="15" customHeight="1" x14ac:dyDescent="0.2">
      <c r="A567" s="4" t="s">
        <v>2148</v>
      </c>
      <c r="B567" s="6">
        <v>45060</v>
      </c>
      <c r="C567" s="4" t="s">
        <v>2149</v>
      </c>
      <c r="D567" s="4" t="s">
        <v>32</v>
      </c>
      <c r="E567" s="4">
        <v>5</v>
      </c>
      <c r="F567" s="4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4">
        <v>10</v>
      </c>
      <c r="M567" s="4" t="s">
        <v>45</v>
      </c>
      <c r="N567" s="4">
        <v>1539.9</v>
      </c>
    </row>
    <row r="568" spans="1:14" ht="15" customHeight="1" x14ac:dyDescent="0.2">
      <c r="A568" s="4" t="s">
        <v>2151</v>
      </c>
      <c r="B568" s="6">
        <v>45400</v>
      </c>
      <c r="C568" s="4" t="s">
        <v>2152</v>
      </c>
      <c r="D568" s="4" t="s">
        <v>25</v>
      </c>
      <c r="E568" s="4">
        <v>4</v>
      </c>
      <c r="F568" s="4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4">
        <v>7</v>
      </c>
      <c r="L568" s="4" t="s">
        <v>37</v>
      </c>
      <c r="M568" s="4" t="s">
        <v>38</v>
      </c>
      <c r="N568" s="4">
        <v>650.84</v>
      </c>
    </row>
    <row r="569" spans="1:14" ht="15" customHeight="1" x14ac:dyDescent="0.2">
      <c r="A569" s="4" t="s">
        <v>2155</v>
      </c>
      <c r="B569" s="6">
        <v>45565</v>
      </c>
      <c r="C569" s="4" t="s">
        <v>2156</v>
      </c>
      <c r="D569" s="4" t="s">
        <v>41</v>
      </c>
      <c r="E569" s="4">
        <v>5</v>
      </c>
      <c r="F569" s="4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4">
        <v>10</v>
      </c>
      <c r="L569" s="4" t="s">
        <v>37</v>
      </c>
      <c r="M569" s="4" t="s">
        <v>38</v>
      </c>
      <c r="N569" s="4">
        <v>2464.6999999999998</v>
      </c>
    </row>
    <row r="570" spans="1:14" ht="15" customHeight="1" x14ac:dyDescent="0.2">
      <c r="A570" s="4" t="s">
        <v>2158</v>
      </c>
      <c r="B570" s="6">
        <v>44995</v>
      </c>
      <c r="C570" s="4" t="s">
        <v>2159</v>
      </c>
      <c r="D570" s="4" t="s">
        <v>58</v>
      </c>
      <c r="E570" s="4">
        <v>2</v>
      </c>
      <c r="F570" s="4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4">
        <v>4</v>
      </c>
      <c r="M570" s="4" t="s">
        <v>76</v>
      </c>
      <c r="N570" s="4">
        <v>687.98</v>
      </c>
    </row>
    <row r="571" spans="1:14" ht="15" customHeight="1" x14ac:dyDescent="0.2">
      <c r="A571" s="4" t="s">
        <v>2161</v>
      </c>
      <c r="B571" s="6">
        <v>45738</v>
      </c>
      <c r="C571" s="4" t="s">
        <v>2162</v>
      </c>
      <c r="D571" s="4" t="s">
        <v>73</v>
      </c>
      <c r="E571" s="4">
        <v>5</v>
      </c>
      <c r="F571" s="4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4">
        <v>8</v>
      </c>
      <c r="L571" s="4" t="s">
        <v>21</v>
      </c>
      <c r="M571" s="4" t="s">
        <v>22</v>
      </c>
      <c r="N571" s="4">
        <v>1253.4000000000001</v>
      </c>
    </row>
    <row r="572" spans="1:14" ht="15" customHeight="1" x14ac:dyDescent="0.2">
      <c r="A572" s="4" t="s">
        <v>2164</v>
      </c>
      <c r="B572" s="6">
        <v>45653</v>
      </c>
      <c r="C572" s="4" t="s">
        <v>2165</v>
      </c>
      <c r="D572" s="4" t="s">
        <v>73</v>
      </c>
      <c r="E572" s="4">
        <v>2</v>
      </c>
      <c r="F572" s="4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4">
        <v>2</v>
      </c>
      <c r="L572" s="4" t="s">
        <v>21</v>
      </c>
      <c r="M572" s="4" t="s">
        <v>22</v>
      </c>
      <c r="N572" s="4">
        <v>724.28</v>
      </c>
    </row>
    <row r="573" spans="1:14" ht="15" customHeight="1" x14ac:dyDescent="0.2">
      <c r="A573" s="4" t="s">
        <v>2167</v>
      </c>
      <c r="B573" s="6">
        <v>45619</v>
      </c>
      <c r="C573" s="4" t="s">
        <v>2168</v>
      </c>
      <c r="D573" s="4" t="s">
        <v>32</v>
      </c>
      <c r="E573" s="4">
        <v>1</v>
      </c>
      <c r="F573" s="4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4">
        <v>2</v>
      </c>
      <c r="L573" s="4" t="s">
        <v>81</v>
      </c>
      <c r="M573" s="4" t="s">
        <v>76</v>
      </c>
      <c r="N573" s="4">
        <v>214.08</v>
      </c>
    </row>
    <row r="574" spans="1:14" ht="15" customHeight="1" x14ac:dyDescent="0.2">
      <c r="A574" s="4" t="s">
        <v>2170</v>
      </c>
      <c r="B574" s="6">
        <v>45241</v>
      </c>
      <c r="C574" s="4" t="s">
        <v>2171</v>
      </c>
      <c r="D574" s="4" t="s">
        <v>48</v>
      </c>
      <c r="E574" s="4">
        <v>1</v>
      </c>
      <c r="F574" s="4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4">
        <v>4</v>
      </c>
      <c r="L574" s="4" t="s">
        <v>81</v>
      </c>
      <c r="M574" s="4" t="s">
        <v>45</v>
      </c>
      <c r="N574" s="4">
        <v>70.319999999999993</v>
      </c>
    </row>
    <row r="575" spans="1:14" ht="15" customHeight="1" x14ac:dyDescent="0.2">
      <c r="A575" s="4" t="s">
        <v>2173</v>
      </c>
      <c r="B575" s="6">
        <v>44951</v>
      </c>
      <c r="C575" s="4" t="s">
        <v>2174</v>
      </c>
      <c r="D575" s="4" t="s">
        <v>41</v>
      </c>
      <c r="E575" s="4">
        <v>5</v>
      </c>
      <c r="F575" s="4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4">
        <v>7</v>
      </c>
      <c r="M575" s="4" t="s">
        <v>22</v>
      </c>
      <c r="N575" s="4">
        <v>2107.1</v>
      </c>
    </row>
    <row r="576" spans="1:14" ht="15" customHeight="1" x14ac:dyDescent="0.2">
      <c r="A576" s="4" t="s">
        <v>2176</v>
      </c>
      <c r="B576" s="6">
        <v>45315</v>
      </c>
      <c r="C576" s="4" t="s">
        <v>2177</v>
      </c>
      <c r="D576" s="4" t="s">
        <v>41</v>
      </c>
      <c r="E576" s="4">
        <v>5</v>
      </c>
      <c r="F576" s="4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4">
        <v>6</v>
      </c>
      <c r="L576" s="4" t="s">
        <v>37</v>
      </c>
      <c r="M576" s="4" t="s">
        <v>38</v>
      </c>
      <c r="N576" s="4">
        <v>1923.45</v>
      </c>
    </row>
    <row r="577" spans="1:14" ht="15" customHeight="1" x14ac:dyDescent="0.2">
      <c r="A577" s="4" t="s">
        <v>2179</v>
      </c>
      <c r="B577" s="6">
        <v>45084</v>
      </c>
      <c r="C577" s="4" t="s">
        <v>2180</v>
      </c>
      <c r="D577" s="4" t="s">
        <v>41</v>
      </c>
      <c r="E577" s="4">
        <v>5</v>
      </c>
      <c r="F577" s="4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4">
        <v>7</v>
      </c>
      <c r="L577" s="4" t="s">
        <v>21</v>
      </c>
      <c r="M577" s="4" t="s">
        <v>76</v>
      </c>
      <c r="N577" s="4">
        <v>2240.75</v>
      </c>
    </row>
    <row r="578" spans="1:14" ht="15" customHeight="1" x14ac:dyDescent="0.2">
      <c r="A578" s="4" t="s">
        <v>2183</v>
      </c>
      <c r="B578" s="6">
        <v>45441</v>
      </c>
      <c r="C578" s="4" t="s">
        <v>2184</v>
      </c>
      <c r="D578" s="4" t="s">
        <v>58</v>
      </c>
      <c r="E578" s="4">
        <v>5</v>
      </c>
      <c r="F578" s="4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4">
        <v>8</v>
      </c>
      <c r="M578" s="4" t="s">
        <v>45</v>
      </c>
      <c r="N578" s="4">
        <v>395.4</v>
      </c>
    </row>
    <row r="579" spans="1:14" ht="15" customHeight="1" x14ac:dyDescent="0.2">
      <c r="A579" s="4" t="s">
        <v>2186</v>
      </c>
      <c r="B579" s="6">
        <v>44948</v>
      </c>
      <c r="C579" s="4" t="s">
        <v>2187</v>
      </c>
      <c r="D579" s="4" t="s">
        <v>32</v>
      </c>
      <c r="E579" s="4">
        <v>4</v>
      </c>
      <c r="F579" s="4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4">
        <v>9</v>
      </c>
      <c r="L579" s="4" t="s">
        <v>81</v>
      </c>
      <c r="M579" s="4" t="s">
        <v>76</v>
      </c>
      <c r="N579" s="4">
        <v>741.64</v>
      </c>
    </row>
    <row r="580" spans="1:14" ht="15" customHeight="1" x14ac:dyDescent="0.2">
      <c r="A580" s="4" t="s">
        <v>2189</v>
      </c>
      <c r="B580" s="6">
        <v>45575</v>
      </c>
      <c r="C580" s="4" t="s">
        <v>2190</v>
      </c>
      <c r="D580" s="4" t="s">
        <v>16</v>
      </c>
      <c r="E580" s="4">
        <v>5</v>
      </c>
      <c r="F580" s="4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4">
        <v>6</v>
      </c>
      <c r="L580" s="4" t="s">
        <v>21</v>
      </c>
      <c r="M580" s="4" t="s">
        <v>22</v>
      </c>
      <c r="N580" s="4">
        <v>2830.35</v>
      </c>
    </row>
    <row r="581" spans="1:14" ht="15" customHeight="1" x14ac:dyDescent="0.2">
      <c r="A581" s="4" t="s">
        <v>2192</v>
      </c>
      <c r="B581" s="6">
        <v>45081</v>
      </c>
      <c r="C581" s="4" t="s">
        <v>2193</v>
      </c>
      <c r="D581" s="4" t="s">
        <v>32</v>
      </c>
      <c r="E581" s="4">
        <v>2</v>
      </c>
      <c r="F581" s="4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4">
        <v>4</v>
      </c>
      <c r="L581" s="4" t="s">
        <v>81</v>
      </c>
      <c r="M581" s="4" t="s">
        <v>45</v>
      </c>
      <c r="N581" s="4">
        <v>375.76</v>
      </c>
    </row>
    <row r="582" spans="1:14" ht="15" customHeight="1" x14ac:dyDescent="0.2">
      <c r="A582" s="4" t="s">
        <v>2195</v>
      </c>
      <c r="B582" s="6">
        <v>45244</v>
      </c>
      <c r="C582" s="4" t="s">
        <v>2196</v>
      </c>
      <c r="D582" s="4" t="s">
        <v>16</v>
      </c>
      <c r="E582" s="4">
        <v>2</v>
      </c>
      <c r="F582" s="4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4">
        <v>4</v>
      </c>
      <c r="L582" s="4" t="s">
        <v>21</v>
      </c>
      <c r="M582" s="4" t="s">
        <v>22</v>
      </c>
      <c r="N582" s="4">
        <v>511.98</v>
      </c>
    </row>
    <row r="583" spans="1:14" ht="15" customHeight="1" x14ac:dyDescent="0.2">
      <c r="A583" s="4" t="s">
        <v>2199</v>
      </c>
      <c r="B583" s="6">
        <v>45607</v>
      </c>
      <c r="C583" s="4" t="s">
        <v>2200</v>
      </c>
      <c r="D583" s="4" t="s">
        <v>58</v>
      </c>
      <c r="E583" s="4">
        <v>1</v>
      </c>
      <c r="F583" s="4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4">
        <v>1</v>
      </c>
      <c r="M583" s="4" t="s">
        <v>29</v>
      </c>
      <c r="N583" s="4">
        <v>627.34</v>
      </c>
    </row>
    <row r="584" spans="1:14" ht="15" customHeight="1" x14ac:dyDescent="0.2">
      <c r="A584" s="4" t="s">
        <v>2202</v>
      </c>
      <c r="B584" s="6">
        <v>45341</v>
      </c>
      <c r="C584" s="4" t="s">
        <v>2203</v>
      </c>
      <c r="D584" s="4" t="s">
        <v>32</v>
      </c>
      <c r="E584" s="4">
        <v>3</v>
      </c>
      <c r="F584" s="4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4">
        <v>8</v>
      </c>
      <c r="L584" s="4" t="s">
        <v>81</v>
      </c>
      <c r="M584" s="4" t="s">
        <v>76</v>
      </c>
      <c r="N584" s="4">
        <v>1422.42</v>
      </c>
    </row>
    <row r="585" spans="1:14" ht="15" customHeight="1" x14ac:dyDescent="0.2">
      <c r="A585" s="4" t="s">
        <v>2205</v>
      </c>
      <c r="B585" s="6">
        <v>45823</v>
      </c>
      <c r="C585" s="4" t="s">
        <v>2206</v>
      </c>
      <c r="D585" s="4" t="s">
        <v>41</v>
      </c>
      <c r="E585" s="4">
        <v>3</v>
      </c>
      <c r="F585" s="4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4">
        <v>4</v>
      </c>
      <c r="M585" s="4" t="s">
        <v>22</v>
      </c>
      <c r="N585" s="4">
        <v>463.11</v>
      </c>
    </row>
    <row r="586" spans="1:14" ht="15" customHeight="1" x14ac:dyDescent="0.2">
      <c r="A586" s="4" t="s">
        <v>2208</v>
      </c>
      <c r="B586" s="6">
        <v>45737</v>
      </c>
      <c r="C586" s="4" t="s">
        <v>2209</v>
      </c>
      <c r="D586" s="4" t="s">
        <v>41</v>
      </c>
      <c r="E586" s="4">
        <v>4</v>
      </c>
      <c r="F586" s="4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4">
        <v>6</v>
      </c>
      <c r="L586" s="4" t="s">
        <v>21</v>
      </c>
      <c r="M586" s="4" t="s">
        <v>76</v>
      </c>
      <c r="N586" s="4">
        <v>580.20000000000005</v>
      </c>
    </row>
    <row r="587" spans="1:14" ht="15" customHeight="1" x14ac:dyDescent="0.2">
      <c r="A587" s="4" t="s">
        <v>2212</v>
      </c>
      <c r="B587" s="6">
        <v>45158</v>
      </c>
      <c r="C587" s="4" t="s">
        <v>2213</v>
      </c>
      <c r="D587" s="4" t="s">
        <v>32</v>
      </c>
      <c r="E587" s="4">
        <v>4</v>
      </c>
      <c r="F587" s="4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4">
        <v>8</v>
      </c>
      <c r="L587" s="4" t="s">
        <v>81</v>
      </c>
      <c r="M587" s="4" t="s">
        <v>76</v>
      </c>
      <c r="N587" s="4">
        <v>268.32</v>
      </c>
    </row>
    <row r="588" spans="1:14" ht="15" customHeight="1" x14ac:dyDescent="0.2">
      <c r="A588" s="4" t="s">
        <v>2215</v>
      </c>
      <c r="B588" s="6">
        <v>45606</v>
      </c>
      <c r="C588" s="4" t="s">
        <v>2216</v>
      </c>
      <c r="D588" s="4" t="s">
        <v>16</v>
      </c>
      <c r="E588" s="4">
        <v>1</v>
      </c>
      <c r="F588" s="4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4">
        <v>5</v>
      </c>
      <c r="L588" s="4" t="s">
        <v>37</v>
      </c>
      <c r="M588" s="4" t="s">
        <v>29</v>
      </c>
      <c r="N588" s="4">
        <v>522.08000000000004</v>
      </c>
    </row>
    <row r="589" spans="1:14" ht="15" customHeight="1" x14ac:dyDescent="0.2">
      <c r="A589" s="4" t="s">
        <v>2219</v>
      </c>
      <c r="B589" s="6">
        <v>45089</v>
      </c>
      <c r="C589" s="4" t="s">
        <v>2220</v>
      </c>
      <c r="D589" s="4" t="s">
        <v>16</v>
      </c>
      <c r="E589" s="4">
        <v>5</v>
      </c>
      <c r="F589" s="4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4">
        <v>10</v>
      </c>
      <c r="L589" s="4" t="s">
        <v>37</v>
      </c>
      <c r="M589" s="4" t="s">
        <v>22</v>
      </c>
      <c r="N589" s="4">
        <v>2573</v>
      </c>
    </row>
    <row r="590" spans="1:14" ht="15" customHeight="1" x14ac:dyDescent="0.2">
      <c r="A590" s="4" t="s">
        <v>2223</v>
      </c>
      <c r="B590" s="6">
        <v>45636</v>
      </c>
      <c r="C590" s="4" t="s">
        <v>2224</v>
      </c>
      <c r="D590" s="4" t="s">
        <v>16</v>
      </c>
      <c r="E590" s="4">
        <v>4</v>
      </c>
      <c r="F590" s="4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4">
        <v>9</v>
      </c>
      <c r="M590" s="4" t="s">
        <v>76</v>
      </c>
      <c r="N590" s="4">
        <v>2311.2800000000002</v>
      </c>
    </row>
    <row r="591" spans="1:14" ht="15" customHeight="1" x14ac:dyDescent="0.2">
      <c r="A591" s="4" t="s">
        <v>2226</v>
      </c>
      <c r="B591" s="6">
        <v>45698</v>
      </c>
      <c r="C591" s="4" t="s">
        <v>2227</v>
      </c>
      <c r="D591" s="4" t="s">
        <v>58</v>
      </c>
      <c r="E591" s="4">
        <v>2</v>
      </c>
      <c r="F591" s="4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4">
        <v>3</v>
      </c>
      <c r="L591" s="4" t="s">
        <v>37</v>
      </c>
      <c r="M591" s="4" t="s">
        <v>29</v>
      </c>
      <c r="N591" s="4">
        <v>1001.6</v>
      </c>
    </row>
    <row r="592" spans="1:14" ht="15" customHeight="1" x14ac:dyDescent="0.2">
      <c r="A592" s="4" t="s">
        <v>2230</v>
      </c>
      <c r="B592" s="6">
        <v>45179</v>
      </c>
      <c r="C592" s="4" t="s">
        <v>2231</v>
      </c>
      <c r="D592" s="4" t="s">
        <v>48</v>
      </c>
      <c r="E592" s="4">
        <v>2</v>
      </c>
      <c r="F592" s="4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4">
        <v>4</v>
      </c>
      <c r="M592" s="4" t="s">
        <v>38</v>
      </c>
      <c r="N592" s="4">
        <v>922.26</v>
      </c>
    </row>
    <row r="593" spans="1:14" ht="15" customHeight="1" x14ac:dyDescent="0.2">
      <c r="A593" s="4" t="s">
        <v>2234</v>
      </c>
      <c r="B593" s="6">
        <v>45614</v>
      </c>
      <c r="C593" s="4" t="s">
        <v>2235</v>
      </c>
      <c r="D593" s="4" t="s">
        <v>58</v>
      </c>
      <c r="E593" s="4">
        <v>1</v>
      </c>
      <c r="F593" s="4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4">
        <v>3</v>
      </c>
      <c r="L593" s="4" t="s">
        <v>37</v>
      </c>
      <c r="M593" s="4" t="s">
        <v>29</v>
      </c>
      <c r="N593" s="4">
        <v>605.28</v>
      </c>
    </row>
    <row r="594" spans="1:14" ht="15" customHeight="1" x14ac:dyDescent="0.2">
      <c r="A594" s="4" t="s">
        <v>2238</v>
      </c>
      <c r="B594" s="6">
        <v>45405</v>
      </c>
      <c r="C594" s="4" t="s">
        <v>2239</v>
      </c>
      <c r="D594" s="4" t="s">
        <v>25</v>
      </c>
      <c r="E594" s="4">
        <v>3</v>
      </c>
      <c r="F594" s="4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4">
        <v>4</v>
      </c>
      <c r="M594" s="4" t="s">
        <v>76</v>
      </c>
      <c r="N594" s="4">
        <v>612.80999999999995</v>
      </c>
    </row>
    <row r="595" spans="1:14" ht="15" customHeight="1" x14ac:dyDescent="0.2">
      <c r="A595" s="4" t="s">
        <v>2241</v>
      </c>
      <c r="B595" s="6">
        <v>45140</v>
      </c>
      <c r="C595" s="4" t="s">
        <v>2242</v>
      </c>
      <c r="D595" s="4" t="s">
        <v>16</v>
      </c>
      <c r="E595" s="4">
        <v>1</v>
      </c>
      <c r="F595" s="4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4">
        <v>4</v>
      </c>
      <c r="L595" s="4" t="s">
        <v>37</v>
      </c>
      <c r="M595" s="4" t="s">
        <v>45</v>
      </c>
      <c r="N595" s="4">
        <v>489.8</v>
      </c>
    </row>
    <row r="596" spans="1:14" ht="15" customHeight="1" x14ac:dyDescent="0.2">
      <c r="A596" s="4" t="s">
        <v>2244</v>
      </c>
      <c r="B596" s="6">
        <v>45343</v>
      </c>
      <c r="C596" s="4" t="s">
        <v>2245</v>
      </c>
      <c r="D596" s="4" t="s">
        <v>25</v>
      </c>
      <c r="E596" s="4">
        <v>5</v>
      </c>
      <c r="F596" s="4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4">
        <v>7</v>
      </c>
      <c r="M596" s="4" t="s">
        <v>38</v>
      </c>
      <c r="N596" s="4">
        <v>363.2</v>
      </c>
    </row>
    <row r="597" spans="1:14" ht="15" customHeight="1" x14ac:dyDescent="0.2">
      <c r="A597" s="4" t="s">
        <v>2247</v>
      </c>
      <c r="B597" s="6">
        <v>45667</v>
      </c>
      <c r="C597" s="4" t="s">
        <v>2248</v>
      </c>
      <c r="D597" s="4" t="s">
        <v>48</v>
      </c>
      <c r="E597" s="4">
        <v>2</v>
      </c>
      <c r="F597" s="4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4">
        <v>7</v>
      </c>
      <c r="L597" s="4" t="s">
        <v>21</v>
      </c>
      <c r="M597" s="4" t="s">
        <v>38</v>
      </c>
      <c r="N597" s="4">
        <v>770.32</v>
      </c>
    </row>
    <row r="598" spans="1:14" ht="15" customHeight="1" x14ac:dyDescent="0.2">
      <c r="A598" s="4" t="s">
        <v>2251</v>
      </c>
      <c r="B598" s="6">
        <v>45089</v>
      </c>
      <c r="C598" s="4" t="s">
        <v>2252</v>
      </c>
      <c r="D598" s="4" t="s">
        <v>73</v>
      </c>
      <c r="E598" s="4">
        <v>3</v>
      </c>
      <c r="F598" s="4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4">
        <v>7</v>
      </c>
      <c r="L598" s="4" t="s">
        <v>37</v>
      </c>
      <c r="M598" s="4" t="s">
        <v>45</v>
      </c>
      <c r="N598" s="4">
        <v>1819.23</v>
      </c>
    </row>
    <row r="599" spans="1:14" ht="15" customHeight="1" x14ac:dyDescent="0.2">
      <c r="A599" s="4" t="s">
        <v>2255</v>
      </c>
      <c r="B599" s="6">
        <v>45621</v>
      </c>
      <c r="C599" s="4" t="s">
        <v>2256</v>
      </c>
      <c r="D599" s="4" t="s">
        <v>73</v>
      </c>
      <c r="E599" s="4">
        <v>2</v>
      </c>
      <c r="F599" s="4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4">
        <v>4</v>
      </c>
      <c r="L599" s="4" t="s">
        <v>81</v>
      </c>
      <c r="M599" s="4" t="s">
        <v>38</v>
      </c>
      <c r="N599" s="4">
        <v>423.64</v>
      </c>
    </row>
    <row r="600" spans="1:14" ht="15" customHeight="1" x14ac:dyDescent="0.2">
      <c r="A600" s="4" t="s">
        <v>2259</v>
      </c>
      <c r="B600" s="6">
        <v>45408</v>
      </c>
      <c r="C600" s="4" t="s">
        <v>2260</v>
      </c>
      <c r="D600" s="4" t="s">
        <v>73</v>
      </c>
      <c r="E600" s="4">
        <v>5</v>
      </c>
      <c r="F600" s="4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4">
        <v>5</v>
      </c>
      <c r="M600" s="4" t="s">
        <v>45</v>
      </c>
      <c r="N600" s="4">
        <v>2476.75</v>
      </c>
    </row>
    <row r="601" spans="1:14" ht="15" customHeight="1" x14ac:dyDescent="0.2">
      <c r="A601" s="4" t="s">
        <v>2262</v>
      </c>
      <c r="B601" s="6">
        <v>45107</v>
      </c>
      <c r="C601" s="4" t="s">
        <v>2263</v>
      </c>
      <c r="D601" s="4" t="s">
        <v>41</v>
      </c>
      <c r="E601" s="4">
        <v>3</v>
      </c>
      <c r="F601" s="4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4">
        <v>4</v>
      </c>
      <c r="L601" s="4" t="s">
        <v>37</v>
      </c>
      <c r="M601" s="4" t="s">
        <v>45</v>
      </c>
      <c r="N601" s="4">
        <v>1670.97</v>
      </c>
    </row>
    <row r="602" spans="1:14" ht="15" customHeight="1" x14ac:dyDescent="0.2">
      <c r="A602" s="4" t="s">
        <v>2265</v>
      </c>
      <c r="B602" s="6">
        <v>45072</v>
      </c>
      <c r="C602" s="4" t="s">
        <v>2266</v>
      </c>
      <c r="D602" s="4" t="s">
        <v>48</v>
      </c>
      <c r="E602" s="4">
        <v>1</v>
      </c>
      <c r="F602" s="4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4">
        <v>1</v>
      </c>
      <c r="L602" s="4" t="s">
        <v>37</v>
      </c>
      <c r="M602" s="4" t="s">
        <v>45</v>
      </c>
      <c r="N602" s="4">
        <v>72.31</v>
      </c>
    </row>
    <row r="603" spans="1:14" ht="15" customHeight="1" x14ac:dyDescent="0.2">
      <c r="A603" s="4" t="s">
        <v>2268</v>
      </c>
      <c r="B603" s="6">
        <v>45201</v>
      </c>
      <c r="C603" s="4" t="s">
        <v>2269</v>
      </c>
      <c r="D603" s="4" t="s">
        <v>16</v>
      </c>
      <c r="E603" s="4">
        <v>5</v>
      </c>
      <c r="F603" s="4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4">
        <v>10</v>
      </c>
      <c r="M603" s="4" t="s">
        <v>29</v>
      </c>
      <c r="N603" s="4">
        <v>124.1</v>
      </c>
    </row>
    <row r="604" spans="1:14" ht="15" customHeight="1" x14ac:dyDescent="0.2">
      <c r="A604" s="4" t="s">
        <v>2272</v>
      </c>
      <c r="B604" s="6">
        <v>45356</v>
      </c>
      <c r="C604" s="4" t="s">
        <v>1858</v>
      </c>
      <c r="D604" s="4" t="s">
        <v>32</v>
      </c>
      <c r="E604" s="4">
        <v>4</v>
      </c>
      <c r="F604" s="4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4">
        <v>5</v>
      </c>
      <c r="L604" s="4" t="s">
        <v>21</v>
      </c>
      <c r="M604" s="4" t="s">
        <v>22</v>
      </c>
      <c r="N604" s="4">
        <v>104.16</v>
      </c>
    </row>
    <row r="605" spans="1:14" ht="15" customHeight="1" x14ac:dyDescent="0.2">
      <c r="A605" s="4" t="s">
        <v>2274</v>
      </c>
      <c r="B605" s="6">
        <v>45569</v>
      </c>
      <c r="C605" s="4" t="s">
        <v>2275</v>
      </c>
      <c r="D605" s="4" t="s">
        <v>32</v>
      </c>
      <c r="E605" s="4">
        <v>1</v>
      </c>
      <c r="F605" s="4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4">
        <v>4</v>
      </c>
      <c r="L605" s="4" t="s">
        <v>21</v>
      </c>
      <c r="M605" s="4" t="s">
        <v>76</v>
      </c>
      <c r="N605" s="4">
        <v>657.07</v>
      </c>
    </row>
    <row r="606" spans="1:14" ht="15" customHeight="1" x14ac:dyDescent="0.2">
      <c r="A606" s="4" t="s">
        <v>2278</v>
      </c>
      <c r="B606" s="6">
        <v>45830</v>
      </c>
      <c r="C606" s="4" t="s">
        <v>2279</v>
      </c>
      <c r="D606" s="4" t="s">
        <v>41</v>
      </c>
      <c r="E606" s="4">
        <v>3</v>
      </c>
      <c r="F606" s="4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4">
        <v>6</v>
      </c>
      <c r="M606" s="4" t="s">
        <v>45</v>
      </c>
      <c r="N606" s="4">
        <v>97.86</v>
      </c>
    </row>
    <row r="607" spans="1:14" ht="15" customHeight="1" x14ac:dyDescent="0.2">
      <c r="A607" s="4" t="s">
        <v>2281</v>
      </c>
      <c r="B607" s="6">
        <v>45422</v>
      </c>
      <c r="C607" s="4" t="s">
        <v>2282</v>
      </c>
      <c r="D607" s="4" t="s">
        <v>16</v>
      </c>
      <c r="E607" s="4">
        <v>2</v>
      </c>
      <c r="F607" s="4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4">
        <v>4</v>
      </c>
      <c r="L607" s="4" t="s">
        <v>21</v>
      </c>
      <c r="M607" s="4" t="s">
        <v>29</v>
      </c>
      <c r="N607" s="4">
        <v>457.82</v>
      </c>
    </row>
    <row r="608" spans="1:14" ht="15" customHeight="1" x14ac:dyDescent="0.2">
      <c r="A608" s="4" t="s">
        <v>2285</v>
      </c>
      <c r="B608" s="6">
        <v>45602</v>
      </c>
      <c r="C608" s="4" t="s">
        <v>2286</v>
      </c>
      <c r="D608" s="4" t="s">
        <v>58</v>
      </c>
      <c r="E608" s="4">
        <v>3</v>
      </c>
      <c r="F608" s="4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4">
        <v>3</v>
      </c>
      <c r="L608" s="4" t="s">
        <v>21</v>
      </c>
      <c r="M608" s="4" t="s">
        <v>76</v>
      </c>
      <c r="N608" s="4">
        <v>824.25</v>
      </c>
    </row>
    <row r="609" spans="1:14" ht="15" customHeight="1" x14ac:dyDescent="0.2">
      <c r="A609" s="4" t="s">
        <v>2288</v>
      </c>
      <c r="B609" s="6">
        <v>45808</v>
      </c>
      <c r="C609" s="4" t="s">
        <v>2289</v>
      </c>
      <c r="D609" s="4" t="s">
        <v>48</v>
      </c>
      <c r="E609" s="4">
        <v>4</v>
      </c>
      <c r="F609" s="4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4">
        <v>6</v>
      </c>
      <c r="L609" s="4" t="s">
        <v>21</v>
      </c>
      <c r="M609" s="4" t="s">
        <v>76</v>
      </c>
      <c r="N609" s="4">
        <v>2536.1999999999998</v>
      </c>
    </row>
    <row r="610" spans="1:14" ht="15" customHeight="1" x14ac:dyDescent="0.2">
      <c r="A610" s="4" t="s">
        <v>2292</v>
      </c>
      <c r="B610" s="6">
        <v>45497</v>
      </c>
      <c r="C610" s="4" t="s">
        <v>2293</v>
      </c>
      <c r="D610" s="4" t="s">
        <v>58</v>
      </c>
      <c r="E610" s="4">
        <v>5</v>
      </c>
      <c r="F610" s="4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4">
        <v>6</v>
      </c>
      <c r="L610" s="4" t="s">
        <v>21</v>
      </c>
      <c r="M610" s="4" t="s">
        <v>22</v>
      </c>
      <c r="N610" s="4">
        <v>2715.8</v>
      </c>
    </row>
    <row r="611" spans="1:14" ht="15" customHeight="1" x14ac:dyDescent="0.2">
      <c r="A611" s="4" t="s">
        <v>2296</v>
      </c>
      <c r="B611" s="6">
        <v>45684</v>
      </c>
      <c r="C611" s="4" t="s">
        <v>2297</v>
      </c>
      <c r="D611" s="4" t="s">
        <v>41</v>
      </c>
      <c r="E611" s="4">
        <v>3</v>
      </c>
      <c r="F611" s="4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4">
        <v>5</v>
      </c>
      <c r="L611" s="4" t="s">
        <v>81</v>
      </c>
      <c r="M611" s="4" t="s">
        <v>29</v>
      </c>
      <c r="N611" s="4">
        <v>1347.39</v>
      </c>
    </row>
    <row r="612" spans="1:14" ht="15" customHeight="1" x14ac:dyDescent="0.2">
      <c r="A612" s="4" t="s">
        <v>2300</v>
      </c>
      <c r="B612" s="6">
        <v>45459</v>
      </c>
      <c r="C612" s="4" t="s">
        <v>2301</v>
      </c>
      <c r="D612" s="4" t="s">
        <v>73</v>
      </c>
      <c r="E612" s="4">
        <v>5</v>
      </c>
      <c r="F612" s="4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4">
        <v>7</v>
      </c>
      <c r="L612" s="4" t="s">
        <v>37</v>
      </c>
      <c r="M612" s="4" t="s">
        <v>45</v>
      </c>
      <c r="N612" s="4">
        <v>1948.1</v>
      </c>
    </row>
    <row r="613" spans="1:14" ht="15" customHeight="1" x14ac:dyDescent="0.2">
      <c r="A613" s="4" t="s">
        <v>2303</v>
      </c>
      <c r="B613" s="6">
        <v>45037</v>
      </c>
      <c r="C613" s="4" t="s">
        <v>2304</v>
      </c>
      <c r="D613" s="4" t="s">
        <v>73</v>
      </c>
      <c r="E613" s="4">
        <v>1</v>
      </c>
      <c r="F613" s="4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4">
        <v>3</v>
      </c>
      <c r="L613" s="4" t="s">
        <v>81</v>
      </c>
      <c r="M613" s="4" t="s">
        <v>29</v>
      </c>
      <c r="N613" s="4">
        <v>305.17</v>
      </c>
    </row>
    <row r="614" spans="1:14" ht="15" customHeight="1" x14ac:dyDescent="0.2">
      <c r="A614" s="4" t="s">
        <v>2306</v>
      </c>
      <c r="B614" s="6">
        <v>45079</v>
      </c>
      <c r="C614" s="4" t="s">
        <v>2307</v>
      </c>
      <c r="D614" s="4" t="s">
        <v>41</v>
      </c>
      <c r="E614" s="4">
        <v>3</v>
      </c>
      <c r="F614" s="4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4">
        <v>8</v>
      </c>
      <c r="M614" s="4" t="s">
        <v>76</v>
      </c>
      <c r="N614" s="4">
        <v>1335.36</v>
      </c>
    </row>
    <row r="615" spans="1:14" ht="15" customHeight="1" x14ac:dyDescent="0.2">
      <c r="A615" s="4" t="s">
        <v>2309</v>
      </c>
      <c r="B615" s="6">
        <v>45645</v>
      </c>
      <c r="C615" s="4" t="s">
        <v>2310</v>
      </c>
      <c r="D615" s="4" t="s">
        <v>58</v>
      </c>
      <c r="E615" s="4">
        <v>2</v>
      </c>
      <c r="F615" s="4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4">
        <v>4</v>
      </c>
      <c r="L615" s="4" t="s">
        <v>81</v>
      </c>
      <c r="M615" s="4" t="s">
        <v>38</v>
      </c>
      <c r="N615" s="4">
        <v>460.72</v>
      </c>
    </row>
    <row r="616" spans="1:14" ht="15" customHeight="1" x14ac:dyDescent="0.2">
      <c r="A616" s="4" t="s">
        <v>2313</v>
      </c>
      <c r="B616" s="6">
        <v>45359</v>
      </c>
      <c r="C616" s="4" t="s">
        <v>2314</v>
      </c>
      <c r="D616" s="4" t="s">
        <v>25</v>
      </c>
      <c r="E616" s="4">
        <v>1</v>
      </c>
      <c r="F616" s="4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4">
        <v>3</v>
      </c>
      <c r="M616" s="4" t="s">
        <v>29</v>
      </c>
      <c r="N616" s="4">
        <v>96.81</v>
      </c>
    </row>
    <row r="617" spans="1:14" ht="15" customHeight="1" x14ac:dyDescent="0.2">
      <c r="A617" s="4" t="s">
        <v>2316</v>
      </c>
      <c r="B617" s="6">
        <v>45723</v>
      </c>
      <c r="C617" s="4" t="s">
        <v>2317</v>
      </c>
      <c r="D617" s="4" t="s">
        <v>16</v>
      </c>
      <c r="E617" s="4">
        <v>5</v>
      </c>
      <c r="F617" s="4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4">
        <v>10</v>
      </c>
      <c r="L617" s="4" t="s">
        <v>81</v>
      </c>
      <c r="M617" s="4" t="s">
        <v>45</v>
      </c>
      <c r="N617" s="4">
        <v>2300.6999999999998</v>
      </c>
    </row>
    <row r="618" spans="1:14" ht="15" customHeight="1" x14ac:dyDescent="0.2">
      <c r="A618" s="4" t="s">
        <v>2319</v>
      </c>
      <c r="B618" s="6">
        <v>45582</v>
      </c>
      <c r="C618" s="4" t="s">
        <v>2320</v>
      </c>
      <c r="D618" s="4" t="s">
        <v>32</v>
      </c>
      <c r="E618" s="4">
        <v>3</v>
      </c>
      <c r="F618" s="4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4">
        <v>7</v>
      </c>
      <c r="L618" s="4" t="s">
        <v>21</v>
      </c>
      <c r="M618" s="4" t="s">
        <v>45</v>
      </c>
      <c r="N618" s="4">
        <v>1804.8</v>
      </c>
    </row>
    <row r="619" spans="1:14" ht="15" customHeight="1" x14ac:dyDescent="0.2">
      <c r="A619" s="4" t="s">
        <v>2323</v>
      </c>
      <c r="B619" s="6">
        <v>45330</v>
      </c>
      <c r="C619" s="4" t="s">
        <v>2324</v>
      </c>
      <c r="D619" s="4" t="s">
        <v>32</v>
      </c>
      <c r="E619" s="4">
        <v>3</v>
      </c>
      <c r="F619" s="4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4">
        <v>4</v>
      </c>
      <c r="M619" s="4" t="s">
        <v>29</v>
      </c>
      <c r="N619" s="4">
        <v>553.41</v>
      </c>
    </row>
    <row r="620" spans="1:14" ht="15" customHeight="1" x14ac:dyDescent="0.2">
      <c r="A620" s="4" t="s">
        <v>2327</v>
      </c>
      <c r="B620" s="6">
        <v>45538</v>
      </c>
      <c r="C620" s="4" t="s">
        <v>2328</v>
      </c>
      <c r="D620" s="4" t="s">
        <v>32</v>
      </c>
      <c r="E620" s="4">
        <v>1</v>
      </c>
      <c r="F620" s="4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4">
        <v>5</v>
      </c>
      <c r="M620" s="4" t="s">
        <v>22</v>
      </c>
      <c r="N620" s="4">
        <v>411.34</v>
      </c>
    </row>
    <row r="621" spans="1:14" ht="15" customHeight="1" x14ac:dyDescent="0.2">
      <c r="A621" s="4" t="s">
        <v>2331</v>
      </c>
      <c r="B621" s="6">
        <v>45489</v>
      </c>
      <c r="C621" s="4" t="s">
        <v>2332</v>
      </c>
      <c r="D621" s="4" t="s">
        <v>58</v>
      </c>
      <c r="E621" s="4">
        <v>1</v>
      </c>
      <c r="F621" s="4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4">
        <v>2</v>
      </c>
      <c r="M621" s="4" t="s">
        <v>29</v>
      </c>
      <c r="N621" s="4">
        <v>532.89</v>
      </c>
    </row>
    <row r="622" spans="1:14" ht="15" customHeight="1" x14ac:dyDescent="0.2">
      <c r="A622" s="4" t="s">
        <v>2334</v>
      </c>
      <c r="B622" s="6">
        <v>45378</v>
      </c>
      <c r="C622" s="4" t="s">
        <v>2335</v>
      </c>
      <c r="D622" s="4" t="s">
        <v>32</v>
      </c>
      <c r="E622" s="4">
        <v>3</v>
      </c>
      <c r="F622" s="4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4">
        <v>8</v>
      </c>
      <c r="L622" s="4" t="s">
        <v>21</v>
      </c>
      <c r="M622" s="4" t="s">
        <v>29</v>
      </c>
      <c r="N622" s="4">
        <v>409.02</v>
      </c>
    </row>
    <row r="623" spans="1:14" ht="15" customHeight="1" x14ac:dyDescent="0.2">
      <c r="A623" s="4" t="s">
        <v>2338</v>
      </c>
      <c r="B623" s="6">
        <v>45221</v>
      </c>
      <c r="C623" s="4" t="s">
        <v>2339</v>
      </c>
      <c r="D623" s="4" t="s">
        <v>25</v>
      </c>
      <c r="E623" s="4">
        <v>5</v>
      </c>
      <c r="F623" s="4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4">
        <v>7</v>
      </c>
      <c r="L623" s="4" t="s">
        <v>81</v>
      </c>
      <c r="M623" s="4" t="s">
        <v>76</v>
      </c>
      <c r="N623" s="4">
        <v>2380.0500000000002</v>
      </c>
    </row>
    <row r="624" spans="1:14" ht="15" customHeight="1" x14ac:dyDescent="0.2">
      <c r="A624" s="4" t="s">
        <v>2341</v>
      </c>
      <c r="B624" s="6">
        <v>45598</v>
      </c>
      <c r="C624" s="4" t="s">
        <v>2342</v>
      </c>
      <c r="D624" s="4" t="s">
        <v>73</v>
      </c>
      <c r="E624" s="4">
        <v>5</v>
      </c>
      <c r="F624" s="4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4">
        <v>7</v>
      </c>
      <c r="M624" s="4" t="s">
        <v>45</v>
      </c>
      <c r="N624" s="4">
        <v>1181.9000000000001</v>
      </c>
    </row>
    <row r="625" spans="1:14" ht="15" customHeight="1" x14ac:dyDescent="0.2">
      <c r="A625" s="4" t="s">
        <v>2344</v>
      </c>
      <c r="B625" s="6">
        <v>45093</v>
      </c>
      <c r="C625" s="4" t="s">
        <v>2345</v>
      </c>
      <c r="D625" s="4" t="s">
        <v>48</v>
      </c>
      <c r="E625" s="4">
        <v>3</v>
      </c>
      <c r="F625" s="4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4">
        <v>4</v>
      </c>
      <c r="L625" s="4" t="s">
        <v>37</v>
      </c>
      <c r="M625" s="4" t="s">
        <v>22</v>
      </c>
      <c r="N625" s="4">
        <v>1188</v>
      </c>
    </row>
    <row r="626" spans="1:14" ht="15" customHeight="1" x14ac:dyDescent="0.2">
      <c r="A626" s="4" t="s">
        <v>2348</v>
      </c>
      <c r="B626" s="6">
        <v>45307</v>
      </c>
      <c r="C626" s="4" t="s">
        <v>2349</v>
      </c>
      <c r="D626" s="4" t="s">
        <v>32</v>
      </c>
      <c r="E626" s="4">
        <v>5</v>
      </c>
      <c r="F626" s="4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4">
        <v>6</v>
      </c>
      <c r="M626" s="4" t="s">
        <v>38</v>
      </c>
      <c r="N626" s="4">
        <v>1709.8</v>
      </c>
    </row>
    <row r="627" spans="1:14" ht="15" customHeight="1" x14ac:dyDescent="0.2">
      <c r="A627" s="4" t="s">
        <v>2351</v>
      </c>
      <c r="B627" s="6">
        <v>45193</v>
      </c>
      <c r="C627" s="4" t="s">
        <v>2352</v>
      </c>
      <c r="D627" s="4" t="s">
        <v>32</v>
      </c>
      <c r="E627" s="4">
        <v>1</v>
      </c>
      <c r="F627" s="4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4">
        <v>1</v>
      </c>
      <c r="L627" s="4" t="s">
        <v>81</v>
      </c>
      <c r="M627" s="4" t="s">
        <v>38</v>
      </c>
      <c r="N627" s="4">
        <v>672.89</v>
      </c>
    </row>
    <row r="628" spans="1:14" ht="15" customHeight="1" x14ac:dyDescent="0.2">
      <c r="A628" s="4" t="s">
        <v>2355</v>
      </c>
      <c r="B628" s="6">
        <v>45352</v>
      </c>
      <c r="C628" s="4" t="s">
        <v>2356</v>
      </c>
      <c r="D628" s="4" t="s">
        <v>32</v>
      </c>
      <c r="E628" s="4">
        <v>2</v>
      </c>
      <c r="F628" s="4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4">
        <v>5</v>
      </c>
      <c r="L628" s="4" t="s">
        <v>21</v>
      </c>
      <c r="M628" s="4" t="s">
        <v>29</v>
      </c>
      <c r="N628" s="4">
        <v>1314.96</v>
      </c>
    </row>
    <row r="629" spans="1:14" ht="15" customHeight="1" x14ac:dyDescent="0.2">
      <c r="A629" s="4" t="s">
        <v>2358</v>
      </c>
      <c r="B629" s="6">
        <v>45144</v>
      </c>
      <c r="C629" s="4" t="s">
        <v>2359</v>
      </c>
      <c r="D629" s="4" t="s">
        <v>41</v>
      </c>
      <c r="E629" s="4">
        <v>3</v>
      </c>
      <c r="F629" s="4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4">
        <v>4</v>
      </c>
      <c r="L629" s="4" t="s">
        <v>37</v>
      </c>
      <c r="M629" s="4" t="s">
        <v>38</v>
      </c>
      <c r="N629" s="4">
        <v>1496.04</v>
      </c>
    </row>
    <row r="630" spans="1:14" ht="15" customHeight="1" x14ac:dyDescent="0.2">
      <c r="A630" s="4" t="s">
        <v>2361</v>
      </c>
      <c r="B630" s="6">
        <v>45011</v>
      </c>
      <c r="C630" s="4" t="s">
        <v>2362</v>
      </c>
      <c r="D630" s="4" t="s">
        <v>48</v>
      </c>
      <c r="E630" s="4">
        <v>5</v>
      </c>
      <c r="F630" s="4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4">
        <v>8</v>
      </c>
      <c r="L630" s="4" t="s">
        <v>37</v>
      </c>
      <c r="M630" s="4" t="s">
        <v>29</v>
      </c>
      <c r="N630" s="4">
        <v>2793.15</v>
      </c>
    </row>
    <row r="631" spans="1:14" ht="15" customHeight="1" x14ac:dyDescent="0.2">
      <c r="A631" s="4" t="s">
        <v>2365</v>
      </c>
      <c r="B631" s="6">
        <v>45114</v>
      </c>
      <c r="C631" s="4" t="s">
        <v>2366</v>
      </c>
      <c r="D631" s="4" t="s">
        <v>25</v>
      </c>
      <c r="E631" s="4">
        <v>3</v>
      </c>
      <c r="F631" s="4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4">
        <v>3</v>
      </c>
      <c r="M631" s="4" t="s">
        <v>29</v>
      </c>
      <c r="N631" s="4">
        <v>59.19</v>
      </c>
    </row>
    <row r="632" spans="1:14" ht="15" customHeight="1" x14ac:dyDescent="0.2">
      <c r="A632" s="4" t="s">
        <v>2369</v>
      </c>
      <c r="B632" s="6">
        <v>45100</v>
      </c>
      <c r="C632" s="4" t="s">
        <v>2370</v>
      </c>
      <c r="D632" s="4" t="s">
        <v>16</v>
      </c>
      <c r="E632" s="4">
        <v>5</v>
      </c>
      <c r="F632" s="4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4">
        <v>10</v>
      </c>
      <c r="M632" s="4" t="s">
        <v>22</v>
      </c>
      <c r="N632" s="4">
        <v>1244.2</v>
      </c>
    </row>
    <row r="633" spans="1:14" ht="15" customHeight="1" x14ac:dyDescent="0.2">
      <c r="A633" s="4" t="s">
        <v>2373</v>
      </c>
      <c r="B633" s="6">
        <v>45535</v>
      </c>
      <c r="C633" s="4" t="s">
        <v>2374</v>
      </c>
      <c r="D633" s="4" t="s">
        <v>41</v>
      </c>
      <c r="E633" s="4">
        <v>3</v>
      </c>
      <c r="F633" s="4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4">
        <v>5</v>
      </c>
      <c r="L633" s="4" t="s">
        <v>81</v>
      </c>
      <c r="M633" s="4" t="s">
        <v>29</v>
      </c>
      <c r="N633" s="4">
        <v>138.33000000000001</v>
      </c>
    </row>
    <row r="634" spans="1:14" ht="15" customHeight="1" x14ac:dyDescent="0.2">
      <c r="A634" s="4" t="s">
        <v>2376</v>
      </c>
      <c r="B634" s="6">
        <v>45048</v>
      </c>
      <c r="C634" s="4" t="s">
        <v>2377</v>
      </c>
      <c r="D634" s="4" t="s">
        <v>58</v>
      </c>
      <c r="E634" s="4">
        <v>5</v>
      </c>
      <c r="F634" s="4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4">
        <v>7</v>
      </c>
      <c r="L634" s="4" t="s">
        <v>81</v>
      </c>
      <c r="M634" s="4" t="s">
        <v>45</v>
      </c>
      <c r="N634" s="4">
        <v>3390.8</v>
      </c>
    </row>
    <row r="635" spans="1:14" ht="15" customHeight="1" x14ac:dyDescent="0.2">
      <c r="A635" s="4" t="s">
        <v>2379</v>
      </c>
      <c r="B635" s="6">
        <v>45392</v>
      </c>
      <c r="C635" s="4" t="s">
        <v>2380</v>
      </c>
      <c r="D635" s="4" t="s">
        <v>58</v>
      </c>
      <c r="E635" s="4">
        <v>5</v>
      </c>
      <c r="F635" s="4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4">
        <v>5</v>
      </c>
      <c r="L635" s="4" t="s">
        <v>81</v>
      </c>
      <c r="M635" s="4" t="s">
        <v>22</v>
      </c>
      <c r="N635" s="4">
        <v>3008.6</v>
      </c>
    </row>
    <row r="636" spans="1:14" ht="15" customHeight="1" x14ac:dyDescent="0.2">
      <c r="A636" s="4" t="s">
        <v>2382</v>
      </c>
      <c r="B636" s="6">
        <v>45407</v>
      </c>
      <c r="C636" s="4" t="s">
        <v>2383</v>
      </c>
      <c r="D636" s="4" t="s">
        <v>48</v>
      </c>
      <c r="E636" s="4">
        <v>2</v>
      </c>
      <c r="F636" s="4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4">
        <v>2</v>
      </c>
      <c r="L636" s="4" t="s">
        <v>81</v>
      </c>
      <c r="M636" s="4" t="s">
        <v>29</v>
      </c>
      <c r="N636" s="4">
        <v>518.64</v>
      </c>
    </row>
    <row r="637" spans="1:14" ht="15" customHeight="1" x14ac:dyDescent="0.2">
      <c r="A637" s="4" t="s">
        <v>2386</v>
      </c>
      <c r="B637" s="6">
        <v>45273</v>
      </c>
      <c r="C637" s="4" t="s">
        <v>2387</v>
      </c>
      <c r="D637" s="4" t="s">
        <v>41</v>
      </c>
      <c r="E637" s="4">
        <v>3</v>
      </c>
      <c r="F637" s="4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4">
        <v>6</v>
      </c>
      <c r="M637" s="4" t="s">
        <v>45</v>
      </c>
      <c r="N637" s="4">
        <v>191.04</v>
      </c>
    </row>
    <row r="638" spans="1:14" ht="15" customHeight="1" x14ac:dyDescent="0.2">
      <c r="A638" s="4" t="s">
        <v>2389</v>
      </c>
      <c r="B638" s="6">
        <v>45204</v>
      </c>
      <c r="C638" s="4" t="s">
        <v>2390</v>
      </c>
      <c r="D638" s="4" t="s">
        <v>58</v>
      </c>
      <c r="E638" s="4">
        <v>4</v>
      </c>
      <c r="F638" s="4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4">
        <v>7</v>
      </c>
      <c r="L638" s="4" t="s">
        <v>81</v>
      </c>
      <c r="M638" s="4" t="s">
        <v>45</v>
      </c>
      <c r="N638" s="4">
        <v>1484.28</v>
      </c>
    </row>
    <row r="639" spans="1:14" ht="15" customHeight="1" x14ac:dyDescent="0.2">
      <c r="A639" s="4" t="s">
        <v>2392</v>
      </c>
      <c r="B639" s="6">
        <v>45564</v>
      </c>
      <c r="C639" s="4" t="s">
        <v>2393</v>
      </c>
      <c r="D639" s="4" t="s">
        <v>41</v>
      </c>
      <c r="E639" s="4">
        <v>4</v>
      </c>
      <c r="F639" s="4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4">
        <v>7</v>
      </c>
      <c r="L639" s="4" t="s">
        <v>81</v>
      </c>
      <c r="M639" s="4" t="s">
        <v>29</v>
      </c>
      <c r="N639" s="4">
        <v>1225.4000000000001</v>
      </c>
    </row>
    <row r="640" spans="1:14" ht="15" customHeight="1" x14ac:dyDescent="0.2">
      <c r="A640" s="4" t="s">
        <v>2396</v>
      </c>
      <c r="B640" s="6">
        <v>45214</v>
      </c>
      <c r="C640" s="4" t="s">
        <v>2397</v>
      </c>
      <c r="D640" s="4" t="s">
        <v>32</v>
      </c>
      <c r="E640" s="4">
        <v>4</v>
      </c>
      <c r="F640" s="4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4">
        <v>9</v>
      </c>
      <c r="L640" s="4" t="s">
        <v>81</v>
      </c>
      <c r="M640" s="4" t="s">
        <v>38</v>
      </c>
      <c r="N640" s="4">
        <v>2313.08</v>
      </c>
    </row>
    <row r="641" spans="1:14" ht="15" customHeight="1" x14ac:dyDescent="0.2">
      <c r="A641" s="4" t="s">
        <v>2400</v>
      </c>
      <c r="B641" s="6">
        <v>44946</v>
      </c>
      <c r="C641" s="4" t="s">
        <v>2401</v>
      </c>
      <c r="D641" s="4" t="s">
        <v>41</v>
      </c>
      <c r="E641" s="4">
        <v>1</v>
      </c>
      <c r="F641" s="4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4">
        <v>5</v>
      </c>
      <c r="M641" s="4" t="s">
        <v>29</v>
      </c>
      <c r="N641" s="4">
        <v>529.19000000000005</v>
      </c>
    </row>
    <row r="642" spans="1:14" ht="15" customHeight="1" x14ac:dyDescent="0.2">
      <c r="A642" s="4" t="s">
        <v>2403</v>
      </c>
      <c r="B642" s="6">
        <v>45349</v>
      </c>
      <c r="C642" s="4" t="s">
        <v>2404</v>
      </c>
      <c r="D642" s="4" t="s">
        <v>41</v>
      </c>
      <c r="E642" s="4">
        <v>2</v>
      </c>
      <c r="F642" s="4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4">
        <v>6</v>
      </c>
      <c r="L642" s="4" t="s">
        <v>21</v>
      </c>
      <c r="M642" s="4" t="s">
        <v>29</v>
      </c>
      <c r="N642" s="4">
        <v>1174.98</v>
      </c>
    </row>
    <row r="643" spans="1:14" ht="15" customHeight="1" x14ac:dyDescent="0.2">
      <c r="A643" s="4" t="s">
        <v>2406</v>
      </c>
      <c r="B643" s="6">
        <v>45473</v>
      </c>
      <c r="C643" s="4" t="s">
        <v>2407</v>
      </c>
      <c r="D643" s="4" t="s">
        <v>48</v>
      </c>
      <c r="E643" s="4">
        <v>4</v>
      </c>
      <c r="F643" s="4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4">
        <v>9</v>
      </c>
      <c r="L643" s="4" t="s">
        <v>81</v>
      </c>
      <c r="M643" s="4" t="s">
        <v>76</v>
      </c>
      <c r="N643" s="4">
        <v>2270.2800000000002</v>
      </c>
    </row>
    <row r="644" spans="1:14" ht="15" customHeight="1" x14ac:dyDescent="0.2">
      <c r="A644" s="4" t="s">
        <v>2409</v>
      </c>
      <c r="B644" s="6">
        <v>45411</v>
      </c>
      <c r="C644" s="4" t="s">
        <v>2410</v>
      </c>
      <c r="D644" s="4" t="s">
        <v>41</v>
      </c>
      <c r="E644" s="4">
        <v>5</v>
      </c>
      <c r="F644" s="4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4">
        <v>7</v>
      </c>
      <c r="L644" s="4" t="s">
        <v>37</v>
      </c>
      <c r="M644" s="4" t="s">
        <v>38</v>
      </c>
      <c r="N644" s="4">
        <v>426.1</v>
      </c>
    </row>
    <row r="645" spans="1:14" ht="15" customHeight="1" x14ac:dyDescent="0.2">
      <c r="A645" s="4" t="s">
        <v>2413</v>
      </c>
      <c r="B645" s="6">
        <v>45530</v>
      </c>
      <c r="C645" s="4" t="s">
        <v>2414</v>
      </c>
      <c r="D645" s="4" t="s">
        <v>58</v>
      </c>
      <c r="E645" s="4">
        <v>1</v>
      </c>
      <c r="F645" s="4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4">
        <v>4</v>
      </c>
      <c r="L645" s="4" t="s">
        <v>21</v>
      </c>
      <c r="M645" s="4" t="s">
        <v>29</v>
      </c>
      <c r="N645" s="4">
        <v>438.37</v>
      </c>
    </row>
    <row r="646" spans="1:14" ht="15" customHeight="1" x14ac:dyDescent="0.2">
      <c r="A646" s="4" t="s">
        <v>2416</v>
      </c>
      <c r="B646" s="6">
        <v>45245</v>
      </c>
      <c r="C646" s="4" t="s">
        <v>2417</v>
      </c>
      <c r="D646" s="4" t="s">
        <v>41</v>
      </c>
      <c r="E646" s="4">
        <v>2</v>
      </c>
      <c r="F646" s="4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4">
        <v>2</v>
      </c>
      <c r="L646" s="4" t="s">
        <v>81</v>
      </c>
      <c r="M646" s="4" t="s">
        <v>38</v>
      </c>
      <c r="N646" s="4">
        <v>732.46</v>
      </c>
    </row>
    <row r="647" spans="1:14" ht="15" customHeight="1" x14ac:dyDescent="0.2">
      <c r="A647" s="4" t="s">
        <v>2420</v>
      </c>
      <c r="B647" s="6">
        <v>44928</v>
      </c>
      <c r="C647" s="4" t="s">
        <v>2421</v>
      </c>
      <c r="D647" s="4" t="s">
        <v>58</v>
      </c>
      <c r="E647" s="4">
        <v>2</v>
      </c>
      <c r="F647" s="4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4">
        <v>4</v>
      </c>
      <c r="L647" s="4" t="s">
        <v>21</v>
      </c>
      <c r="M647" s="4" t="s">
        <v>45</v>
      </c>
      <c r="N647" s="4">
        <v>300.10000000000002</v>
      </c>
    </row>
    <row r="648" spans="1:14" ht="15" customHeight="1" x14ac:dyDescent="0.2">
      <c r="A648" s="4" t="s">
        <v>2423</v>
      </c>
      <c r="B648" s="6">
        <v>45226</v>
      </c>
      <c r="C648" s="4" t="s">
        <v>2424</v>
      </c>
      <c r="D648" s="4" t="s">
        <v>41</v>
      </c>
      <c r="E648" s="4">
        <v>4</v>
      </c>
      <c r="F648" s="4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4">
        <v>4</v>
      </c>
      <c r="L648" s="4" t="s">
        <v>21</v>
      </c>
      <c r="M648" s="4" t="s">
        <v>76</v>
      </c>
      <c r="N648" s="4">
        <v>1994.04</v>
      </c>
    </row>
    <row r="649" spans="1:14" ht="15" customHeight="1" x14ac:dyDescent="0.2">
      <c r="A649" s="4" t="s">
        <v>2427</v>
      </c>
      <c r="B649" s="6">
        <v>45771</v>
      </c>
      <c r="C649" s="4" t="s">
        <v>2428</v>
      </c>
      <c r="D649" s="4" t="s">
        <v>73</v>
      </c>
      <c r="E649" s="4">
        <v>3</v>
      </c>
      <c r="F649" s="4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4">
        <v>7</v>
      </c>
      <c r="L649" s="4" t="s">
        <v>37</v>
      </c>
      <c r="M649" s="4" t="s">
        <v>76</v>
      </c>
      <c r="N649" s="4">
        <v>1018.17</v>
      </c>
    </row>
    <row r="650" spans="1:14" ht="15" customHeight="1" x14ac:dyDescent="0.2">
      <c r="A650" s="4" t="s">
        <v>2430</v>
      </c>
      <c r="B650" s="6">
        <v>45675</v>
      </c>
      <c r="C650" s="4" t="s">
        <v>2431</v>
      </c>
      <c r="D650" s="4" t="s">
        <v>16</v>
      </c>
      <c r="E650" s="4">
        <v>2</v>
      </c>
      <c r="F650" s="4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4">
        <v>3</v>
      </c>
      <c r="L650" s="4" t="s">
        <v>81</v>
      </c>
      <c r="M650" s="4" t="s">
        <v>29</v>
      </c>
      <c r="N650" s="4">
        <v>1151.6600000000001</v>
      </c>
    </row>
    <row r="651" spans="1:14" ht="15" customHeight="1" x14ac:dyDescent="0.2">
      <c r="A651" s="4" t="s">
        <v>2434</v>
      </c>
      <c r="B651" s="6">
        <v>45283</v>
      </c>
      <c r="C651" s="4" t="s">
        <v>2435</v>
      </c>
      <c r="D651" s="4" t="s">
        <v>16</v>
      </c>
      <c r="E651" s="4">
        <v>2</v>
      </c>
      <c r="F651" s="4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4">
        <v>7</v>
      </c>
      <c r="L651" s="4" t="s">
        <v>37</v>
      </c>
      <c r="M651" s="4" t="s">
        <v>38</v>
      </c>
      <c r="N651" s="4">
        <v>1285.96</v>
      </c>
    </row>
    <row r="652" spans="1:14" ht="15" customHeight="1" x14ac:dyDescent="0.2">
      <c r="A652" s="4" t="s">
        <v>2437</v>
      </c>
      <c r="B652" s="6">
        <v>45064</v>
      </c>
      <c r="C652" s="4" t="s">
        <v>2438</v>
      </c>
      <c r="D652" s="4" t="s">
        <v>73</v>
      </c>
      <c r="E652" s="4">
        <v>2</v>
      </c>
      <c r="F652" s="4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4">
        <v>7</v>
      </c>
      <c r="L652" s="4" t="s">
        <v>21</v>
      </c>
      <c r="M652" s="4" t="s">
        <v>38</v>
      </c>
      <c r="N652" s="4">
        <v>744.46</v>
      </c>
    </row>
    <row r="653" spans="1:14" ht="15" customHeight="1" x14ac:dyDescent="0.2">
      <c r="A653" s="4" t="s">
        <v>2441</v>
      </c>
      <c r="B653" s="6">
        <v>45608</v>
      </c>
      <c r="C653" s="4" t="s">
        <v>2442</v>
      </c>
      <c r="D653" s="4" t="s">
        <v>41</v>
      </c>
      <c r="E653" s="4">
        <v>3</v>
      </c>
      <c r="F653" s="4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4">
        <v>5</v>
      </c>
      <c r="M653" s="4" t="s">
        <v>76</v>
      </c>
      <c r="N653" s="4">
        <v>1939.02</v>
      </c>
    </row>
    <row r="654" spans="1:14" ht="15" customHeight="1" x14ac:dyDescent="0.2">
      <c r="A654" s="4" t="s">
        <v>2444</v>
      </c>
      <c r="B654" s="6">
        <v>45448</v>
      </c>
      <c r="C654" s="4" t="s">
        <v>2445</v>
      </c>
      <c r="D654" s="4" t="s">
        <v>41</v>
      </c>
      <c r="E654" s="4">
        <v>5</v>
      </c>
      <c r="F654" s="4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4">
        <v>8</v>
      </c>
      <c r="L654" s="4" t="s">
        <v>37</v>
      </c>
      <c r="M654" s="4" t="s">
        <v>22</v>
      </c>
      <c r="N654" s="4">
        <v>1709.2</v>
      </c>
    </row>
    <row r="655" spans="1:14" ht="15" customHeight="1" x14ac:dyDescent="0.2">
      <c r="A655" s="4" t="s">
        <v>2448</v>
      </c>
      <c r="B655" s="6">
        <v>45347</v>
      </c>
      <c r="C655" s="4" t="s">
        <v>2449</v>
      </c>
      <c r="D655" s="4" t="s">
        <v>48</v>
      </c>
      <c r="E655" s="4">
        <v>3</v>
      </c>
      <c r="F655" s="4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4">
        <v>6</v>
      </c>
      <c r="L655" s="4" t="s">
        <v>81</v>
      </c>
      <c r="M655" s="4" t="s">
        <v>76</v>
      </c>
      <c r="N655" s="4">
        <v>2070.9</v>
      </c>
    </row>
    <row r="656" spans="1:14" ht="15" customHeight="1" x14ac:dyDescent="0.2">
      <c r="A656" s="4" t="s">
        <v>2451</v>
      </c>
      <c r="B656" s="6">
        <v>45089</v>
      </c>
      <c r="C656" s="4" t="s">
        <v>2452</v>
      </c>
      <c r="D656" s="4" t="s">
        <v>32</v>
      </c>
      <c r="E656" s="4">
        <v>3</v>
      </c>
      <c r="F656" s="4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4">
        <v>8</v>
      </c>
      <c r="M656" s="4" t="s">
        <v>22</v>
      </c>
      <c r="N656" s="4">
        <v>1147.1099999999999</v>
      </c>
    </row>
    <row r="657" spans="1:14" ht="15" customHeight="1" x14ac:dyDescent="0.2">
      <c r="A657" s="4" t="s">
        <v>2455</v>
      </c>
      <c r="B657" s="6">
        <v>44999</v>
      </c>
      <c r="C657" s="4" t="s">
        <v>2456</v>
      </c>
      <c r="D657" s="4" t="s">
        <v>41</v>
      </c>
      <c r="E657" s="4">
        <v>2</v>
      </c>
      <c r="F657" s="4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4">
        <v>4</v>
      </c>
      <c r="L657" s="4" t="s">
        <v>81</v>
      </c>
      <c r="M657" s="4" t="s">
        <v>38</v>
      </c>
      <c r="N657" s="4">
        <v>265.2</v>
      </c>
    </row>
    <row r="658" spans="1:14" ht="15" customHeight="1" x14ac:dyDescent="0.2">
      <c r="A658" s="4" t="s">
        <v>2458</v>
      </c>
      <c r="B658" s="6">
        <v>45309</v>
      </c>
      <c r="C658" s="4" t="s">
        <v>2459</v>
      </c>
      <c r="D658" s="4" t="s">
        <v>16</v>
      </c>
      <c r="E658" s="4">
        <v>2</v>
      </c>
      <c r="F658" s="4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4">
        <v>7</v>
      </c>
      <c r="L658" s="4" t="s">
        <v>21</v>
      </c>
      <c r="M658" s="4" t="s">
        <v>45</v>
      </c>
      <c r="N658" s="4">
        <v>378.12</v>
      </c>
    </row>
    <row r="659" spans="1:14" ht="15" customHeight="1" x14ac:dyDescent="0.2">
      <c r="A659" s="4" t="s">
        <v>2462</v>
      </c>
      <c r="B659" s="6">
        <v>45284</v>
      </c>
      <c r="C659" s="4" t="s">
        <v>2463</v>
      </c>
      <c r="D659" s="4" t="s">
        <v>32</v>
      </c>
      <c r="E659" s="4">
        <v>4</v>
      </c>
      <c r="F659" s="4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4">
        <v>6</v>
      </c>
      <c r="L659" s="4" t="s">
        <v>37</v>
      </c>
      <c r="M659" s="4" t="s">
        <v>22</v>
      </c>
      <c r="N659" s="4">
        <v>351.16</v>
      </c>
    </row>
    <row r="660" spans="1:14" ht="15" customHeight="1" x14ac:dyDescent="0.2">
      <c r="A660" s="4" t="s">
        <v>2465</v>
      </c>
      <c r="B660" s="6">
        <v>45765</v>
      </c>
      <c r="C660" s="4" t="s">
        <v>2466</v>
      </c>
      <c r="D660" s="4" t="s">
        <v>48</v>
      </c>
      <c r="E660" s="4">
        <v>2</v>
      </c>
      <c r="F660" s="4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4">
        <v>4</v>
      </c>
      <c r="L660" s="4" t="s">
        <v>21</v>
      </c>
      <c r="M660" s="4" t="s">
        <v>76</v>
      </c>
      <c r="N660" s="4">
        <v>92.72</v>
      </c>
    </row>
    <row r="661" spans="1:14" ht="15" customHeight="1" x14ac:dyDescent="0.2">
      <c r="A661" s="4" t="s">
        <v>2468</v>
      </c>
      <c r="B661" s="6">
        <v>45591</v>
      </c>
      <c r="C661" s="4" t="s">
        <v>2469</v>
      </c>
      <c r="D661" s="4" t="s">
        <v>25</v>
      </c>
      <c r="E661" s="4">
        <v>2</v>
      </c>
      <c r="F661" s="4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4">
        <v>4</v>
      </c>
      <c r="L661" s="4" t="s">
        <v>81</v>
      </c>
      <c r="M661" s="4" t="s">
        <v>38</v>
      </c>
      <c r="N661" s="4">
        <v>1284.08</v>
      </c>
    </row>
    <row r="662" spans="1:14" ht="15" customHeight="1" x14ac:dyDescent="0.2">
      <c r="A662" s="4" t="s">
        <v>2471</v>
      </c>
      <c r="B662" s="6">
        <v>45584</v>
      </c>
      <c r="C662" s="4" t="s">
        <v>2472</v>
      </c>
      <c r="D662" s="4" t="s">
        <v>41</v>
      </c>
      <c r="E662" s="4">
        <v>2</v>
      </c>
      <c r="F662" s="4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4">
        <v>7</v>
      </c>
      <c r="L662" s="4" t="s">
        <v>81</v>
      </c>
      <c r="M662" s="4" t="s">
        <v>45</v>
      </c>
      <c r="N662" s="4">
        <v>1303.1400000000001</v>
      </c>
    </row>
    <row r="663" spans="1:14" ht="15" customHeight="1" x14ac:dyDescent="0.2">
      <c r="A663" s="4" t="s">
        <v>2474</v>
      </c>
      <c r="B663" s="6">
        <v>45716</v>
      </c>
      <c r="C663" s="4" t="s">
        <v>2475</v>
      </c>
      <c r="D663" s="4" t="s">
        <v>32</v>
      </c>
      <c r="E663" s="4">
        <v>3</v>
      </c>
      <c r="F663" s="4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4">
        <v>6</v>
      </c>
      <c r="L663" s="4" t="s">
        <v>37</v>
      </c>
      <c r="M663" s="4" t="s">
        <v>76</v>
      </c>
      <c r="N663" s="4">
        <v>1274.67</v>
      </c>
    </row>
    <row r="664" spans="1:14" ht="15" customHeight="1" x14ac:dyDescent="0.2">
      <c r="A664" s="4" t="s">
        <v>2478</v>
      </c>
      <c r="B664" s="6">
        <v>44954</v>
      </c>
      <c r="C664" s="4" t="s">
        <v>2479</v>
      </c>
      <c r="D664" s="4" t="s">
        <v>58</v>
      </c>
      <c r="E664" s="4">
        <v>3</v>
      </c>
      <c r="F664" s="4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4">
        <v>3</v>
      </c>
      <c r="M664" s="4" t="s">
        <v>45</v>
      </c>
      <c r="N664" s="4">
        <v>1316.67</v>
      </c>
    </row>
    <row r="665" spans="1:14" ht="15" customHeight="1" x14ac:dyDescent="0.2">
      <c r="A665" s="4" t="s">
        <v>2482</v>
      </c>
      <c r="B665" s="6">
        <v>45397</v>
      </c>
      <c r="C665" s="4" t="s">
        <v>2483</v>
      </c>
      <c r="D665" s="4" t="s">
        <v>16</v>
      </c>
      <c r="E665" s="4">
        <v>1</v>
      </c>
      <c r="F665" s="4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4">
        <v>6</v>
      </c>
      <c r="L665" s="4" t="s">
        <v>37</v>
      </c>
      <c r="M665" s="4" t="s">
        <v>22</v>
      </c>
      <c r="N665" s="4">
        <v>72.599999999999994</v>
      </c>
    </row>
    <row r="666" spans="1:14" ht="15" customHeight="1" x14ac:dyDescent="0.2">
      <c r="A666" s="4" t="s">
        <v>2485</v>
      </c>
      <c r="B666" s="6">
        <v>45645</v>
      </c>
      <c r="C666" s="4" t="s">
        <v>951</v>
      </c>
      <c r="D666" s="4" t="s">
        <v>58</v>
      </c>
      <c r="E666" s="4">
        <v>4</v>
      </c>
      <c r="F666" s="4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4">
        <v>5</v>
      </c>
      <c r="M666" s="4" t="s">
        <v>45</v>
      </c>
      <c r="N666" s="4">
        <v>779</v>
      </c>
    </row>
    <row r="667" spans="1:14" ht="15" customHeight="1" x14ac:dyDescent="0.2">
      <c r="A667" s="4" t="s">
        <v>2488</v>
      </c>
      <c r="B667" s="6">
        <v>45048</v>
      </c>
      <c r="C667" s="4" t="s">
        <v>2489</v>
      </c>
      <c r="D667" s="4" t="s">
        <v>32</v>
      </c>
      <c r="E667" s="4">
        <v>4</v>
      </c>
      <c r="F667" s="4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4">
        <v>6</v>
      </c>
      <c r="L667" s="4" t="s">
        <v>81</v>
      </c>
      <c r="M667" s="4" t="s">
        <v>76</v>
      </c>
      <c r="N667" s="4">
        <v>925.04</v>
      </c>
    </row>
    <row r="668" spans="1:14" ht="15" customHeight="1" x14ac:dyDescent="0.2">
      <c r="A668" s="4" t="s">
        <v>2492</v>
      </c>
      <c r="B668" s="6">
        <v>45535</v>
      </c>
      <c r="C668" s="4" t="s">
        <v>2493</v>
      </c>
      <c r="D668" s="4" t="s">
        <v>16</v>
      </c>
      <c r="E668" s="4">
        <v>4</v>
      </c>
      <c r="F668" s="4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4">
        <v>4</v>
      </c>
      <c r="M668" s="4" t="s">
        <v>38</v>
      </c>
      <c r="N668" s="4">
        <v>1308.48</v>
      </c>
    </row>
    <row r="669" spans="1:14" ht="15" customHeight="1" x14ac:dyDescent="0.2">
      <c r="A669" s="4" t="s">
        <v>2495</v>
      </c>
      <c r="B669" s="6">
        <v>45049</v>
      </c>
      <c r="C669" s="4" t="s">
        <v>2496</v>
      </c>
      <c r="D669" s="4" t="s">
        <v>58</v>
      </c>
      <c r="E669" s="4">
        <v>1</v>
      </c>
      <c r="F669" s="4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4">
        <v>5</v>
      </c>
      <c r="L669" s="4" t="s">
        <v>21</v>
      </c>
      <c r="M669" s="4" t="s">
        <v>38</v>
      </c>
      <c r="N669" s="4">
        <v>466.42</v>
      </c>
    </row>
    <row r="670" spans="1:14" ht="15" customHeight="1" x14ac:dyDescent="0.2">
      <c r="A670" s="4" t="s">
        <v>2498</v>
      </c>
      <c r="B670" s="6">
        <v>45478</v>
      </c>
      <c r="C670" s="4" t="s">
        <v>2499</v>
      </c>
      <c r="D670" s="4" t="s">
        <v>16</v>
      </c>
      <c r="E670" s="4">
        <v>2</v>
      </c>
      <c r="F670" s="4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4">
        <v>3</v>
      </c>
      <c r="L670" s="4" t="s">
        <v>81</v>
      </c>
      <c r="M670" s="4" t="s">
        <v>45</v>
      </c>
      <c r="N670" s="4">
        <v>507.34</v>
      </c>
    </row>
    <row r="671" spans="1:14" ht="15" customHeight="1" x14ac:dyDescent="0.2">
      <c r="A671" s="4" t="s">
        <v>2501</v>
      </c>
      <c r="B671" s="6">
        <v>44962</v>
      </c>
      <c r="C671" s="4" t="s">
        <v>2502</v>
      </c>
      <c r="D671" s="4" t="s">
        <v>73</v>
      </c>
      <c r="E671" s="4">
        <v>1</v>
      </c>
      <c r="F671" s="4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4">
        <v>5</v>
      </c>
      <c r="M671" s="4" t="s">
        <v>29</v>
      </c>
      <c r="N671" s="4">
        <v>257</v>
      </c>
    </row>
    <row r="672" spans="1:14" ht="15" customHeight="1" x14ac:dyDescent="0.2">
      <c r="A672" s="4" t="s">
        <v>2505</v>
      </c>
      <c r="B672" s="6">
        <v>45400</v>
      </c>
      <c r="C672" s="4" t="s">
        <v>2506</v>
      </c>
      <c r="D672" s="4" t="s">
        <v>73</v>
      </c>
      <c r="E672" s="4">
        <v>4</v>
      </c>
      <c r="F672" s="4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4">
        <v>8</v>
      </c>
      <c r="L672" s="4" t="s">
        <v>37</v>
      </c>
      <c r="M672" s="4" t="s">
        <v>76</v>
      </c>
      <c r="N672" s="4">
        <v>2156.8000000000002</v>
      </c>
    </row>
    <row r="673" spans="1:14" ht="15" customHeight="1" x14ac:dyDescent="0.2">
      <c r="A673" s="4" t="s">
        <v>2508</v>
      </c>
      <c r="B673" s="6">
        <v>45092</v>
      </c>
      <c r="C673" s="4" t="s">
        <v>2509</v>
      </c>
      <c r="D673" s="4" t="s">
        <v>41</v>
      </c>
      <c r="E673" s="4">
        <v>5</v>
      </c>
      <c r="F673" s="4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4">
        <v>7</v>
      </c>
      <c r="L673" s="4" t="s">
        <v>81</v>
      </c>
      <c r="M673" s="4" t="s">
        <v>76</v>
      </c>
      <c r="N673" s="4">
        <v>253.7</v>
      </c>
    </row>
    <row r="674" spans="1:14" ht="15" customHeight="1" x14ac:dyDescent="0.2">
      <c r="A674" s="4" t="s">
        <v>2511</v>
      </c>
      <c r="B674" s="6">
        <v>45055</v>
      </c>
      <c r="C674" s="4" t="s">
        <v>2512</v>
      </c>
      <c r="D674" s="4" t="s">
        <v>25</v>
      </c>
      <c r="E674" s="4">
        <v>2</v>
      </c>
      <c r="F674" s="4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4">
        <v>2</v>
      </c>
      <c r="L674" s="4" t="s">
        <v>21</v>
      </c>
      <c r="M674" s="4" t="s">
        <v>22</v>
      </c>
      <c r="N674" s="4">
        <v>1248.32</v>
      </c>
    </row>
    <row r="675" spans="1:14" ht="15" customHeight="1" x14ac:dyDescent="0.2">
      <c r="A675" s="4" t="s">
        <v>2514</v>
      </c>
      <c r="B675" s="6">
        <v>44978</v>
      </c>
      <c r="C675" s="4" t="s">
        <v>2515</v>
      </c>
      <c r="D675" s="4" t="s">
        <v>32</v>
      </c>
      <c r="E675" s="4">
        <v>2</v>
      </c>
      <c r="F675" s="4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4">
        <v>7</v>
      </c>
      <c r="L675" s="4" t="s">
        <v>21</v>
      </c>
      <c r="M675" s="4" t="s">
        <v>38</v>
      </c>
      <c r="N675" s="4">
        <v>745.84</v>
      </c>
    </row>
    <row r="676" spans="1:14" ht="15" customHeight="1" x14ac:dyDescent="0.2">
      <c r="A676" s="4" t="s">
        <v>2517</v>
      </c>
      <c r="B676" s="6">
        <v>45300</v>
      </c>
      <c r="C676" s="4" t="s">
        <v>2518</v>
      </c>
      <c r="D676" s="4" t="s">
        <v>58</v>
      </c>
      <c r="E676" s="4">
        <v>4</v>
      </c>
      <c r="F676" s="4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4">
        <v>9</v>
      </c>
      <c r="L676" s="4" t="s">
        <v>21</v>
      </c>
      <c r="M676" s="4" t="s">
        <v>45</v>
      </c>
      <c r="N676" s="4">
        <v>1435</v>
      </c>
    </row>
    <row r="677" spans="1:14" ht="15" customHeight="1" x14ac:dyDescent="0.2">
      <c r="A677" s="4" t="s">
        <v>2521</v>
      </c>
      <c r="B677" s="6">
        <v>45510</v>
      </c>
      <c r="C677" s="4" t="s">
        <v>2522</v>
      </c>
      <c r="D677" s="4" t="s">
        <v>73</v>
      </c>
      <c r="E677" s="4">
        <v>3</v>
      </c>
      <c r="F677" s="4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4">
        <v>5</v>
      </c>
      <c r="M677" s="4" t="s">
        <v>38</v>
      </c>
      <c r="N677" s="4">
        <v>1026.06</v>
      </c>
    </row>
    <row r="678" spans="1:14" ht="15" customHeight="1" x14ac:dyDescent="0.2">
      <c r="A678" s="4" t="s">
        <v>2524</v>
      </c>
      <c r="B678" s="6">
        <v>45831</v>
      </c>
      <c r="C678" s="4" t="s">
        <v>2525</v>
      </c>
      <c r="D678" s="4" t="s">
        <v>58</v>
      </c>
      <c r="E678" s="4">
        <v>2</v>
      </c>
      <c r="F678" s="4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4">
        <v>4</v>
      </c>
      <c r="L678" s="4" t="s">
        <v>37</v>
      </c>
      <c r="M678" s="4" t="s">
        <v>22</v>
      </c>
      <c r="N678" s="4">
        <v>844.68</v>
      </c>
    </row>
    <row r="679" spans="1:14" ht="15" customHeight="1" x14ac:dyDescent="0.2">
      <c r="A679" s="4" t="s">
        <v>2527</v>
      </c>
      <c r="B679" s="6">
        <v>45750</v>
      </c>
      <c r="C679" s="4" t="s">
        <v>2528</v>
      </c>
      <c r="D679" s="4" t="s">
        <v>32</v>
      </c>
      <c r="E679" s="4">
        <v>5</v>
      </c>
      <c r="F679" s="4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4">
        <v>7</v>
      </c>
      <c r="L679" s="4" t="s">
        <v>37</v>
      </c>
      <c r="M679" s="4" t="s">
        <v>22</v>
      </c>
      <c r="N679" s="4">
        <v>110.35</v>
      </c>
    </row>
    <row r="680" spans="1:14" ht="15" customHeight="1" x14ac:dyDescent="0.2">
      <c r="A680" s="4" t="s">
        <v>2530</v>
      </c>
      <c r="B680" s="6">
        <v>45620</v>
      </c>
      <c r="C680" s="4" t="s">
        <v>2531</v>
      </c>
      <c r="D680" s="4" t="s">
        <v>41</v>
      </c>
      <c r="E680" s="4">
        <v>3</v>
      </c>
      <c r="F680" s="4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4">
        <v>5</v>
      </c>
      <c r="L680" s="4" t="s">
        <v>81</v>
      </c>
      <c r="M680" s="4" t="s">
        <v>45</v>
      </c>
      <c r="N680" s="4">
        <v>489.39</v>
      </c>
    </row>
    <row r="681" spans="1:14" ht="15" customHeight="1" x14ac:dyDescent="0.2">
      <c r="A681" s="4" t="s">
        <v>2533</v>
      </c>
      <c r="B681" s="6">
        <v>44959</v>
      </c>
      <c r="C681" s="4" t="s">
        <v>2534</v>
      </c>
      <c r="D681" s="4" t="s">
        <v>32</v>
      </c>
      <c r="E681" s="4">
        <v>3</v>
      </c>
      <c r="F681" s="4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4">
        <v>5</v>
      </c>
      <c r="L681" s="4" t="s">
        <v>37</v>
      </c>
      <c r="M681" s="4" t="s">
        <v>22</v>
      </c>
      <c r="N681" s="4">
        <v>1081.98</v>
      </c>
    </row>
    <row r="682" spans="1:14" ht="15" customHeight="1" x14ac:dyDescent="0.2">
      <c r="A682" s="4" t="s">
        <v>2536</v>
      </c>
      <c r="B682" s="6">
        <v>45165</v>
      </c>
      <c r="C682" s="4" t="s">
        <v>2537</v>
      </c>
      <c r="D682" s="4" t="s">
        <v>16</v>
      </c>
      <c r="E682" s="4">
        <v>3</v>
      </c>
      <c r="F682" s="4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4">
        <v>3</v>
      </c>
      <c r="M682" s="4" t="s">
        <v>45</v>
      </c>
      <c r="N682" s="4">
        <v>1390.17</v>
      </c>
    </row>
    <row r="683" spans="1:14" ht="15" customHeight="1" x14ac:dyDescent="0.2">
      <c r="A683" s="4" t="s">
        <v>2540</v>
      </c>
      <c r="B683" s="6">
        <v>45321</v>
      </c>
      <c r="C683" s="4" t="s">
        <v>2541</v>
      </c>
      <c r="D683" s="4" t="s">
        <v>32</v>
      </c>
      <c r="E683" s="4">
        <v>1</v>
      </c>
      <c r="F683" s="4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4">
        <v>6</v>
      </c>
      <c r="M683" s="4" t="s">
        <v>38</v>
      </c>
      <c r="N683" s="4">
        <v>155.27000000000001</v>
      </c>
    </row>
    <row r="684" spans="1:14" ht="15" customHeight="1" x14ac:dyDescent="0.2">
      <c r="A684" s="4" t="s">
        <v>2544</v>
      </c>
      <c r="B684" s="6">
        <v>45130</v>
      </c>
      <c r="C684" s="4" t="s">
        <v>2545</v>
      </c>
      <c r="D684" s="4" t="s">
        <v>16</v>
      </c>
      <c r="E684" s="4">
        <v>3</v>
      </c>
      <c r="F684" s="4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4">
        <v>5</v>
      </c>
      <c r="L684" s="4" t="s">
        <v>37</v>
      </c>
      <c r="M684" s="4" t="s">
        <v>76</v>
      </c>
      <c r="N684" s="4">
        <v>1528.26</v>
      </c>
    </row>
    <row r="685" spans="1:14" ht="15" customHeight="1" x14ac:dyDescent="0.2">
      <c r="A685" s="4" t="s">
        <v>2547</v>
      </c>
      <c r="B685" s="6">
        <v>45795</v>
      </c>
      <c r="C685" s="4" t="s">
        <v>2548</v>
      </c>
      <c r="D685" s="4" t="s">
        <v>73</v>
      </c>
      <c r="E685" s="4">
        <v>4</v>
      </c>
      <c r="F685" s="4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4">
        <v>5</v>
      </c>
      <c r="L685" s="4" t="s">
        <v>37</v>
      </c>
      <c r="M685" s="4" t="s">
        <v>22</v>
      </c>
      <c r="N685" s="4">
        <v>2609.92</v>
      </c>
    </row>
    <row r="686" spans="1:14" ht="15" customHeight="1" x14ac:dyDescent="0.2">
      <c r="A686" s="4" t="s">
        <v>2551</v>
      </c>
      <c r="B686" s="6">
        <v>45557</v>
      </c>
      <c r="C686" s="4" t="s">
        <v>2552</v>
      </c>
      <c r="D686" s="4" t="s">
        <v>48</v>
      </c>
      <c r="E686" s="4">
        <v>4</v>
      </c>
      <c r="F686" s="4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4">
        <v>8</v>
      </c>
      <c r="M686" s="4" t="s">
        <v>38</v>
      </c>
      <c r="N686" s="4">
        <v>139.36000000000001</v>
      </c>
    </row>
    <row r="687" spans="1:14" ht="15" customHeight="1" x14ac:dyDescent="0.2">
      <c r="A687" s="4" t="s">
        <v>2555</v>
      </c>
      <c r="B687" s="6">
        <v>45695</v>
      </c>
      <c r="C687" s="4" t="s">
        <v>2556</v>
      </c>
      <c r="D687" s="4" t="s">
        <v>73</v>
      </c>
      <c r="E687" s="4">
        <v>1</v>
      </c>
      <c r="F687" s="4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4">
        <v>5</v>
      </c>
      <c r="L687" s="4" t="s">
        <v>37</v>
      </c>
      <c r="M687" s="4" t="s">
        <v>38</v>
      </c>
      <c r="N687" s="4">
        <v>234.37</v>
      </c>
    </row>
    <row r="688" spans="1:14" ht="15" customHeight="1" x14ac:dyDescent="0.2">
      <c r="A688" s="4" t="s">
        <v>2559</v>
      </c>
      <c r="B688" s="6">
        <v>45208</v>
      </c>
      <c r="C688" s="4" t="s">
        <v>2560</v>
      </c>
      <c r="D688" s="4" t="s">
        <v>73</v>
      </c>
      <c r="E688" s="4">
        <v>3</v>
      </c>
      <c r="F688" s="4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4">
        <v>4</v>
      </c>
      <c r="L688" s="4" t="s">
        <v>81</v>
      </c>
      <c r="M688" s="4" t="s">
        <v>45</v>
      </c>
      <c r="N688" s="4">
        <v>160.80000000000001</v>
      </c>
    </row>
    <row r="689" spans="1:14" ht="15" customHeight="1" x14ac:dyDescent="0.2">
      <c r="A689" s="4" t="s">
        <v>2563</v>
      </c>
      <c r="B689" s="6">
        <v>45182</v>
      </c>
      <c r="C689" s="4" t="s">
        <v>2564</v>
      </c>
      <c r="D689" s="4" t="s">
        <v>32</v>
      </c>
      <c r="E689" s="4">
        <v>1</v>
      </c>
      <c r="F689" s="4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4">
        <v>5</v>
      </c>
      <c r="L689" s="4" t="s">
        <v>37</v>
      </c>
      <c r="M689" s="4" t="s">
        <v>22</v>
      </c>
      <c r="N689" s="4">
        <v>332.09</v>
      </c>
    </row>
    <row r="690" spans="1:14" ht="15" customHeight="1" x14ac:dyDescent="0.2">
      <c r="A690" s="4" t="s">
        <v>2567</v>
      </c>
      <c r="B690" s="6">
        <v>45357</v>
      </c>
      <c r="C690" s="4" t="s">
        <v>2568</v>
      </c>
      <c r="D690" s="4" t="s">
        <v>16</v>
      </c>
      <c r="E690" s="4">
        <v>4</v>
      </c>
      <c r="F690" s="4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4">
        <v>8</v>
      </c>
      <c r="L690" s="4" t="s">
        <v>81</v>
      </c>
      <c r="M690" s="4" t="s">
        <v>45</v>
      </c>
      <c r="N690" s="4">
        <v>2372.88</v>
      </c>
    </row>
    <row r="691" spans="1:14" ht="15" customHeight="1" x14ac:dyDescent="0.2">
      <c r="A691" s="4" t="s">
        <v>2570</v>
      </c>
      <c r="B691" s="6">
        <v>45167</v>
      </c>
      <c r="C691" s="4" t="s">
        <v>2571</v>
      </c>
      <c r="D691" s="4" t="s">
        <v>32</v>
      </c>
      <c r="E691" s="4">
        <v>2</v>
      </c>
      <c r="F691" s="4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4">
        <v>7</v>
      </c>
      <c r="M691" s="4" t="s">
        <v>45</v>
      </c>
      <c r="N691" s="4">
        <v>889.68</v>
      </c>
    </row>
    <row r="692" spans="1:14" ht="15" customHeight="1" x14ac:dyDescent="0.2">
      <c r="A692" s="4" t="s">
        <v>2574</v>
      </c>
      <c r="B692" s="6">
        <v>45485</v>
      </c>
      <c r="C692" s="4" t="s">
        <v>2575</v>
      </c>
      <c r="D692" s="4" t="s">
        <v>16</v>
      </c>
      <c r="E692" s="4">
        <v>1</v>
      </c>
      <c r="F692" s="4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4">
        <v>1</v>
      </c>
      <c r="M692" s="4" t="s">
        <v>22</v>
      </c>
      <c r="N692" s="4">
        <v>24.48</v>
      </c>
    </row>
    <row r="693" spans="1:14" ht="15" customHeight="1" x14ac:dyDescent="0.2">
      <c r="A693" s="4" t="s">
        <v>2577</v>
      </c>
      <c r="B693" s="6">
        <v>45620</v>
      </c>
      <c r="C693" s="4" t="s">
        <v>2578</v>
      </c>
      <c r="D693" s="4" t="s">
        <v>58</v>
      </c>
      <c r="E693" s="4">
        <v>3</v>
      </c>
      <c r="F693" s="4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4">
        <v>8</v>
      </c>
      <c r="M693" s="4" t="s">
        <v>76</v>
      </c>
      <c r="N693" s="4">
        <v>717.24</v>
      </c>
    </row>
    <row r="694" spans="1:14" ht="15" customHeight="1" x14ac:dyDescent="0.2">
      <c r="A694" s="4" t="s">
        <v>2581</v>
      </c>
      <c r="B694" s="6">
        <v>44949</v>
      </c>
      <c r="C694" s="4" t="s">
        <v>2582</v>
      </c>
      <c r="D694" s="4" t="s">
        <v>73</v>
      </c>
      <c r="E694" s="4">
        <v>5</v>
      </c>
      <c r="F694" s="4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4">
        <v>5</v>
      </c>
      <c r="L694" s="4" t="s">
        <v>81</v>
      </c>
      <c r="M694" s="4" t="s">
        <v>22</v>
      </c>
      <c r="N694" s="4">
        <v>984.2</v>
      </c>
    </row>
    <row r="695" spans="1:14" ht="15" customHeight="1" x14ac:dyDescent="0.2">
      <c r="A695" s="4" t="s">
        <v>2584</v>
      </c>
      <c r="B695" s="6">
        <v>45728</v>
      </c>
      <c r="C695" s="4" t="s">
        <v>2585</v>
      </c>
      <c r="D695" s="4" t="s">
        <v>16</v>
      </c>
      <c r="E695" s="4">
        <v>1</v>
      </c>
      <c r="F695" s="4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4">
        <v>4</v>
      </c>
      <c r="M695" s="4" t="s">
        <v>29</v>
      </c>
      <c r="N695" s="4">
        <v>176.58</v>
      </c>
    </row>
    <row r="696" spans="1:14" ht="15" customHeight="1" x14ac:dyDescent="0.2">
      <c r="A696" s="4" t="s">
        <v>2588</v>
      </c>
      <c r="B696" s="6">
        <v>45201</v>
      </c>
      <c r="C696" s="4" t="s">
        <v>2589</v>
      </c>
      <c r="D696" s="4" t="s">
        <v>48</v>
      </c>
      <c r="E696" s="4">
        <v>4</v>
      </c>
      <c r="F696" s="4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4">
        <v>8</v>
      </c>
      <c r="L696" s="4" t="s">
        <v>37</v>
      </c>
      <c r="M696" s="4" t="s">
        <v>38</v>
      </c>
      <c r="N696" s="4">
        <v>2666.08</v>
      </c>
    </row>
    <row r="697" spans="1:14" ht="15" customHeight="1" x14ac:dyDescent="0.2">
      <c r="A697" s="4" t="s">
        <v>2591</v>
      </c>
      <c r="B697" s="6">
        <v>45619</v>
      </c>
      <c r="C697" s="4" t="s">
        <v>2592</v>
      </c>
      <c r="D697" s="4" t="s">
        <v>48</v>
      </c>
      <c r="E697" s="4">
        <v>5</v>
      </c>
      <c r="F697" s="4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4">
        <v>7</v>
      </c>
      <c r="L697" s="4" t="s">
        <v>37</v>
      </c>
      <c r="M697" s="4" t="s">
        <v>38</v>
      </c>
      <c r="N697" s="4">
        <v>506.5</v>
      </c>
    </row>
    <row r="698" spans="1:14" ht="15" customHeight="1" x14ac:dyDescent="0.2">
      <c r="A698" s="4" t="s">
        <v>2594</v>
      </c>
      <c r="B698" s="6">
        <v>45109</v>
      </c>
      <c r="C698" s="4" t="s">
        <v>2595</v>
      </c>
      <c r="D698" s="4" t="s">
        <v>41</v>
      </c>
      <c r="E698" s="4">
        <v>4</v>
      </c>
      <c r="F698" s="4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4">
        <v>9</v>
      </c>
      <c r="L698" s="4" t="s">
        <v>81</v>
      </c>
      <c r="M698" s="4" t="s">
        <v>45</v>
      </c>
      <c r="N698" s="4">
        <v>604.79999999999995</v>
      </c>
    </row>
    <row r="699" spans="1:14" ht="15" customHeight="1" x14ac:dyDescent="0.2">
      <c r="A699" s="4" t="s">
        <v>2598</v>
      </c>
      <c r="B699" s="6">
        <v>45692</v>
      </c>
      <c r="C699" s="4" t="s">
        <v>2599</v>
      </c>
      <c r="D699" s="4" t="s">
        <v>48</v>
      </c>
      <c r="E699" s="4">
        <v>5</v>
      </c>
      <c r="F699" s="4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4">
        <v>6</v>
      </c>
      <c r="L699" s="4" t="s">
        <v>81</v>
      </c>
      <c r="M699" s="4" t="s">
        <v>38</v>
      </c>
      <c r="N699" s="4">
        <v>474.25</v>
      </c>
    </row>
    <row r="700" spans="1:14" ht="15" customHeight="1" x14ac:dyDescent="0.2">
      <c r="A700" s="4" t="s">
        <v>2601</v>
      </c>
      <c r="B700" s="6">
        <v>44930</v>
      </c>
      <c r="C700" s="4" t="s">
        <v>2602</v>
      </c>
      <c r="D700" s="4" t="s">
        <v>58</v>
      </c>
      <c r="E700" s="4">
        <v>2</v>
      </c>
      <c r="F700" s="4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4">
        <v>2</v>
      </c>
      <c r="L700" s="4" t="s">
        <v>81</v>
      </c>
      <c r="M700" s="4" t="s">
        <v>22</v>
      </c>
      <c r="N700" s="4">
        <v>776.44</v>
      </c>
    </row>
    <row r="701" spans="1:14" ht="15" customHeight="1" x14ac:dyDescent="0.2">
      <c r="A701" s="4" t="s">
        <v>2604</v>
      </c>
      <c r="B701" s="6">
        <v>45243</v>
      </c>
      <c r="C701" s="4" t="s">
        <v>2605</v>
      </c>
      <c r="D701" s="4" t="s">
        <v>58</v>
      </c>
      <c r="E701" s="4">
        <v>3</v>
      </c>
      <c r="F701" s="4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4">
        <v>3</v>
      </c>
      <c r="M701" s="4" t="s">
        <v>45</v>
      </c>
      <c r="N701" s="4">
        <v>1842.45</v>
      </c>
    </row>
    <row r="702" spans="1:14" ht="15" customHeight="1" x14ac:dyDescent="0.2">
      <c r="A702" s="4" t="s">
        <v>2608</v>
      </c>
      <c r="B702" s="6">
        <v>45560</v>
      </c>
      <c r="C702" s="4" t="s">
        <v>2609</v>
      </c>
      <c r="D702" s="4" t="s">
        <v>58</v>
      </c>
      <c r="E702" s="4">
        <v>2</v>
      </c>
      <c r="F702" s="4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4">
        <v>3</v>
      </c>
      <c r="L702" s="4" t="s">
        <v>81</v>
      </c>
      <c r="M702" s="4" t="s">
        <v>22</v>
      </c>
      <c r="N702" s="4">
        <v>185.82</v>
      </c>
    </row>
    <row r="703" spans="1:14" ht="15" customHeight="1" x14ac:dyDescent="0.2">
      <c r="A703" s="4" t="s">
        <v>2612</v>
      </c>
      <c r="B703" s="6">
        <v>45466</v>
      </c>
      <c r="C703" s="4" t="s">
        <v>2613</v>
      </c>
      <c r="D703" s="4" t="s">
        <v>16</v>
      </c>
      <c r="E703" s="4">
        <v>3</v>
      </c>
      <c r="F703" s="4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4">
        <v>5</v>
      </c>
      <c r="L703" s="4" t="s">
        <v>37</v>
      </c>
      <c r="M703" s="4" t="s">
        <v>38</v>
      </c>
      <c r="N703" s="4">
        <v>276.66000000000003</v>
      </c>
    </row>
    <row r="704" spans="1:14" ht="15" customHeight="1" x14ac:dyDescent="0.2">
      <c r="A704" s="4" t="s">
        <v>2615</v>
      </c>
      <c r="B704" s="6">
        <v>45452</v>
      </c>
      <c r="C704" s="4" t="s">
        <v>2616</v>
      </c>
      <c r="D704" s="4" t="s">
        <v>48</v>
      </c>
      <c r="E704" s="4">
        <v>3</v>
      </c>
      <c r="F704" s="4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4">
        <v>6</v>
      </c>
      <c r="M704" s="4" t="s">
        <v>38</v>
      </c>
      <c r="N704" s="4">
        <v>1687.65</v>
      </c>
    </row>
    <row r="705" spans="1:14" ht="15" customHeight="1" x14ac:dyDescent="0.2">
      <c r="A705" s="4" t="s">
        <v>2618</v>
      </c>
      <c r="B705" s="6">
        <v>45007</v>
      </c>
      <c r="C705" s="4" t="s">
        <v>2619</v>
      </c>
      <c r="D705" s="4" t="s">
        <v>73</v>
      </c>
      <c r="E705" s="4">
        <v>1</v>
      </c>
      <c r="F705" s="4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4">
        <v>3</v>
      </c>
      <c r="L705" s="4" t="s">
        <v>81</v>
      </c>
      <c r="M705" s="4" t="s">
        <v>38</v>
      </c>
      <c r="N705" s="4">
        <v>92.79</v>
      </c>
    </row>
    <row r="706" spans="1:14" ht="15" customHeight="1" x14ac:dyDescent="0.2">
      <c r="A706" s="4" t="s">
        <v>2622</v>
      </c>
      <c r="B706" s="6">
        <v>45080</v>
      </c>
      <c r="C706" s="4" t="s">
        <v>2623</v>
      </c>
      <c r="D706" s="4" t="s">
        <v>73</v>
      </c>
      <c r="E706" s="4">
        <v>4</v>
      </c>
      <c r="F706" s="4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4">
        <v>9</v>
      </c>
      <c r="L706" s="4" t="s">
        <v>37</v>
      </c>
      <c r="M706" s="4" t="s">
        <v>76</v>
      </c>
      <c r="N706" s="4">
        <v>121.08</v>
      </c>
    </row>
    <row r="707" spans="1:14" ht="15" customHeight="1" x14ac:dyDescent="0.2">
      <c r="A707" s="4" t="s">
        <v>2625</v>
      </c>
      <c r="B707" s="6">
        <v>45746</v>
      </c>
      <c r="C707" s="4" t="s">
        <v>2626</v>
      </c>
      <c r="D707" s="4" t="s">
        <v>16</v>
      </c>
      <c r="E707" s="4">
        <v>2</v>
      </c>
      <c r="F707" s="4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4">
        <v>7</v>
      </c>
      <c r="L707" s="4" t="s">
        <v>37</v>
      </c>
      <c r="M707" s="4" t="s">
        <v>22</v>
      </c>
      <c r="N707" s="4">
        <v>98.16</v>
      </c>
    </row>
    <row r="708" spans="1:14" ht="15" customHeight="1" x14ac:dyDescent="0.2">
      <c r="A708" s="4" t="s">
        <v>2629</v>
      </c>
      <c r="B708" s="6">
        <v>45718</v>
      </c>
      <c r="C708" s="4" t="s">
        <v>2630</v>
      </c>
      <c r="D708" s="4" t="s">
        <v>73</v>
      </c>
      <c r="E708" s="4">
        <v>5</v>
      </c>
      <c r="F708" s="4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4">
        <v>9</v>
      </c>
      <c r="L708" s="4" t="s">
        <v>37</v>
      </c>
      <c r="M708" s="4" t="s">
        <v>45</v>
      </c>
      <c r="N708" s="4">
        <v>1140.45</v>
      </c>
    </row>
    <row r="709" spans="1:14" ht="15" customHeight="1" x14ac:dyDescent="0.2">
      <c r="A709" s="4" t="s">
        <v>2632</v>
      </c>
      <c r="B709" s="6">
        <v>45597</v>
      </c>
      <c r="C709" s="4" t="s">
        <v>2633</v>
      </c>
      <c r="D709" s="4" t="s">
        <v>41</v>
      </c>
      <c r="E709" s="4">
        <v>4</v>
      </c>
      <c r="F709" s="4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4">
        <v>6</v>
      </c>
      <c r="L709" s="4" t="s">
        <v>21</v>
      </c>
      <c r="M709" s="4" t="s">
        <v>45</v>
      </c>
      <c r="N709" s="4">
        <v>2600.16</v>
      </c>
    </row>
    <row r="710" spans="1:14" ht="15" customHeight="1" x14ac:dyDescent="0.2">
      <c r="A710" s="4" t="s">
        <v>2635</v>
      </c>
      <c r="B710" s="6">
        <v>45720</v>
      </c>
      <c r="C710" s="4" t="s">
        <v>2636</v>
      </c>
      <c r="D710" s="4" t="s">
        <v>48</v>
      </c>
      <c r="E710" s="4">
        <v>1</v>
      </c>
      <c r="F710" s="4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4">
        <v>3</v>
      </c>
      <c r="L710" s="4" t="s">
        <v>37</v>
      </c>
      <c r="M710" s="4" t="s">
        <v>22</v>
      </c>
      <c r="N710" s="4">
        <v>665.11</v>
      </c>
    </row>
    <row r="711" spans="1:14" ht="15" customHeight="1" x14ac:dyDescent="0.2">
      <c r="A711" s="4" t="s">
        <v>2638</v>
      </c>
      <c r="B711" s="6">
        <v>45633</v>
      </c>
      <c r="C711" s="4" t="s">
        <v>2639</v>
      </c>
      <c r="D711" s="4" t="s">
        <v>73</v>
      </c>
      <c r="E711" s="4">
        <v>1</v>
      </c>
      <c r="F711" s="4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4">
        <v>4</v>
      </c>
      <c r="L711" s="4" t="s">
        <v>37</v>
      </c>
      <c r="M711" s="4" t="s">
        <v>76</v>
      </c>
      <c r="N711" s="4">
        <v>386.03</v>
      </c>
    </row>
    <row r="712" spans="1:14" ht="15" customHeight="1" x14ac:dyDescent="0.2">
      <c r="A712" s="4" t="s">
        <v>2642</v>
      </c>
      <c r="B712" s="6">
        <v>45495</v>
      </c>
      <c r="C712" s="4" t="s">
        <v>2643</v>
      </c>
      <c r="D712" s="4" t="s">
        <v>58</v>
      </c>
      <c r="E712" s="4">
        <v>5</v>
      </c>
      <c r="F712" s="4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4">
        <v>10</v>
      </c>
      <c r="M712" s="4" t="s">
        <v>76</v>
      </c>
      <c r="N712" s="4">
        <v>107.7</v>
      </c>
    </row>
    <row r="713" spans="1:14" ht="15" customHeight="1" x14ac:dyDescent="0.2">
      <c r="A713" s="4" t="s">
        <v>2646</v>
      </c>
      <c r="B713" s="6">
        <v>45477</v>
      </c>
      <c r="C713" s="4" t="s">
        <v>2647</v>
      </c>
      <c r="D713" s="4" t="s">
        <v>32</v>
      </c>
      <c r="E713" s="4">
        <v>2</v>
      </c>
      <c r="F713" s="4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4">
        <v>2</v>
      </c>
      <c r="L713" s="4" t="s">
        <v>81</v>
      </c>
      <c r="M713" s="4" t="s">
        <v>76</v>
      </c>
      <c r="N713" s="4">
        <v>951.56</v>
      </c>
    </row>
    <row r="714" spans="1:14" ht="15" customHeight="1" x14ac:dyDescent="0.2">
      <c r="A714" s="4" t="s">
        <v>2650</v>
      </c>
      <c r="B714" s="6">
        <v>45300</v>
      </c>
      <c r="C714" s="4" t="s">
        <v>2119</v>
      </c>
      <c r="D714" s="4" t="s">
        <v>32</v>
      </c>
      <c r="E714" s="4">
        <v>2</v>
      </c>
      <c r="F714" s="4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4">
        <v>7</v>
      </c>
      <c r="L714" s="4" t="s">
        <v>37</v>
      </c>
      <c r="M714" s="4" t="s">
        <v>38</v>
      </c>
      <c r="N714" s="4">
        <v>136.80000000000001</v>
      </c>
    </row>
    <row r="715" spans="1:14" ht="15" customHeight="1" x14ac:dyDescent="0.2">
      <c r="A715" s="4" t="s">
        <v>2653</v>
      </c>
      <c r="B715" s="6">
        <v>45829</v>
      </c>
      <c r="C715" s="4" t="s">
        <v>2654</v>
      </c>
      <c r="D715" s="4" t="s">
        <v>32</v>
      </c>
      <c r="E715" s="4">
        <v>4</v>
      </c>
      <c r="F715" s="4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4">
        <v>6</v>
      </c>
      <c r="L715" s="4" t="s">
        <v>21</v>
      </c>
      <c r="M715" s="4" t="s">
        <v>45</v>
      </c>
      <c r="N715" s="4">
        <v>2129.96</v>
      </c>
    </row>
    <row r="716" spans="1:14" ht="15" customHeight="1" x14ac:dyDescent="0.2">
      <c r="A716" s="4" t="s">
        <v>2656</v>
      </c>
      <c r="B716" s="6">
        <v>45037</v>
      </c>
      <c r="C716" s="4" t="s">
        <v>2657</v>
      </c>
      <c r="D716" s="4" t="s">
        <v>58</v>
      </c>
      <c r="E716" s="4">
        <v>1</v>
      </c>
      <c r="F716" s="4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4">
        <v>1</v>
      </c>
      <c r="L716" s="4" t="s">
        <v>37</v>
      </c>
      <c r="M716" s="4" t="s">
        <v>45</v>
      </c>
      <c r="N716" s="4">
        <v>51.73</v>
      </c>
    </row>
    <row r="717" spans="1:14" ht="15" customHeight="1" x14ac:dyDescent="0.2">
      <c r="A717" s="4" t="s">
        <v>2659</v>
      </c>
      <c r="B717" s="6">
        <v>45499</v>
      </c>
      <c r="C717" s="4" t="s">
        <v>2660</v>
      </c>
      <c r="D717" s="4" t="s">
        <v>48</v>
      </c>
      <c r="E717" s="4">
        <v>3</v>
      </c>
      <c r="F717" s="4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4">
        <v>7</v>
      </c>
      <c r="L717" s="4" t="s">
        <v>37</v>
      </c>
      <c r="M717" s="4" t="s">
        <v>38</v>
      </c>
      <c r="N717" s="4">
        <v>1960.89</v>
      </c>
    </row>
    <row r="718" spans="1:14" ht="15" customHeight="1" x14ac:dyDescent="0.2">
      <c r="A718" s="4" t="s">
        <v>2663</v>
      </c>
      <c r="B718" s="6">
        <v>45456</v>
      </c>
      <c r="C718" s="4" t="s">
        <v>2664</v>
      </c>
      <c r="D718" s="4" t="s">
        <v>41</v>
      </c>
      <c r="E718" s="4">
        <v>3</v>
      </c>
      <c r="F718" s="4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4">
        <v>4</v>
      </c>
      <c r="L718" s="4" t="s">
        <v>81</v>
      </c>
      <c r="M718" s="4" t="s">
        <v>76</v>
      </c>
      <c r="N718" s="4">
        <v>1362.87</v>
      </c>
    </row>
    <row r="719" spans="1:14" ht="15" customHeight="1" x14ac:dyDescent="0.2">
      <c r="A719" s="4" t="s">
        <v>2666</v>
      </c>
      <c r="B719" s="6">
        <v>45215</v>
      </c>
      <c r="C719" s="4" t="s">
        <v>2667</v>
      </c>
      <c r="D719" s="4" t="s">
        <v>41</v>
      </c>
      <c r="E719" s="4">
        <v>3</v>
      </c>
      <c r="F719" s="4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4">
        <v>4</v>
      </c>
      <c r="L719" s="4" t="s">
        <v>81</v>
      </c>
      <c r="M719" s="4" t="s">
        <v>38</v>
      </c>
      <c r="N719" s="4">
        <v>366.33</v>
      </c>
    </row>
    <row r="720" spans="1:14" ht="15" customHeight="1" x14ac:dyDescent="0.2">
      <c r="A720" s="4" t="s">
        <v>2670</v>
      </c>
      <c r="B720" s="6">
        <v>45024</v>
      </c>
      <c r="C720" s="4" t="s">
        <v>2671</v>
      </c>
      <c r="D720" s="4" t="s">
        <v>58</v>
      </c>
      <c r="E720" s="4">
        <v>4</v>
      </c>
      <c r="F720" s="4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4">
        <v>8</v>
      </c>
      <c r="L720" s="4" t="s">
        <v>21</v>
      </c>
      <c r="M720" s="4" t="s">
        <v>76</v>
      </c>
      <c r="N720" s="4">
        <v>258.95999999999998</v>
      </c>
    </row>
    <row r="721" spans="1:14" ht="15" customHeight="1" x14ac:dyDescent="0.2">
      <c r="A721" s="4" t="s">
        <v>2674</v>
      </c>
      <c r="B721" s="6">
        <v>45312</v>
      </c>
      <c r="C721" s="4" t="s">
        <v>2675</v>
      </c>
      <c r="D721" s="4" t="s">
        <v>58</v>
      </c>
      <c r="E721" s="4">
        <v>2</v>
      </c>
      <c r="F721" s="4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4">
        <v>3</v>
      </c>
      <c r="L721" s="4" t="s">
        <v>37</v>
      </c>
      <c r="M721" s="4" t="s">
        <v>45</v>
      </c>
      <c r="N721" s="4">
        <v>1362.12</v>
      </c>
    </row>
    <row r="722" spans="1:14" ht="15" customHeight="1" x14ac:dyDescent="0.2">
      <c r="A722" s="4" t="s">
        <v>2678</v>
      </c>
      <c r="B722" s="6">
        <v>45190</v>
      </c>
      <c r="C722" s="4" t="s">
        <v>2679</v>
      </c>
      <c r="D722" s="4" t="s">
        <v>73</v>
      </c>
      <c r="E722" s="4">
        <v>5</v>
      </c>
      <c r="F722" s="4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4">
        <v>10</v>
      </c>
      <c r="L722" s="4" t="s">
        <v>37</v>
      </c>
      <c r="M722" s="4" t="s">
        <v>22</v>
      </c>
      <c r="N722" s="4">
        <v>644.75</v>
      </c>
    </row>
    <row r="723" spans="1:14" ht="15" customHeight="1" x14ac:dyDescent="0.2">
      <c r="A723" s="4" t="s">
        <v>2682</v>
      </c>
      <c r="B723" s="6">
        <v>45369</v>
      </c>
      <c r="C723" s="4" t="s">
        <v>2683</v>
      </c>
      <c r="D723" s="4" t="s">
        <v>73</v>
      </c>
      <c r="E723" s="4">
        <v>2</v>
      </c>
      <c r="F723" s="4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4">
        <v>2</v>
      </c>
      <c r="M723" s="4" t="s">
        <v>38</v>
      </c>
      <c r="N723" s="4">
        <v>237.18</v>
      </c>
    </row>
    <row r="724" spans="1:14" ht="15" customHeight="1" x14ac:dyDescent="0.2">
      <c r="A724" s="4" t="s">
        <v>2686</v>
      </c>
      <c r="B724" s="6">
        <v>45611</v>
      </c>
      <c r="C724" s="4" t="s">
        <v>2687</v>
      </c>
      <c r="D724" s="4" t="s">
        <v>48</v>
      </c>
      <c r="E724" s="4">
        <v>1</v>
      </c>
      <c r="F724" s="4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4">
        <v>1</v>
      </c>
      <c r="L724" s="4" t="s">
        <v>81</v>
      </c>
      <c r="M724" s="4" t="s">
        <v>22</v>
      </c>
      <c r="N724" s="4">
        <v>95.1</v>
      </c>
    </row>
    <row r="725" spans="1:14" ht="15" customHeight="1" x14ac:dyDescent="0.2">
      <c r="A725" s="4" t="s">
        <v>2689</v>
      </c>
      <c r="B725" s="6">
        <v>45269</v>
      </c>
      <c r="C725" s="4" t="s">
        <v>2690</v>
      </c>
      <c r="D725" s="4" t="s">
        <v>73</v>
      </c>
      <c r="E725" s="4">
        <v>3</v>
      </c>
      <c r="F725" s="4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4">
        <v>8</v>
      </c>
      <c r="L725" s="4" t="s">
        <v>21</v>
      </c>
      <c r="M725" s="4" t="s">
        <v>29</v>
      </c>
      <c r="N725" s="4">
        <v>164.85</v>
      </c>
    </row>
    <row r="726" spans="1:14" ht="15" customHeight="1" x14ac:dyDescent="0.2">
      <c r="A726" s="4" t="s">
        <v>2692</v>
      </c>
      <c r="B726" s="6">
        <v>45583</v>
      </c>
      <c r="C726" s="4" t="s">
        <v>2693</v>
      </c>
      <c r="D726" s="4" t="s">
        <v>48</v>
      </c>
      <c r="E726" s="4">
        <v>3</v>
      </c>
      <c r="F726" s="4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4">
        <v>4</v>
      </c>
      <c r="L726" s="4" t="s">
        <v>37</v>
      </c>
      <c r="M726" s="4" t="s">
        <v>29</v>
      </c>
      <c r="N726" s="4">
        <v>410.91</v>
      </c>
    </row>
    <row r="727" spans="1:14" ht="15" customHeight="1" x14ac:dyDescent="0.2">
      <c r="A727" s="4" t="s">
        <v>2695</v>
      </c>
      <c r="B727" s="6">
        <v>44997</v>
      </c>
      <c r="C727" s="4" t="s">
        <v>2696</v>
      </c>
      <c r="D727" s="4" t="s">
        <v>41</v>
      </c>
      <c r="E727" s="4">
        <v>2</v>
      </c>
      <c r="F727" s="4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4">
        <v>5</v>
      </c>
      <c r="M727" s="4" t="s">
        <v>29</v>
      </c>
      <c r="N727" s="4">
        <v>389.7</v>
      </c>
    </row>
    <row r="728" spans="1:14" ht="15" customHeight="1" x14ac:dyDescent="0.2">
      <c r="A728" s="4" t="s">
        <v>2698</v>
      </c>
      <c r="B728" s="6">
        <v>45590</v>
      </c>
      <c r="C728" s="4" t="s">
        <v>2699</v>
      </c>
      <c r="D728" s="4" t="s">
        <v>58</v>
      </c>
      <c r="E728" s="4">
        <v>4</v>
      </c>
      <c r="F728" s="4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4">
        <v>4</v>
      </c>
      <c r="L728" s="4" t="s">
        <v>37</v>
      </c>
      <c r="M728" s="4" t="s">
        <v>45</v>
      </c>
      <c r="N728" s="4">
        <v>2332.08</v>
      </c>
    </row>
    <row r="729" spans="1:14" ht="15" customHeight="1" x14ac:dyDescent="0.2">
      <c r="A729" s="4" t="s">
        <v>2702</v>
      </c>
      <c r="B729" s="6">
        <v>45564</v>
      </c>
      <c r="C729" s="4" t="s">
        <v>2703</v>
      </c>
      <c r="D729" s="4" t="s">
        <v>41</v>
      </c>
      <c r="E729" s="4">
        <v>5</v>
      </c>
      <c r="F729" s="4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4">
        <v>8</v>
      </c>
      <c r="L729" s="4" t="s">
        <v>21</v>
      </c>
      <c r="M729" s="4" t="s">
        <v>22</v>
      </c>
      <c r="N729" s="4">
        <v>478.75</v>
      </c>
    </row>
    <row r="730" spans="1:14" ht="15" customHeight="1" x14ac:dyDescent="0.2">
      <c r="A730" s="4" t="s">
        <v>2705</v>
      </c>
      <c r="B730" s="6">
        <v>45502</v>
      </c>
      <c r="C730" s="4" t="s">
        <v>2706</v>
      </c>
      <c r="D730" s="4" t="s">
        <v>73</v>
      </c>
      <c r="E730" s="4">
        <v>4</v>
      </c>
      <c r="F730" s="4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4">
        <v>8</v>
      </c>
      <c r="L730" s="4" t="s">
        <v>81</v>
      </c>
      <c r="M730" s="4" t="s">
        <v>38</v>
      </c>
      <c r="N730" s="4">
        <v>1303.04</v>
      </c>
    </row>
    <row r="731" spans="1:14" ht="15" customHeight="1" x14ac:dyDescent="0.2">
      <c r="A731" s="4" t="s">
        <v>2709</v>
      </c>
      <c r="B731" s="6">
        <v>45177</v>
      </c>
      <c r="C731" s="4" t="s">
        <v>2710</v>
      </c>
      <c r="D731" s="4" t="s">
        <v>25</v>
      </c>
      <c r="E731" s="4">
        <v>4</v>
      </c>
      <c r="F731" s="4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4">
        <v>6</v>
      </c>
      <c r="L731" s="4" t="s">
        <v>21</v>
      </c>
      <c r="M731" s="4" t="s">
        <v>76</v>
      </c>
      <c r="N731" s="4">
        <v>745.64</v>
      </c>
    </row>
    <row r="732" spans="1:14" ht="15" customHeight="1" x14ac:dyDescent="0.2">
      <c r="A732" s="4" t="s">
        <v>2712</v>
      </c>
      <c r="B732" s="6">
        <v>45710</v>
      </c>
      <c r="C732" s="4" t="s">
        <v>2713</v>
      </c>
      <c r="D732" s="4" t="s">
        <v>25</v>
      </c>
      <c r="E732" s="4">
        <v>1</v>
      </c>
      <c r="F732" s="4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4">
        <v>4</v>
      </c>
      <c r="L732" s="4" t="s">
        <v>21</v>
      </c>
      <c r="M732" s="4" t="s">
        <v>38</v>
      </c>
      <c r="N732" s="4">
        <v>474.6</v>
      </c>
    </row>
    <row r="733" spans="1:14" ht="15" customHeight="1" x14ac:dyDescent="0.2">
      <c r="A733" s="4" t="s">
        <v>2715</v>
      </c>
      <c r="B733" s="6">
        <v>45450</v>
      </c>
      <c r="C733" s="4" t="s">
        <v>2716</v>
      </c>
      <c r="D733" s="4" t="s">
        <v>48</v>
      </c>
      <c r="E733" s="4">
        <v>5</v>
      </c>
      <c r="F733" s="4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4">
        <v>8</v>
      </c>
      <c r="M733" s="4" t="s">
        <v>38</v>
      </c>
      <c r="N733" s="4">
        <v>2922.3</v>
      </c>
    </row>
    <row r="734" spans="1:14" ht="15" customHeight="1" x14ac:dyDescent="0.2">
      <c r="A734" s="4" t="s">
        <v>2719</v>
      </c>
      <c r="B734" s="6">
        <v>45723</v>
      </c>
      <c r="C734" s="4" t="s">
        <v>2720</v>
      </c>
      <c r="D734" s="4" t="s">
        <v>58</v>
      </c>
      <c r="E734" s="4">
        <v>1</v>
      </c>
      <c r="F734" s="4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4">
        <v>2</v>
      </c>
      <c r="M734" s="4" t="s">
        <v>76</v>
      </c>
      <c r="N734" s="4">
        <v>132.05000000000001</v>
      </c>
    </row>
    <row r="735" spans="1:14" ht="15" customHeight="1" x14ac:dyDescent="0.2">
      <c r="A735" s="4" t="s">
        <v>2722</v>
      </c>
      <c r="B735" s="6">
        <v>45264</v>
      </c>
      <c r="C735" s="4" t="s">
        <v>2723</v>
      </c>
      <c r="D735" s="4" t="s">
        <v>32</v>
      </c>
      <c r="E735" s="4">
        <v>4</v>
      </c>
      <c r="F735" s="4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4">
        <v>8</v>
      </c>
      <c r="L735" s="4" t="s">
        <v>21</v>
      </c>
      <c r="M735" s="4" t="s">
        <v>38</v>
      </c>
      <c r="N735" s="4">
        <v>1979.36</v>
      </c>
    </row>
    <row r="736" spans="1:14" ht="15" customHeight="1" x14ac:dyDescent="0.2">
      <c r="A736" s="4" t="s">
        <v>2725</v>
      </c>
      <c r="B736" s="6">
        <v>45314</v>
      </c>
      <c r="C736" s="4" t="s">
        <v>2726</v>
      </c>
      <c r="D736" s="4" t="s">
        <v>48</v>
      </c>
      <c r="E736" s="4">
        <v>4</v>
      </c>
      <c r="F736" s="4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4">
        <v>6</v>
      </c>
      <c r="L736" s="4" t="s">
        <v>81</v>
      </c>
      <c r="M736" s="4" t="s">
        <v>45</v>
      </c>
      <c r="N736" s="4">
        <v>898.44</v>
      </c>
    </row>
    <row r="737" spans="1:14" ht="15" customHeight="1" x14ac:dyDescent="0.2">
      <c r="A737" s="4" t="s">
        <v>2728</v>
      </c>
      <c r="B737" s="6">
        <v>45471</v>
      </c>
      <c r="C737" s="4" t="s">
        <v>2729</v>
      </c>
      <c r="D737" s="4" t="s">
        <v>16</v>
      </c>
      <c r="E737" s="4">
        <v>4</v>
      </c>
      <c r="F737" s="4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4">
        <v>6</v>
      </c>
      <c r="M737" s="4" t="s">
        <v>38</v>
      </c>
      <c r="N737" s="4">
        <v>176.28</v>
      </c>
    </row>
    <row r="738" spans="1:14" ht="15" customHeight="1" x14ac:dyDescent="0.2">
      <c r="A738" s="4" t="s">
        <v>2731</v>
      </c>
      <c r="B738" s="6">
        <v>45331</v>
      </c>
      <c r="C738" s="4" t="s">
        <v>2732</v>
      </c>
      <c r="D738" s="4" t="s">
        <v>16</v>
      </c>
      <c r="E738" s="4">
        <v>5</v>
      </c>
      <c r="F738" s="4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4">
        <v>6</v>
      </c>
      <c r="L738" s="4" t="s">
        <v>37</v>
      </c>
      <c r="M738" s="4" t="s">
        <v>76</v>
      </c>
      <c r="N738" s="4">
        <v>2092.65</v>
      </c>
    </row>
    <row r="739" spans="1:14" ht="15" customHeight="1" x14ac:dyDescent="0.2">
      <c r="A739" s="4" t="s">
        <v>2734</v>
      </c>
      <c r="B739" s="6">
        <v>45294</v>
      </c>
      <c r="C739" s="4" t="s">
        <v>2735</v>
      </c>
      <c r="D739" s="4" t="s">
        <v>25</v>
      </c>
      <c r="E739" s="4">
        <v>4</v>
      </c>
      <c r="F739" s="4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4">
        <v>9</v>
      </c>
      <c r="L739" s="4" t="s">
        <v>37</v>
      </c>
      <c r="M739" s="4" t="s">
        <v>22</v>
      </c>
      <c r="N739" s="4">
        <v>2131.48</v>
      </c>
    </row>
    <row r="740" spans="1:14" ht="15" customHeight="1" x14ac:dyDescent="0.2">
      <c r="A740" s="4" t="s">
        <v>2738</v>
      </c>
      <c r="B740" s="6">
        <v>45812</v>
      </c>
      <c r="C740" s="4" t="s">
        <v>2739</v>
      </c>
      <c r="D740" s="4" t="s">
        <v>25</v>
      </c>
      <c r="E740" s="4">
        <v>2</v>
      </c>
      <c r="F740" s="4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4">
        <v>5</v>
      </c>
      <c r="L740" s="4" t="s">
        <v>21</v>
      </c>
      <c r="M740" s="4" t="s">
        <v>38</v>
      </c>
      <c r="N740" s="4">
        <v>970.74</v>
      </c>
    </row>
    <row r="741" spans="1:14" ht="15" customHeight="1" x14ac:dyDescent="0.2">
      <c r="A741" s="4" t="s">
        <v>2742</v>
      </c>
      <c r="B741" s="6">
        <v>45456</v>
      </c>
      <c r="C741" s="4" t="s">
        <v>2743</v>
      </c>
      <c r="D741" s="4" t="s">
        <v>25</v>
      </c>
      <c r="E741" s="4">
        <v>4</v>
      </c>
      <c r="F741" s="4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4">
        <v>4</v>
      </c>
      <c r="L741" s="4" t="s">
        <v>21</v>
      </c>
      <c r="M741" s="4" t="s">
        <v>45</v>
      </c>
      <c r="N741" s="4">
        <v>1546.92</v>
      </c>
    </row>
    <row r="742" spans="1:14" ht="15" customHeight="1" x14ac:dyDescent="0.2">
      <c r="A742" s="4" t="s">
        <v>2745</v>
      </c>
      <c r="B742" s="6">
        <v>45493</v>
      </c>
      <c r="C742" s="4" t="s">
        <v>2746</v>
      </c>
      <c r="D742" s="4" t="s">
        <v>73</v>
      </c>
      <c r="E742" s="4">
        <v>2</v>
      </c>
      <c r="F742" s="4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4">
        <v>7</v>
      </c>
      <c r="M742" s="4" t="s">
        <v>76</v>
      </c>
      <c r="N742" s="4">
        <v>754.94</v>
      </c>
    </row>
    <row r="743" spans="1:14" ht="15" customHeight="1" x14ac:dyDescent="0.2">
      <c r="A743" s="4" t="s">
        <v>2748</v>
      </c>
      <c r="B743" s="6">
        <v>45680</v>
      </c>
      <c r="C743" s="4" t="s">
        <v>2749</v>
      </c>
      <c r="D743" s="4" t="s">
        <v>16</v>
      </c>
      <c r="E743" s="4">
        <v>5</v>
      </c>
      <c r="F743" s="4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4">
        <v>10</v>
      </c>
      <c r="M743" s="4" t="s">
        <v>29</v>
      </c>
      <c r="N743" s="4">
        <v>1663.2</v>
      </c>
    </row>
    <row r="744" spans="1:14" ht="15" customHeight="1" x14ac:dyDescent="0.2">
      <c r="A744" s="4" t="s">
        <v>2752</v>
      </c>
      <c r="B744" s="6">
        <v>45626</v>
      </c>
      <c r="C744" s="4" t="s">
        <v>2753</v>
      </c>
      <c r="D744" s="4" t="s">
        <v>58</v>
      </c>
      <c r="E744" s="4">
        <v>3</v>
      </c>
      <c r="F744" s="4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4">
        <v>7</v>
      </c>
      <c r="L744" s="4" t="s">
        <v>21</v>
      </c>
      <c r="M744" s="4" t="s">
        <v>76</v>
      </c>
      <c r="N744" s="4">
        <v>2099.79</v>
      </c>
    </row>
    <row r="745" spans="1:14" ht="15" customHeight="1" x14ac:dyDescent="0.2">
      <c r="A745" s="4" t="s">
        <v>2755</v>
      </c>
      <c r="B745" s="6">
        <v>45565</v>
      </c>
      <c r="C745" s="4" t="s">
        <v>2756</v>
      </c>
      <c r="D745" s="4" t="s">
        <v>16</v>
      </c>
      <c r="E745" s="4">
        <v>1</v>
      </c>
      <c r="F745" s="4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4">
        <v>1</v>
      </c>
      <c r="L745" s="4" t="s">
        <v>81</v>
      </c>
      <c r="M745" s="4" t="s">
        <v>22</v>
      </c>
      <c r="N745" s="4">
        <v>576.35</v>
      </c>
    </row>
    <row r="746" spans="1:14" ht="15" customHeight="1" x14ac:dyDescent="0.2">
      <c r="A746" s="4" t="s">
        <v>2758</v>
      </c>
      <c r="B746" s="6">
        <v>45455</v>
      </c>
      <c r="C746" s="4" t="s">
        <v>2759</v>
      </c>
      <c r="D746" s="4" t="s">
        <v>32</v>
      </c>
      <c r="E746" s="4">
        <v>2</v>
      </c>
      <c r="F746" s="4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4">
        <v>5</v>
      </c>
      <c r="L746" s="4" t="s">
        <v>21</v>
      </c>
      <c r="M746" s="4" t="s">
        <v>76</v>
      </c>
      <c r="N746" s="4">
        <v>922.74</v>
      </c>
    </row>
    <row r="747" spans="1:14" ht="15" customHeight="1" x14ac:dyDescent="0.2">
      <c r="A747" s="4" t="s">
        <v>2762</v>
      </c>
      <c r="B747" s="6">
        <v>44987</v>
      </c>
      <c r="C747" s="4" t="s">
        <v>2763</v>
      </c>
      <c r="D747" s="4" t="s">
        <v>48</v>
      </c>
      <c r="E747" s="4">
        <v>4</v>
      </c>
      <c r="F747" s="4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4">
        <v>7</v>
      </c>
      <c r="L747" s="4" t="s">
        <v>37</v>
      </c>
      <c r="M747" s="4" t="s">
        <v>38</v>
      </c>
      <c r="N747" s="4">
        <v>445.2</v>
      </c>
    </row>
    <row r="748" spans="1:14" ht="15" customHeight="1" x14ac:dyDescent="0.2">
      <c r="A748" s="4" t="s">
        <v>2766</v>
      </c>
      <c r="B748" s="6">
        <v>45712</v>
      </c>
      <c r="C748" s="4" t="s">
        <v>2767</v>
      </c>
      <c r="D748" s="4" t="s">
        <v>73</v>
      </c>
      <c r="E748" s="4">
        <v>3</v>
      </c>
      <c r="F748" s="4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4">
        <v>6</v>
      </c>
      <c r="L748" s="4" t="s">
        <v>81</v>
      </c>
      <c r="M748" s="4" t="s">
        <v>29</v>
      </c>
      <c r="N748" s="4">
        <v>1985.67</v>
      </c>
    </row>
    <row r="749" spans="1:14" ht="15" customHeight="1" x14ac:dyDescent="0.2">
      <c r="A749" s="4" t="s">
        <v>2770</v>
      </c>
      <c r="B749" s="6">
        <v>45728</v>
      </c>
      <c r="C749" s="4" t="s">
        <v>2771</v>
      </c>
      <c r="D749" s="4" t="s">
        <v>32</v>
      </c>
      <c r="E749" s="4">
        <v>2</v>
      </c>
      <c r="F749" s="4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4">
        <v>7</v>
      </c>
      <c r="L749" s="4" t="s">
        <v>37</v>
      </c>
      <c r="M749" s="4" t="s">
        <v>22</v>
      </c>
      <c r="N749" s="4">
        <v>519.16</v>
      </c>
    </row>
    <row r="750" spans="1:14" ht="15" customHeight="1" x14ac:dyDescent="0.2">
      <c r="A750" s="4" t="s">
        <v>2774</v>
      </c>
      <c r="B750" s="6">
        <v>45488</v>
      </c>
      <c r="C750" s="4" t="s">
        <v>2775</v>
      </c>
      <c r="D750" s="4" t="s">
        <v>32</v>
      </c>
      <c r="E750" s="4">
        <v>3</v>
      </c>
      <c r="F750" s="4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4">
        <v>8</v>
      </c>
      <c r="L750" s="4" t="s">
        <v>37</v>
      </c>
      <c r="M750" s="4" t="s">
        <v>29</v>
      </c>
      <c r="N750" s="4">
        <v>212.43</v>
      </c>
    </row>
    <row r="751" spans="1:14" ht="15" customHeight="1" x14ac:dyDescent="0.2">
      <c r="A751" s="4" t="s">
        <v>2777</v>
      </c>
      <c r="B751" s="6">
        <v>45760</v>
      </c>
      <c r="C751" s="4" t="s">
        <v>2778</v>
      </c>
      <c r="D751" s="4" t="s">
        <v>58</v>
      </c>
      <c r="E751" s="4">
        <v>1</v>
      </c>
      <c r="F751" s="4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4">
        <v>4</v>
      </c>
      <c r="L751" s="4" t="s">
        <v>37</v>
      </c>
      <c r="M751" s="4" t="s">
        <v>22</v>
      </c>
      <c r="N751" s="4">
        <v>518.39</v>
      </c>
    </row>
    <row r="752" spans="1:14" ht="15" customHeight="1" x14ac:dyDescent="0.2">
      <c r="A752" s="4" t="s">
        <v>2781</v>
      </c>
      <c r="B752" s="6">
        <v>44940</v>
      </c>
      <c r="C752" s="4" t="s">
        <v>2782</v>
      </c>
      <c r="D752" s="4" t="s">
        <v>32</v>
      </c>
      <c r="E752" s="4">
        <v>4</v>
      </c>
      <c r="F752" s="4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4">
        <v>7</v>
      </c>
      <c r="L752" s="4" t="s">
        <v>37</v>
      </c>
      <c r="M752" s="4" t="s">
        <v>38</v>
      </c>
      <c r="N752" s="4">
        <v>581.64</v>
      </c>
    </row>
    <row r="753" spans="1:14" ht="15" customHeight="1" x14ac:dyDescent="0.2">
      <c r="A753" s="4" t="s">
        <v>2785</v>
      </c>
      <c r="B753" s="6">
        <v>44950</v>
      </c>
      <c r="C753" s="4" t="s">
        <v>2786</v>
      </c>
      <c r="D753" s="4" t="s">
        <v>32</v>
      </c>
      <c r="E753" s="4">
        <v>2</v>
      </c>
      <c r="F753" s="4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4">
        <v>7</v>
      </c>
      <c r="L753" s="4" t="s">
        <v>37</v>
      </c>
      <c r="M753" s="4" t="s">
        <v>45</v>
      </c>
      <c r="N753" s="4">
        <v>1199.72</v>
      </c>
    </row>
    <row r="754" spans="1:14" ht="15" customHeight="1" x14ac:dyDescent="0.2">
      <c r="A754" s="4" t="s">
        <v>2789</v>
      </c>
      <c r="B754" s="6">
        <v>45568</v>
      </c>
      <c r="C754" s="4" t="s">
        <v>2790</v>
      </c>
      <c r="D754" s="4" t="s">
        <v>25</v>
      </c>
      <c r="E754" s="4">
        <v>4</v>
      </c>
      <c r="F754" s="4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4">
        <v>8</v>
      </c>
      <c r="L754" s="4" t="s">
        <v>37</v>
      </c>
      <c r="M754" s="4" t="s">
        <v>76</v>
      </c>
      <c r="N754" s="4">
        <v>1717.48</v>
      </c>
    </row>
    <row r="755" spans="1:14" ht="15" customHeight="1" x14ac:dyDescent="0.2">
      <c r="A755" s="4" t="s">
        <v>2792</v>
      </c>
      <c r="B755" s="6">
        <v>45406</v>
      </c>
      <c r="C755" s="4" t="s">
        <v>2793</v>
      </c>
      <c r="D755" s="4" t="s">
        <v>25</v>
      </c>
      <c r="E755" s="4">
        <v>2</v>
      </c>
      <c r="F755" s="4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4">
        <v>7</v>
      </c>
      <c r="L755" s="4" t="s">
        <v>37</v>
      </c>
      <c r="M755" s="4" t="s">
        <v>22</v>
      </c>
      <c r="N755" s="4">
        <v>482.98</v>
      </c>
    </row>
    <row r="756" spans="1:14" ht="15" customHeight="1" x14ac:dyDescent="0.2">
      <c r="A756" s="4" t="s">
        <v>2796</v>
      </c>
      <c r="B756" s="6">
        <v>45808</v>
      </c>
      <c r="C756" s="4" t="s">
        <v>2797</v>
      </c>
      <c r="D756" s="4" t="s">
        <v>48</v>
      </c>
      <c r="E756" s="4">
        <v>2</v>
      </c>
      <c r="F756" s="4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4">
        <v>3</v>
      </c>
      <c r="L756" s="4" t="s">
        <v>81</v>
      </c>
      <c r="M756" s="4" t="s">
        <v>38</v>
      </c>
      <c r="N756" s="4">
        <v>904.1</v>
      </c>
    </row>
    <row r="757" spans="1:14" ht="15" customHeight="1" x14ac:dyDescent="0.2">
      <c r="A757" s="4" t="s">
        <v>2800</v>
      </c>
      <c r="B757" s="6">
        <v>45090</v>
      </c>
      <c r="C757" s="4" t="s">
        <v>2801</v>
      </c>
      <c r="D757" s="4" t="s">
        <v>73</v>
      </c>
      <c r="E757" s="4">
        <v>3</v>
      </c>
      <c r="F757" s="4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4">
        <v>4</v>
      </c>
      <c r="M757" s="4" t="s">
        <v>38</v>
      </c>
      <c r="N757" s="4">
        <v>1010.13</v>
      </c>
    </row>
    <row r="758" spans="1:14" ht="15" customHeight="1" x14ac:dyDescent="0.2">
      <c r="A758" s="4" t="s">
        <v>2804</v>
      </c>
      <c r="B758" s="6">
        <v>45470</v>
      </c>
      <c r="C758" s="4" t="s">
        <v>2805</v>
      </c>
      <c r="D758" s="4" t="s">
        <v>25</v>
      </c>
      <c r="E758" s="4">
        <v>1</v>
      </c>
      <c r="F758" s="4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4">
        <v>6</v>
      </c>
      <c r="M758" s="4" t="s">
        <v>76</v>
      </c>
      <c r="N758" s="4">
        <v>283.69</v>
      </c>
    </row>
    <row r="759" spans="1:14" ht="15" customHeight="1" x14ac:dyDescent="0.2">
      <c r="A759" s="4" t="s">
        <v>2807</v>
      </c>
      <c r="B759" s="6">
        <v>45344</v>
      </c>
      <c r="C759" s="4" t="s">
        <v>2808</v>
      </c>
      <c r="D759" s="4" t="s">
        <v>73</v>
      </c>
      <c r="E759" s="4">
        <v>1</v>
      </c>
      <c r="F759" s="4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4">
        <v>2</v>
      </c>
      <c r="L759" s="4" t="s">
        <v>37</v>
      </c>
      <c r="M759" s="4" t="s">
        <v>76</v>
      </c>
      <c r="N759" s="4">
        <v>157.72</v>
      </c>
    </row>
    <row r="760" spans="1:14" ht="15" customHeight="1" x14ac:dyDescent="0.2">
      <c r="A760" s="4" t="s">
        <v>2810</v>
      </c>
      <c r="B760" s="6">
        <v>45011</v>
      </c>
      <c r="C760" s="4" t="s">
        <v>2811</v>
      </c>
      <c r="D760" s="4" t="s">
        <v>32</v>
      </c>
      <c r="E760" s="4">
        <v>3</v>
      </c>
      <c r="F760" s="4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4">
        <v>8</v>
      </c>
      <c r="L760" s="4" t="s">
        <v>81</v>
      </c>
      <c r="M760" s="4" t="s">
        <v>45</v>
      </c>
      <c r="N760" s="4">
        <v>1874.52</v>
      </c>
    </row>
    <row r="761" spans="1:14" ht="15" customHeight="1" x14ac:dyDescent="0.2">
      <c r="A761" s="4" t="s">
        <v>2813</v>
      </c>
      <c r="B761" s="6">
        <v>45131</v>
      </c>
      <c r="C761" s="4" t="s">
        <v>2814</v>
      </c>
      <c r="D761" s="4" t="s">
        <v>73</v>
      </c>
      <c r="E761" s="4">
        <v>3</v>
      </c>
      <c r="F761" s="4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4">
        <v>3</v>
      </c>
      <c r="L761" s="4" t="s">
        <v>37</v>
      </c>
      <c r="M761" s="4" t="s">
        <v>45</v>
      </c>
      <c r="N761" s="4">
        <v>924.03</v>
      </c>
    </row>
    <row r="762" spans="1:14" ht="15" customHeight="1" x14ac:dyDescent="0.2">
      <c r="A762" s="4" t="s">
        <v>2817</v>
      </c>
      <c r="B762" s="6">
        <v>45706</v>
      </c>
      <c r="C762" s="4" t="s">
        <v>2818</v>
      </c>
      <c r="D762" s="4" t="s">
        <v>73</v>
      </c>
      <c r="E762" s="4">
        <v>1</v>
      </c>
      <c r="F762" s="4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4">
        <v>5</v>
      </c>
      <c r="M762" s="4" t="s">
        <v>76</v>
      </c>
      <c r="N762" s="4">
        <v>39.56</v>
      </c>
    </row>
    <row r="763" spans="1:14" ht="15" customHeight="1" x14ac:dyDescent="0.2">
      <c r="A763" s="4" t="s">
        <v>2820</v>
      </c>
      <c r="B763" s="6">
        <v>45079</v>
      </c>
      <c r="C763" s="4" t="s">
        <v>2821</v>
      </c>
      <c r="D763" s="4" t="s">
        <v>73</v>
      </c>
      <c r="E763" s="4">
        <v>4</v>
      </c>
      <c r="F763" s="4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4">
        <v>7</v>
      </c>
      <c r="M763" s="4" t="s">
        <v>76</v>
      </c>
      <c r="N763" s="4">
        <v>151.04</v>
      </c>
    </row>
    <row r="764" spans="1:14" ht="15" customHeight="1" x14ac:dyDescent="0.2">
      <c r="A764" s="4" t="s">
        <v>2824</v>
      </c>
      <c r="B764" s="6">
        <v>45552</v>
      </c>
      <c r="C764" s="4" t="s">
        <v>2825</v>
      </c>
      <c r="D764" s="4" t="s">
        <v>25</v>
      </c>
      <c r="E764" s="4">
        <v>3</v>
      </c>
      <c r="F764" s="4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4">
        <v>8</v>
      </c>
      <c r="L764" s="4" t="s">
        <v>37</v>
      </c>
      <c r="M764" s="4" t="s">
        <v>38</v>
      </c>
      <c r="N764" s="4">
        <v>230.88</v>
      </c>
    </row>
    <row r="765" spans="1:14" ht="15" customHeight="1" x14ac:dyDescent="0.2">
      <c r="A765" s="4" t="s">
        <v>2827</v>
      </c>
      <c r="B765" s="6">
        <v>45022</v>
      </c>
      <c r="C765" s="4" t="s">
        <v>2828</v>
      </c>
      <c r="D765" s="4" t="s">
        <v>58</v>
      </c>
      <c r="E765" s="4">
        <v>1</v>
      </c>
      <c r="F765" s="4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4">
        <v>4</v>
      </c>
      <c r="L765" s="4" t="s">
        <v>37</v>
      </c>
      <c r="M765" s="4" t="s">
        <v>38</v>
      </c>
      <c r="N765" s="4">
        <v>569.96</v>
      </c>
    </row>
    <row r="766" spans="1:14" ht="15" customHeight="1" x14ac:dyDescent="0.2">
      <c r="A766" s="4" t="s">
        <v>2830</v>
      </c>
      <c r="B766" s="6">
        <v>45361</v>
      </c>
      <c r="C766" s="4" t="s">
        <v>2831</v>
      </c>
      <c r="D766" s="4" t="s">
        <v>58</v>
      </c>
      <c r="E766" s="4">
        <v>5</v>
      </c>
      <c r="F766" s="4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4">
        <v>10</v>
      </c>
      <c r="L766" s="4" t="s">
        <v>37</v>
      </c>
      <c r="M766" s="4" t="s">
        <v>38</v>
      </c>
      <c r="N766" s="4">
        <v>3137.15</v>
      </c>
    </row>
    <row r="767" spans="1:14" ht="15" customHeight="1" x14ac:dyDescent="0.2">
      <c r="A767" s="4" t="s">
        <v>2833</v>
      </c>
      <c r="B767" s="6">
        <v>45205</v>
      </c>
      <c r="C767" s="4" t="s">
        <v>2834</v>
      </c>
      <c r="D767" s="4" t="s">
        <v>58</v>
      </c>
      <c r="E767" s="4">
        <v>2</v>
      </c>
      <c r="F767" s="4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4">
        <v>5</v>
      </c>
      <c r="L767" s="4" t="s">
        <v>21</v>
      </c>
      <c r="M767" s="4" t="s">
        <v>76</v>
      </c>
      <c r="N767" s="4">
        <v>1069.82</v>
      </c>
    </row>
    <row r="768" spans="1:14" ht="15" customHeight="1" x14ac:dyDescent="0.2">
      <c r="A768" s="4" t="s">
        <v>2836</v>
      </c>
      <c r="B768" s="6">
        <v>44948</v>
      </c>
      <c r="C768" s="4" t="s">
        <v>2837</v>
      </c>
      <c r="D768" s="4" t="s">
        <v>48</v>
      </c>
      <c r="E768" s="4">
        <v>2</v>
      </c>
      <c r="F768" s="4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4">
        <v>3</v>
      </c>
      <c r="L768" s="4" t="s">
        <v>37</v>
      </c>
      <c r="M768" s="4" t="s">
        <v>29</v>
      </c>
      <c r="N768" s="4">
        <v>557.76</v>
      </c>
    </row>
    <row r="769" spans="1:14" ht="15" customHeight="1" x14ac:dyDescent="0.2">
      <c r="A769" s="4" t="s">
        <v>2839</v>
      </c>
      <c r="B769" s="6">
        <v>45765</v>
      </c>
      <c r="C769" s="4" t="s">
        <v>2840</v>
      </c>
      <c r="D769" s="4" t="s">
        <v>32</v>
      </c>
      <c r="E769" s="4">
        <v>2</v>
      </c>
      <c r="F769" s="4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4">
        <v>7</v>
      </c>
      <c r="M769" s="4" t="s">
        <v>22</v>
      </c>
      <c r="N769" s="4">
        <v>646.44000000000005</v>
      </c>
    </row>
    <row r="770" spans="1:14" ht="15" customHeight="1" x14ac:dyDescent="0.2">
      <c r="A770" s="4" t="s">
        <v>2843</v>
      </c>
      <c r="B770" s="6">
        <v>45173</v>
      </c>
      <c r="C770" s="4" t="s">
        <v>2844</v>
      </c>
      <c r="D770" s="4" t="s">
        <v>32</v>
      </c>
      <c r="E770" s="4">
        <v>5</v>
      </c>
      <c r="F770" s="4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4">
        <v>9</v>
      </c>
      <c r="L770" s="4" t="s">
        <v>81</v>
      </c>
      <c r="M770" s="4" t="s">
        <v>38</v>
      </c>
      <c r="N770" s="4">
        <v>3267.3</v>
      </c>
    </row>
    <row r="771" spans="1:14" ht="15" customHeight="1" x14ac:dyDescent="0.2">
      <c r="A771" s="4" t="s">
        <v>2847</v>
      </c>
      <c r="B771" s="6">
        <v>45113</v>
      </c>
      <c r="C771" s="4" t="s">
        <v>2848</v>
      </c>
      <c r="D771" s="4" t="s">
        <v>48</v>
      </c>
      <c r="E771" s="4">
        <v>4</v>
      </c>
      <c r="F771" s="4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4">
        <v>5</v>
      </c>
      <c r="M771" s="4" t="s">
        <v>38</v>
      </c>
      <c r="N771" s="4">
        <v>2714.2</v>
      </c>
    </row>
    <row r="772" spans="1:14" ht="15" customHeight="1" x14ac:dyDescent="0.2">
      <c r="A772" s="4" t="s">
        <v>2850</v>
      </c>
      <c r="B772" s="6">
        <v>45333</v>
      </c>
      <c r="C772" s="4" t="s">
        <v>2851</v>
      </c>
      <c r="D772" s="4" t="s">
        <v>73</v>
      </c>
      <c r="E772" s="4">
        <v>1</v>
      </c>
      <c r="F772" s="4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4">
        <v>6</v>
      </c>
      <c r="M772" s="4" t="s">
        <v>76</v>
      </c>
      <c r="N772" s="4">
        <v>314.38</v>
      </c>
    </row>
    <row r="773" spans="1:14" ht="15" customHeight="1" x14ac:dyDescent="0.2">
      <c r="A773" s="4" t="s">
        <v>2853</v>
      </c>
      <c r="B773" s="6">
        <v>45455</v>
      </c>
      <c r="C773" s="4" t="s">
        <v>2854</v>
      </c>
      <c r="D773" s="4" t="s">
        <v>25</v>
      </c>
      <c r="E773" s="4">
        <v>3</v>
      </c>
      <c r="F773" s="4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4">
        <v>8</v>
      </c>
      <c r="L773" s="4" t="s">
        <v>37</v>
      </c>
      <c r="M773" s="4" t="s">
        <v>76</v>
      </c>
      <c r="N773" s="4">
        <v>2077.3200000000002</v>
      </c>
    </row>
    <row r="774" spans="1:14" ht="15" customHeight="1" x14ac:dyDescent="0.2">
      <c r="A774" s="4" t="s">
        <v>2856</v>
      </c>
      <c r="B774" s="6">
        <v>45501</v>
      </c>
      <c r="C774" s="4" t="s">
        <v>2857</v>
      </c>
      <c r="D774" s="4" t="s">
        <v>16</v>
      </c>
      <c r="E774" s="4">
        <v>1</v>
      </c>
      <c r="F774" s="4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4">
        <v>4</v>
      </c>
      <c r="M774" s="4" t="s">
        <v>22</v>
      </c>
      <c r="N774" s="4">
        <v>604.87</v>
      </c>
    </row>
    <row r="775" spans="1:14" ht="15" customHeight="1" x14ac:dyDescent="0.2">
      <c r="A775" s="4" t="s">
        <v>2860</v>
      </c>
      <c r="B775" s="6">
        <v>45836</v>
      </c>
      <c r="C775" s="4" t="s">
        <v>2861</v>
      </c>
      <c r="D775" s="4" t="s">
        <v>25</v>
      </c>
      <c r="E775" s="4">
        <v>2</v>
      </c>
      <c r="F775" s="4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4">
        <v>7</v>
      </c>
      <c r="M775" s="4" t="s">
        <v>45</v>
      </c>
      <c r="N775" s="4">
        <v>1024.6600000000001</v>
      </c>
    </row>
    <row r="776" spans="1:14" ht="15" customHeight="1" x14ac:dyDescent="0.2">
      <c r="A776" s="4" t="s">
        <v>2864</v>
      </c>
      <c r="B776" s="6">
        <v>45762</v>
      </c>
      <c r="C776" s="4" t="s">
        <v>2865</v>
      </c>
      <c r="D776" s="4" t="s">
        <v>41</v>
      </c>
      <c r="E776" s="4">
        <v>3</v>
      </c>
      <c r="F776" s="4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4">
        <v>3</v>
      </c>
      <c r="L776" s="4" t="s">
        <v>37</v>
      </c>
      <c r="M776" s="4" t="s">
        <v>22</v>
      </c>
      <c r="N776" s="4">
        <v>61.62</v>
      </c>
    </row>
    <row r="777" spans="1:14" ht="15" customHeight="1" x14ac:dyDescent="0.2">
      <c r="A777" s="4" t="s">
        <v>2868</v>
      </c>
      <c r="B777" s="6">
        <v>44989</v>
      </c>
      <c r="C777" s="4" t="s">
        <v>2869</v>
      </c>
      <c r="D777" s="4" t="s">
        <v>25</v>
      </c>
      <c r="E777" s="4">
        <v>2</v>
      </c>
      <c r="F777" s="4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4">
        <v>5</v>
      </c>
      <c r="M777" s="4" t="s">
        <v>76</v>
      </c>
      <c r="N777" s="4">
        <v>1250.44</v>
      </c>
    </row>
    <row r="778" spans="1:14" ht="15" customHeight="1" x14ac:dyDescent="0.2">
      <c r="A778" s="4" t="s">
        <v>2871</v>
      </c>
      <c r="B778" s="6">
        <v>45159</v>
      </c>
      <c r="C778" s="4" t="s">
        <v>2872</v>
      </c>
      <c r="D778" s="4" t="s">
        <v>32</v>
      </c>
      <c r="E778" s="4">
        <v>1</v>
      </c>
      <c r="F778" s="4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4">
        <v>5</v>
      </c>
      <c r="L778" s="4" t="s">
        <v>81</v>
      </c>
      <c r="M778" s="4" t="s">
        <v>76</v>
      </c>
      <c r="N778" s="4">
        <v>21.19</v>
      </c>
    </row>
    <row r="779" spans="1:14" ht="15" customHeight="1" x14ac:dyDescent="0.2">
      <c r="A779" s="4" t="s">
        <v>2875</v>
      </c>
      <c r="B779" s="6">
        <v>45737</v>
      </c>
      <c r="C779" s="4" t="s">
        <v>2876</v>
      </c>
      <c r="D779" s="4" t="s">
        <v>41</v>
      </c>
      <c r="E779" s="4">
        <v>5</v>
      </c>
      <c r="F779" s="4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4">
        <v>7</v>
      </c>
      <c r="M779" s="4" t="s">
        <v>45</v>
      </c>
      <c r="N779" s="4">
        <v>322.45</v>
      </c>
    </row>
    <row r="780" spans="1:14" ht="15" customHeight="1" x14ac:dyDescent="0.2">
      <c r="A780" s="4" t="s">
        <v>2878</v>
      </c>
      <c r="B780" s="6">
        <v>45044</v>
      </c>
      <c r="C780" s="4" t="s">
        <v>2879</v>
      </c>
      <c r="D780" s="4" t="s">
        <v>58</v>
      </c>
      <c r="E780" s="4">
        <v>4</v>
      </c>
      <c r="F780" s="4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4">
        <v>8</v>
      </c>
      <c r="L780" s="4" t="s">
        <v>81</v>
      </c>
      <c r="M780" s="4" t="s">
        <v>76</v>
      </c>
      <c r="N780" s="4">
        <v>987.4</v>
      </c>
    </row>
    <row r="781" spans="1:14" ht="15" customHeight="1" x14ac:dyDescent="0.2">
      <c r="A781" s="4" t="s">
        <v>2882</v>
      </c>
      <c r="B781" s="6">
        <v>45261</v>
      </c>
      <c r="C781" s="4" t="s">
        <v>2883</v>
      </c>
      <c r="D781" s="4" t="s">
        <v>25</v>
      </c>
      <c r="E781" s="4">
        <v>3</v>
      </c>
      <c r="F781" s="4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4">
        <v>8</v>
      </c>
      <c r="L781" s="4" t="s">
        <v>37</v>
      </c>
      <c r="M781" s="4" t="s">
        <v>38</v>
      </c>
      <c r="N781" s="4">
        <v>1766.22</v>
      </c>
    </row>
    <row r="782" spans="1:14" ht="15" customHeight="1" x14ac:dyDescent="0.2">
      <c r="A782" s="4" t="s">
        <v>2886</v>
      </c>
      <c r="B782" s="6">
        <v>45382</v>
      </c>
      <c r="C782" s="4" t="s">
        <v>2887</v>
      </c>
      <c r="D782" s="4" t="s">
        <v>58</v>
      </c>
      <c r="E782" s="4">
        <v>4</v>
      </c>
      <c r="F782" s="4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4">
        <v>4</v>
      </c>
      <c r="L782" s="4" t="s">
        <v>81</v>
      </c>
      <c r="M782" s="4" t="s">
        <v>76</v>
      </c>
      <c r="N782" s="4">
        <v>737.92</v>
      </c>
    </row>
    <row r="783" spans="1:14" ht="15" customHeight="1" x14ac:dyDescent="0.2">
      <c r="A783" s="4" t="s">
        <v>2889</v>
      </c>
      <c r="B783" s="6">
        <v>45301</v>
      </c>
      <c r="C783" s="4" t="s">
        <v>2890</v>
      </c>
      <c r="D783" s="4" t="s">
        <v>25</v>
      </c>
      <c r="E783" s="4">
        <v>5</v>
      </c>
      <c r="F783" s="4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4">
        <v>5</v>
      </c>
      <c r="L783" s="4" t="s">
        <v>37</v>
      </c>
      <c r="M783" s="4" t="s">
        <v>29</v>
      </c>
      <c r="N783" s="4">
        <v>2621.3000000000002</v>
      </c>
    </row>
    <row r="784" spans="1:14" ht="15" customHeight="1" x14ac:dyDescent="0.2">
      <c r="A784" s="4" t="s">
        <v>2892</v>
      </c>
      <c r="B784" s="6">
        <v>45515</v>
      </c>
      <c r="C784" s="4" t="s">
        <v>2893</v>
      </c>
      <c r="D784" s="4" t="s">
        <v>16</v>
      </c>
      <c r="E784" s="4">
        <v>2</v>
      </c>
      <c r="F784" s="4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4">
        <v>6</v>
      </c>
      <c r="L784" s="4" t="s">
        <v>21</v>
      </c>
      <c r="M784" s="4" t="s">
        <v>29</v>
      </c>
      <c r="N784" s="4">
        <v>987.26</v>
      </c>
    </row>
    <row r="785" spans="1:14" ht="15" customHeight="1" x14ac:dyDescent="0.2">
      <c r="A785" s="4" t="s">
        <v>2895</v>
      </c>
      <c r="B785" s="6">
        <v>45803</v>
      </c>
      <c r="C785" s="4" t="s">
        <v>2896</v>
      </c>
      <c r="D785" s="4" t="s">
        <v>48</v>
      </c>
      <c r="E785" s="4">
        <v>1</v>
      </c>
      <c r="F785" s="4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4">
        <v>5</v>
      </c>
      <c r="L785" s="4" t="s">
        <v>37</v>
      </c>
      <c r="M785" s="4" t="s">
        <v>45</v>
      </c>
      <c r="N785" s="4">
        <v>438.34</v>
      </c>
    </row>
    <row r="786" spans="1:14" ht="15" customHeight="1" x14ac:dyDescent="0.2">
      <c r="A786" s="4" t="s">
        <v>2898</v>
      </c>
      <c r="B786" s="6">
        <v>45793</v>
      </c>
      <c r="C786" s="4" t="s">
        <v>2899</v>
      </c>
      <c r="D786" s="4" t="s">
        <v>58</v>
      </c>
      <c r="E786" s="4">
        <v>1</v>
      </c>
      <c r="F786" s="4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4">
        <v>1</v>
      </c>
      <c r="L786" s="4" t="s">
        <v>81</v>
      </c>
      <c r="M786" s="4" t="s">
        <v>29</v>
      </c>
      <c r="N786" s="4">
        <v>325.81</v>
      </c>
    </row>
    <row r="787" spans="1:14" ht="15" customHeight="1" x14ac:dyDescent="0.2">
      <c r="A787" s="4" t="s">
        <v>2901</v>
      </c>
      <c r="B787" s="6">
        <v>45136</v>
      </c>
      <c r="C787" s="4" t="s">
        <v>2902</v>
      </c>
      <c r="D787" s="4" t="s">
        <v>41</v>
      </c>
      <c r="E787" s="4">
        <v>1</v>
      </c>
      <c r="F787" s="4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4">
        <v>1</v>
      </c>
      <c r="L787" s="4" t="s">
        <v>21</v>
      </c>
      <c r="M787" s="4" t="s">
        <v>22</v>
      </c>
      <c r="N787" s="4">
        <v>176.1</v>
      </c>
    </row>
    <row r="788" spans="1:14" ht="15" customHeight="1" x14ac:dyDescent="0.2">
      <c r="A788" s="4" t="s">
        <v>2905</v>
      </c>
      <c r="B788" s="6">
        <v>45161</v>
      </c>
      <c r="C788" s="4" t="s">
        <v>2906</v>
      </c>
      <c r="D788" s="4" t="s">
        <v>41</v>
      </c>
      <c r="E788" s="4">
        <v>5</v>
      </c>
      <c r="F788" s="4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4">
        <v>8</v>
      </c>
      <c r="M788" s="4" t="s">
        <v>29</v>
      </c>
      <c r="N788" s="4">
        <v>226.55</v>
      </c>
    </row>
    <row r="789" spans="1:14" ht="15" customHeight="1" x14ac:dyDescent="0.2">
      <c r="A789" s="4" t="s">
        <v>2909</v>
      </c>
      <c r="B789" s="6">
        <v>45368</v>
      </c>
      <c r="C789" s="4" t="s">
        <v>2910</v>
      </c>
      <c r="D789" s="4" t="s">
        <v>73</v>
      </c>
      <c r="E789" s="4">
        <v>4</v>
      </c>
      <c r="F789" s="4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4">
        <v>7</v>
      </c>
      <c r="M789" s="4" t="s">
        <v>76</v>
      </c>
      <c r="N789" s="4">
        <v>887.84</v>
      </c>
    </row>
    <row r="790" spans="1:14" ht="15" customHeight="1" x14ac:dyDescent="0.2">
      <c r="A790" s="4" t="s">
        <v>2913</v>
      </c>
      <c r="B790" s="6">
        <v>45232</v>
      </c>
      <c r="C790" s="4" t="s">
        <v>2914</v>
      </c>
      <c r="D790" s="4" t="s">
        <v>41</v>
      </c>
      <c r="E790" s="4">
        <v>2</v>
      </c>
      <c r="F790" s="4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4">
        <v>5</v>
      </c>
      <c r="L790" s="4" t="s">
        <v>37</v>
      </c>
      <c r="M790" s="4" t="s">
        <v>22</v>
      </c>
      <c r="N790" s="4">
        <v>1202.8599999999999</v>
      </c>
    </row>
    <row r="791" spans="1:14" ht="15" customHeight="1" x14ac:dyDescent="0.2">
      <c r="A791" s="4" t="s">
        <v>2917</v>
      </c>
      <c r="B791" s="6">
        <v>45155</v>
      </c>
      <c r="C791" s="4" t="s">
        <v>2918</v>
      </c>
      <c r="D791" s="4" t="s">
        <v>32</v>
      </c>
      <c r="E791" s="4">
        <v>5</v>
      </c>
      <c r="F791" s="4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4">
        <v>10</v>
      </c>
      <c r="L791" s="4" t="s">
        <v>21</v>
      </c>
      <c r="M791" s="4" t="s">
        <v>38</v>
      </c>
      <c r="N791" s="4">
        <v>3456.4</v>
      </c>
    </row>
    <row r="792" spans="1:14" ht="15" customHeight="1" x14ac:dyDescent="0.2">
      <c r="A792" s="4" t="s">
        <v>2921</v>
      </c>
      <c r="B792" s="6">
        <v>45549</v>
      </c>
      <c r="C792" s="4" t="s">
        <v>2922</v>
      </c>
      <c r="D792" s="4" t="s">
        <v>58</v>
      </c>
      <c r="E792" s="4">
        <v>4</v>
      </c>
      <c r="F792" s="4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4">
        <v>4</v>
      </c>
      <c r="M792" s="4" t="s">
        <v>76</v>
      </c>
      <c r="N792" s="4">
        <v>1671.56</v>
      </c>
    </row>
    <row r="793" spans="1:14" ht="15" customHeight="1" x14ac:dyDescent="0.2">
      <c r="A793" s="4" t="s">
        <v>2925</v>
      </c>
      <c r="B793" s="6">
        <v>45304</v>
      </c>
      <c r="C793" s="4" t="s">
        <v>2926</v>
      </c>
      <c r="D793" s="4" t="s">
        <v>41</v>
      </c>
      <c r="E793" s="4">
        <v>4</v>
      </c>
      <c r="F793" s="4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4">
        <v>8</v>
      </c>
      <c r="M793" s="4" t="s">
        <v>38</v>
      </c>
      <c r="N793" s="4">
        <v>1637.12</v>
      </c>
    </row>
    <row r="794" spans="1:14" ht="15" customHeight="1" x14ac:dyDescent="0.2">
      <c r="A794" s="4" t="s">
        <v>2928</v>
      </c>
      <c r="B794" s="6">
        <v>45093</v>
      </c>
      <c r="C794" s="4" t="s">
        <v>2929</v>
      </c>
      <c r="D794" s="4" t="s">
        <v>73</v>
      </c>
      <c r="E794" s="4">
        <v>2</v>
      </c>
      <c r="F794" s="4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4">
        <v>6</v>
      </c>
      <c r="L794" s="4" t="s">
        <v>81</v>
      </c>
      <c r="M794" s="4" t="s">
        <v>45</v>
      </c>
      <c r="N794" s="4">
        <v>712.7</v>
      </c>
    </row>
    <row r="795" spans="1:14" ht="15" customHeight="1" x14ac:dyDescent="0.2">
      <c r="A795" s="4" t="s">
        <v>2932</v>
      </c>
      <c r="B795" s="6">
        <v>45397</v>
      </c>
      <c r="C795" s="4" t="s">
        <v>2933</v>
      </c>
      <c r="D795" s="4" t="s">
        <v>41</v>
      </c>
      <c r="E795" s="4">
        <v>5</v>
      </c>
      <c r="F795" s="4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4">
        <v>8</v>
      </c>
      <c r="M795" s="4" t="s">
        <v>29</v>
      </c>
      <c r="N795" s="4">
        <v>851.1</v>
      </c>
    </row>
    <row r="796" spans="1:14" ht="15" customHeight="1" x14ac:dyDescent="0.2">
      <c r="A796" s="4" t="s">
        <v>2935</v>
      </c>
      <c r="B796" s="6">
        <v>44994</v>
      </c>
      <c r="C796" s="4" t="s">
        <v>2936</v>
      </c>
      <c r="D796" s="4" t="s">
        <v>48</v>
      </c>
      <c r="E796" s="4">
        <v>4</v>
      </c>
      <c r="F796" s="4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4">
        <v>9</v>
      </c>
      <c r="L796" s="4" t="s">
        <v>37</v>
      </c>
      <c r="M796" s="4" t="s">
        <v>22</v>
      </c>
      <c r="N796" s="4">
        <v>1539.4</v>
      </c>
    </row>
    <row r="797" spans="1:14" ht="15" customHeight="1" x14ac:dyDescent="0.2">
      <c r="A797" s="4" t="s">
        <v>2939</v>
      </c>
      <c r="B797" s="6">
        <v>45616</v>
      </c>
      <c r="C797" s="4" t="s">
        <v>2940</v>
      </c>
      <c r="D797" s="4" t="s">
        <v>58</v>
      </c>
      <c r="E797" s="4">
        <v>4</v>
      </c>
      <c r="F797" s="4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4">
        <v>7</v>
      </c>
      <c r="L797" s="4" t="s">
        <v>21</v>
      </c>
      <c r="M797" s="4" t="s">
        <v>22</v>
      </c>
      <c r="N797" s="4">
        <v>463.08</v>
      </c>
    </row>
    <row r="798" spans="1:14" ht="15" customHeight="1" x14ac:dyDescent="0.2">
      <c r="A798" s="4" t="s">
        <v>2943</v>
      </c>
      <c r="B798" s="6">
        <v>45776</v>
      </c>
      <c r="C798" s="4" t="s">
        <v>2944</v>
      </c>
      <c r="D798" s="4" t="s">
        <v>25</v>
      </c>
      <c r="E798" s="4">
        <v>3</v>
      </c>
      <c r="F798" s="4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4">
        <v>8</v>
      </c>
      <c r="L798" s="4" t="s">
        <v>81</v>
      </c>
      <c r="M798" s="4" t="s">
        <v>45</v>
      </c>
      <c r="N798" s="4">
        <v>1738.65</v>
      </c>
    </row>
    <row r="799" spans="1:14" ht="15" customHeight="1" x14ac:dyDescent="0.2">
      <c r="A799" s="4" t="s">
        <v>2946</v>
      </c>
      <c r="B799" s="6">
        <v>44984</v>
      </c>
      <c r="C799" s="4" t="s">
        <v>2947</v>
      </c>
      <c r="D799" s="4" t="s">
        <v>58</v>
      </c>
      <c r="E799" s="4">
        <v>2</v>
      </c>
      <c r="F799" s="4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4">
        <v>2</v>
      </c>
      <c r="M799" s="4" t="s">
        <v>45</v>
      </c>
      <c r="N799" s="4">
        <v>877.52</v>
      </c>
    </row>
    <row r="800" spans="1:14" ht="15" customHeight="1" x14ac:dyDescent="0.2">
      <c r="A800" s="4" t="s">
        <v>2950</v>
      </c>
      <c r="B800" s="6">
        <v>45796</v>
      </c>
      <c r="C800" s="4" t="s">
        <v>2951</v>
      </c>
      <c r="D800" s="4" t="s">
        <v>25</v>
      </c>
      <c r="E800" s="4">
        <v>5</v>
      </c>
      <c r="F800" s="4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4">
        <v>9</v>
      </c>
      <c r="L800" s="4" t="s">
        <v>37</v>
      </c>
      <c r="M800" s="4" t="s">
        <v>38</v>
      </c>
      <c r="N800" s="4">
        <v>2441.75</v>
      </c>
    </row>
    <row r="801" spans="1:14" ht="15" customHeight="1" x14ac:dyDescent="0.2">
      <c r="A801" s="4" t="s">
        <v>2953</v>
      </c>
      <c r="B801" s="6">
        <v>45032</v>
      </c>
      <c r="C801" s="4" t="s">
        <v>2954</v>
      </c>
      <c r="D801" s="4" t="s">
        <v>58</v>
      </c>
      <c r="E801" s="4">
        <v>4</v>
      </c>
      <c r="F801" s="4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4">
        <v>4</v>
      </c>
      <c r="L801" s="4" t="s">
        <v>37</v>
      </c>
      <c r="M801" s="4" t="s">
        <v>38</v>
      </c>
      <c r="N801" s="4">
        <v>1314.24</v>
      </c>
    </row>
    <row r="802" spans="1:14" ht="15" customHeight="1" x14ac:dyDescent="0.2">
      <c r="A802" s="4" t="s">
        <v>2956</v>
      </c>
      <c r="B802" s="6">
        <v>45744</v>
      </c>
      <c r="C802" s="4" t="s">
        <v>2957</v>
      </c>
      <c r="D802" s="4" t="s">
        <v>32</v>
      </c>
      <c r="E802" s="4">
        <v>1</v>
      </c>
      <c r="F802" s="4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4">
        <v>3</v>
      </c>
      <c r="L802" s="4" t="s">
        <v>81</v>
      </c>
      <c r="M802" s="4" t="s">
        <v>45</v>
      </c>
      <c r="N802" s="4">
        <v>68.39</v>
      </c>
    </row>
    <row r="803" spans="1:14" ht="15" customHeight="1" x14ac:dyDescent="0.2">
      <c r="A803" s="4" t="s">
        <v>2960</v>
      </c>
      <c r="B803" s="6">
        <v>45049</v>
      </c>
      <c r="C803" s="4" t="s">
        <v>148</v>
      </c>
      <c r="D803" s="4" t="s">
        <v>48</v>
      </c>
      <c r="E803" s="4">
        <v>4</v>
      </c>
      <c r="F803" s="4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4">
        <v>8</v>
      </c>
      <c r="L803" s="4" t="s">
        <v>37</v>
      </c>
      <c r="M803" s="4" t="s">
        <v>45</v>
      </c>
      <c r="N803" s="4">
        <v>2382.48</v>
      </c>
    </row>
    <row r="804" spans="1:14" ht="15" customHeight="1" x14ac:dyDescent="0.2">
      <c r="A804" s="4" t="s">
        <v>2963</v>
      </c>
      <c r="B804" s="6">
        <v>45339</v>
      </c>
      <c r="C804" s="4" t="s">
        <v>2964</v>
      </c>
      <c r="D804" s="4" t="s">
        <v>41</v>
      </c>
      <c r="E804" s="4">
        <v>5</v>
      </c>
      <c r="F804" s="4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4">
        <v>6</v>
      </c>
      <c r="L804" s="4" t="s">
        <v>37</v>
      </c>
      <c r="M804" s="4" t="s">
        <v>38</v>
      </c>
      <c r="N804" s="4">
        <v>3223.2</v>
      </c>
    </row>
    <row r="805" spans="1:14" ht="15" customHeight="1" x14ac:dyDescent="0.2">
      <c r="A805" s="4" t="s">
        <v>2967</v>
      </c>
      <c r="B805" s="6">
        <v>45158</v>
      </c>
      <c r="C805" s="4" t="s">
        <v>2968</v>
      </c>
      <c r="D805" s="4" t="s">
        <v>16</v>
      </c>
      <c r="E805" s="4">
        <v>5</v>
      </c>
      <c r="F805" s="4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4">
        <v>5</v>
      </c>
      <c r="L805" s="4" t="s">
        <v>21</v>
      </c>
      <c r="M805" s="4" t="s">
        <v>29</v>
      </c>
      <c r="N805" s="4">
        <v>1989.05</v>
      </c>
    </row>
    <row r="806" spans="1:14" ht="15" customHeight="1" x14ac:dyDescent="0.2">
      <c r="A806" s="4" t="s">
        <v>2970</v>
      </c>
      <c r="B806" s="6">
        <v>45292</v>
      </c>
      <c r="C806" s="4" t="s">
        <v>2971</v>
      </c>
      <c r="D806" s="4" t="s">
        <v>41</v>
      </c>
      <c r="E806" s="4">
        <v>3</v>
      </c>
      <c r="F806" s="4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4">
        <v>8</v>
      </c>
      <c r="L806" s="4" t="s">
        <v>37</v>
      </c>
      <c r="M806" s="4" t="s">
        <v>38</v>
      </c>
      <c r="N806" s="4">
        <v>709.5</v>
      </c>
    </row>
    <row r="807" spans="1:14" ht="15" customHeight="1" x14ac:dyDescent="0.2">
      <c r="A807" s="4" t="s">
        <v>2974</v>
      </c>
      <c r="B807" s="6">
        <v>45580</v>
      </c>
      <c r="C807" s="4" t="s">
        <v>2975</v>
      </c>
      <c r="D807" s="4" t="s">
        <v>58</v>
      </c>
      <c r="E807" s="4">
        <v>5</v>
      </c>
      <c r="F807" s="4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4">
        <v>10</v>
      </c>
      <c r="L807" s="4" t="s">
        <v>21</v>
      </c>
      <c r="M807" s="4" t="s">
        <v>38</v>
      </c>
      <c r="N807" s="4">
        <v>2360.0500000000002</v>
      </c>
    </row>
    <row r="808" spans="1:14" ht="15" customHeight="1" x14ac:dyDescent="0.2">
      <c r="A808" s="4" t="s">
        <v>2978</v>
      </c>
      <c r="B808" s="6">
        <v>45170</v>
      </c>
      <c r="C808" s="4" t="s">
        <v>2979</v>
      </c>
      <c r="D808" s="4" t="s">
        <v>41</v>
      </c>
      <c r="E808" s="4">
        <v>5</v>
      </c>
      <c r="F808" s="4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4">
        <v>9</v>
      </c>
      <c r="L808" s="4" t="s">
        <v>81</v>
      </c>
      <c r="M808" s="4" t="s">
        <v>22</v>
      </c>
      <c r="N808" s="4">
        <v>1268.75</v>
      </c>
    </row>
    <row r="809" spans="1:14" ht="15" customHeight="1" x14ac:dyDescent="0.2">
      <c r="A809" s="4" t="s">
        <v>2981</v>
      </c>
      <c r="B809" s="6">
        <v>45606</v>
      </c>
      <c r="C809" s="4" t="s">
        <v>2982</v>
      </c>
      <c r="D809" s="4" t="s">
        <v>16</v>
      </c>
      <c r="E809" s="4">
        <v>3</v>
      </c>
      <c r="F809" s="4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4">
        <v>5</v>
      </c>
      <c r="L809" s="4" t="s">
        <v>21</v>
      </c>
      <c r="M809" s="4" t="s">
        <v>76</v>
      </c>
      <c r="N809" s="4">
        <v>2028.63</v>
      </c>
    </row>
    <row r="810" spans="1:14" ht="15" customHeight="1" x14ac:dyDescent="0.2">
      <c r="A810" s="4" t="s">
        <v>2985</v>
      </c>
      <c r="B810" s="6">
        <v>45335</v>
      </c>
      <c r="C810" s="4" t="s">
        <v>2986</v>
      </c>
      <c r="D810" s="4" t="s">
        <v>73</v>
      </c>
      <c r="E810" s="4">
        <v>3</v>
      </c>
      <c r="F810" s="4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4">
        <v>3</v>
      </c>
      <c r="M810" s="4" t="s">
        <v>76</v>
      </c>
      <c r="N810" s="4">
        <v>402.15</v>
      </c>
    </row>
    <row r="811" spans="1:14" ht="15" customHeight="1" x14ac:dyDescent="0.2">
      <c r="A811" s="4" t="s">
        <v>2989</v>
      </c>
      <c r="B811" s="6">
        <v>45391</v>
      </c>
      <c r="C811" s="4" t="s">
        <v>2990</v>
      </c>
      <c r="D811" s="4" t="s">
        <v>73</v>
      </c>
      <c r="E811" s="4">
        <v>5</v>
      </c>
      <c r="F811" s="4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4">
        <v>10</v>
      </c>
      <c r="L811" s="4" t="s">
        <v>21</v>
      </c>
      <c r="M811" s="4" t="s">
        <v>22</v>
      </c>
      <c r="N811" s="4">
        <v>1087.1500000000001</v>
      </c>
    </row>
    <row r="812" spans="1:14" ht="15" customHeight="1" x14ac:dyDescent="0.2">
      <c r="A812" s="4" t="s">
        <v>2992</v>
      </c>
      <c r="B812" s="6">
        <v>45077</v>
      </c>
      <c r="C812" s="4" t="s">
        <v>2993</v>
      </c>
      <c r="D812" s="4" t="s">
        <v>32</v>
      </c>
      <c r="E812" s="4">
        <v>1</v>
      </c>
      <c r="F812" s="4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4">
        <v>5</v>
      </c>
      <c r="M812" s="4" t="s">
        <v>29</v>
      </c>
      <c r="N812" s="4">
        <v>553.55999999999995</v>
      </c>
    </row>
    <row r="813" spans="1:14" ht="15" customHeight="1" x14ac:dyDescent="0.2">
      <c r="A813" s="4" t="s">
        <v>2996</v>
      </c>
      <c r="B813" s="6">
        <v>45235</v>
      </c>
      <c r="C813" s="4" t="s">
        <v>2997</v>
      </c>
      <c r="D813" s="4" t="s">
        <v>58</v>
      </c>
      <c r="E813" s="4">
        <v>2</v>
      </c>
      <c r="F813" s="4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4">
        <v>7</v>
      </c>
      <c r="L813" s="4" t="s">
        <v>21</v>
      </c>
      <c r="M813" s="4" t="s">
        <v>38</v>
      </c>
      <c r="N813" s="4">
        <v>57.1</v>
      </c>
    </row>
    <row r="814" spans="1:14" ht="15" customHeight="1" x14ac:dyDescent="0.2">
      <c r="A814" s="4" t="s">
        <v>2999</v>
      </c>
      <c r="B814" s="6">
        <v>45317</v>
      </c>
      <c r="C814" s="4" t="s">
        <v>3000</v>
      </c>
      <c r="D814" s="4" t="s">
        <v>25</v>
      </c>
      <c r="E814" s="4">
        <v>2</v>
      </c>
      <c r="F814" s="4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4">
        <v>6</v>
      </c>
      <c r="L814" s="4" t="s">
        <v>37</v>
      </c>
      <c r="M814" s="4" t="s">
        <v>76</v>
      </c>
      <c r="N814" s="4">
        <v>510.52</v>
      </c>
    </row>
    <row r="815" spans="1:14" ht="15" customHeight="1" x14ac:dyDescent="0.2">
      <c r="A815" s="4" t="s">
        <v>3002</v>
      </c>
      <c r="B815" s="6">
        <v>45731</v>
      </c>
      <c r="C815" s="4" t="s">
        <v>3003</v>
      </c>
      <c r="D815" s="4" t="s">
        <v>58</v>
      </c>
      <c r="E815" s="4">
        <v>5</v>
      </c>
      <c r="F815" s="4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4">
        <v>8</v>
      </c>
      <c r="L815" s="4" t="s">
        <v>37</v>
      </c>
      <c r="M815" s="4" t="s">
        <v>38</v>
      </c>
      <c r="N815" s="4">
        <v>1462.7</v>
      </c>
    </row>
    <row r="816" spans="1:14" ht="15" customHeight="1" x14ac:dyDescent="0.2">
      <c r="A816" s="4" t="s">
        <v>3005</v>
      </c>
      <c r="B816" s="6">
        <v>45637</v>
      </c>
      <c r="C816" s="4" t="s">
        <v>3006</v>
      </c>
      <c r="D816" s="4" t="s">
        <v>41</v>
      </c>
      <c r="E816" s="4">
        <v>4</v>
      </c>
      <c r="F816" s="4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4">
        <v>4</v>
      </c>
      <c r="L816" s="4" t="s">
        <v>81</v>
      </c>
      <c r="M816" s="4" t="s">
        <v>22</v>
      </c>
      <c r="N816" s="4">
        <v>590.04</v>
      </c>
    </row>
    <row r="817" spans="1:14" ht="15" customHeight="1" x14ac:dyDescent="0.2">
      <c r="A817" s="4" t="s">
        <v>3009</v>
      </c>
      <c r="B817" s="6">
        <v>45508</v>
      </c>
      <c r="C817" s="4" t="s">
        <v>3010</v>
      </c>
      <c r="D817" s="4" t="s">
        <v>48</v>
      </c>
      <c r="E817" s="4">
        <v>3</v>
      </c>
      <c r="F817" s="4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4">
        <v>8</v>
      </c>
      <c r="L817" s="4" t="s">
        <v>81</v>
      </c>
      <c r="M817" s="4" t="s">
        <v>22</v>
      </c>
      <c r="N817" s="4">
        <v>1709.52</v>
      </c>
    </row>
    <row r="818" spans="1:14" ht="15" customHeight="1" x14ac:dyDescent="0.2">
      <c r="A818" s="4" t="s">
        <v>3013</v>
      </c>
      <c r="B818" s="6">
        <v>45343</v>
      </c>
      <c r="C818" s="4" t="s">
        <v>3014</v>
      </c>
      <c r="D818" s="4" t="s">
        <v>32</v>
      </c>
      <c r="E818" s="4">
        <v>5</v>
      </c>
      <c r="F818" s="4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4">
        <v>8</v>
      </c>
      <c r="L818" s="4" t="s">
        <v>81</v>
      </c>
      <c r="M818" s="4" t="s">
        <v>29</v>
      </c>
      <c r="N818" s="4">
        <v>2873.95</v>
      </c>
    </row>
    <row r="819" spans="1:14" ht="15" customHeight="1" x14ac:dyDescent="0.2">
      <c r="A819" s="4" t="s">
        <v>3016</v>
      </c>
      <c r="B819" s="6">
        <v>45204</v>
      </c>
      <c r="C819" s="4" t="s">
        <v>3017</v>
      </c>
      <c r="D819" s="4" t="s">
        <v>41</v>
      </c>
      <c r="E819" s="4">
        <v>4</v>
      </c>
      <c r="F819" s="4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4">
        <v>7</v>
      </c>
      <c r="L819" s="4" t="s">
        <v>81</v>
      </c>
      <c r="M819" s="4" t="s">
        <v>38</v>
      </c>
      <c r="N819" s="4">
        <v>2392.7600000000002</v>
      </c>
    </row>
    <row r="820" spans="1:14" ht="15" customHeight="1" x14ac:dyDescent="0.2">
      <c r="A820" s="4" t="s">
        <v>3020</v>
      </c>
      <c r="B820" s="6">
        <v>44987</v>
      </c>
      <c r="C820" s="4" t="s">
        <v>3021</v>
      </c>
      <c r="D820" s="4" t="s">
        <v>25</v>
      </c>
      <c r="E820" s="4">
        <v>4</v>
      </c>
      <c r="F820" s="4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4">
        <v>9</v>
      </c>
      <c r="L820" s="4" t="s">
        <v>81</v>
      </c>
      <c r="M820" s="4" t="s">
        <v>29</v>
      </c>
      <c r="N820" s="4">
        <v>1563.36</v>
      </c>
    </row>
    <row r="821" spans="1:14" ht="15" customHeight="1" x14ac:dyDescent="0.2">
      <c r="A821" s="4" t="s">
        <v>3023</v>
      </c>
      <c r="B821" s="6">
        <v>45563</v>
      </c>
      <c r="C821" s="4" t="s">
        <v>3024</v>
      </c>
      <c r="D821" s="4" t="s">
        <v>25</v>
      </c>
      <c r="E821" s="4">
        <v>2</v>
      </c>
      <c r="F821" s="4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4">
        <v>7</v>
      </c>
      <c r="L821" s="4" t="s">
        <v>21</v>
      </c>
      <c r="M821" s="4" t="s">
        <v>76</v>
      </c>
      <c r="N821" s="4">
        <v>796.9</v>
      </c>
    </row>
    <row r="822" spans="1:14" ht="15" customHeight="1" x14ac:dyDescent="0.2">
      <c r="A822" s="4" t="s">
        <v>3027</v>
      </c>
      <c r="B822" s="6">
        <v>45073</v>
      </c>
      <c r="C822" s="4" t="s">
        <v>3028</v>
      </c>
      <c r="D822" s="4" t="s">
        <v>25</v>
      </c>
      <c r="E822" s="4">
        <v>5</v>
      </c>
      <c r="F822" s="4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4">
        <v>6</v>
      </c>
      <c r="L822" s="4" t="s">
        <v>37</v>
      </c>
      <c r="M822" s="4" t="s">
        <v>38</v>
      </c>
      <c r="N822" s="4">
        <v>3119.05</v>
      </c>
    </row>
    <row r="823" spans="1:14" ht="15" customHeight="1" x14ac:dyDescent="0.2">
      <c r="A823" s="4" t="s">
        <v>3030</v>
      </c>
      <c r="B823" s="6">
        <v>45640</v>
      </c>
      <c r="C823" s="4" t="s">
        <v>3031</v>
      </c>
      <c r="D823" s="4" t="s">
        <v>58</v>
      </c>
      <c r="E823" s="4">
        <v>4</v>
      </c>
      <c r="F823" s="4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4">
        <v>5</v>
      </c>
      <c r="L823" s="4" t="s">
        <v>21</v>
      </c>
      <c r="M823" s="4" t="s">
        <v>45</v>
      </c>
      <c r="N823" s="4">
        <v>697.96</v>
      </c>
    </row>
    <row r="824" spans="1:14" ht="15" customHeight="1" x14ac:dyDescent="0.2">
      <c r="A824" s="4" t="s">
        <v>3033</v>
      </c>
      <c r="B824" s="6">
        <v>45731</v>
      </c>
      <c r="C824" s="4" t="s">
        <v>3034</v>
      </c>
      <c r="D824" s="4" t="s">
        <v>25</v>
      </c>
      <c r="E824" s="4">
        <v>1</v>
      </c>
      <c r="F824" s="4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4">
        <v>1</v>
      </c>
      <c r="L824" s="4" t="s">
        <v>21</v>
      </c>
      <c r="M824" s="4" t="s">
        <v>76</v>
      </c>
      <c r="N824" s="4">
        <v>479.56</v>
      </c>
    </row>
    <row r="825" spans="1:14" ht="15" customHeight="1" x14ac:dyDescent="0.2">
      <c r="A825" s="4" t="s">
        <v>3036</v>
      </c>
      <c r="B825" s="6">
        <v>45572</v>
      </c>
      <c r="C825" s="4" t="s">
        <v>3037</v>
      </c>
      <c r="D825" s="4" t="s">
        <v>58</v>
      </c>
      <c r="E825" s="4">
        <v>4</v>
      </c>
      <c r="F825" s="4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4">
        <v>8</v>
      </c>
      <c r="L825" s="4" t="s">
        <v>81</v>
      </c>
      <c r="M825" s="4" t="s">
        <v>22</v>
      </c>
      <c r="N825" s="4">
        <v>2612.52</v>
      </c>
    </row>
    <row r="826" spans="1:14" ht="15" customHeight="1" x14ac:dyDescent="0.2">
      <c r="A826" s="4" t="s">
        <v>3040</v>
      </c>
      <c r="B826" s="6">
        <v>45167</v>
      </c>
      <c r="C826" s="4" t="s">
        <v>3041</v>
      </c>
      <c r="D826" s="4" t="s">
        <v>16</v>
      </c>
      <c r="E826" s="4">
        <v>3</v>
      </c>
      <c r="F826" s="4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4">
        <v>3</v>
      </c>
      <c r="L826" s="4" t="s">
        <v>37</v>
      </c>
      <c r="M826" s="4" t="s">
        <v>45</v>
      </c>
      <c r="N826" s="4">
        <v>1443.3</v>
      </c>
    </row>
    <row r="827" spans="1:14" ht="15" customHeight="1" x14ac:dyDescent="0.2">
      <c r="A827" s="4" t="s">
        <v>3044</v>
      </c>
      <c r="B827" s="6">
        <v>45742</v>
      </c>
      <c r="C827" s="4" t="s">
        <v>3045</v>
      </c>
      <c r="D827" s="4" t="s">
        <v>73</v>
      </c>
      <c r="E827" s="4">
        <v>5</v>
      </c>
      <c r="F827" s="4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4">
        <v>7</v>
      </c>
      <c r="L827" s="4" t="s">
        <v>37</v>
      </c>
      <c r="M827" s="4" t="s">
        <v>22</v>
      </c>
      <c r="N827" s="4">
        <v>1358.45</v>
      </c>
    </row>
    <row r="828" spans="1:14" ht="15" customHeight="1" x14ac:dyDescent="0.2">
      <c r="A828" s="4" t="s">
        <v>3048</v>
      </c>
      <c r="B828" s="6">
        <v>45724</v>
      </c>
      <c r="C828" s="4" t="s">
        <v>3049</v>
      </c>
      <c r="D828" s="4" t="s">
        <v>48</v>
      </c>
      <c r="E828" s="4">
        <v>3</v>
      </c>
      <c r="F828" s="4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4">
        <v>8</v>
      </c>
      <c r="L828" s="4" t="s">
        <v>81</v>
      </c>
      <c r="M828" s="4" t="s">
        <v>38</v>
      </c>
      <c r="N828" s="4">
        <v>1391.43</v>
      </c>
    </row>
    <row r="829" spans="1:14" ht="15" customHeight="1" x14ac:dyDescent="0.2">
      <c r="A829" s="4" t="s">
        <v>3051</v>
      </c>
      <c r="B829" s="6">
        <v>45071</v>
      </c>
      <c r="C829" s="4" t="s">
        <v>3052</v>
      </c>
      <c r="D829" s="4" t="s">
        <v>32</v>
      </c>
      <c r="E829" s="4">
        <v>2</v>
      </c>
      <c r="F829" s="4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4">
        <v>5</v>
      </c>
      <c r="L829" s="4" t="s">
        <v>81</v>
      </c>
      <c r="M829" s="4" t="s">
        <v>22</v>
      </c>
      <c r="N829" s="4">
        <v>1279.76</v>
      </c>
    </row>
    <row r="830" spans="1:14" ht="15" customHeight="1" x14ac:dyDescent="0.2">
      <c r="A830" s="4" t="s">
        <v>3054</v>
      </c>
      <c r="B830" s="6">
        <v>45497</v>
      </c>
      <c r="C830" s="4" t="s">
        <v>3055</v>
      </c>
      <c r="D830" s="4" t="s">
        <v>41</v>
      </c>
      <c r="E830" s="4">
        <v>4</v>
      </c>
      <c r="F830" s="4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4">
        <v>5</v>
      </c>
      <c r="L830" s="4" t="s">
        <v>37</v>
      </c>
      <c r="M830" s="4" t="s">
        <v>22</v>
      </c>
      <c r="N830" s="4">
        <v>1618.32</v>
      </c>
    </row>
    <row r="831" spans="1:14" ht="15" customHeight="1" x14ac:dyDescent="0.2">
      <c r="A831" s="4" t="s">
        <v>3058</v>
      </c>
      <c r="B831" s="6">
        <v>44962</v>
      </c>
      <c r="C831" s="4" t="s">
        <v>3059</v>
      </c>
      <c r="D831" s="4" t="s">
        <v>16</v>
      </c>
      <c r="E831" s="4">
        <v>1</v>
      </c>
      <c r="F831" s="4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4">
        <v>6</v>
      </c>
      <c r="L831" s="4" t="s">
        <v>81</v>
      </c>
      <c r="M831" s="4" t="s">
        <v>22</v>
      </c>
      <c r="N831" s="4">
        <v>76.930000000000007</v>
      </c>
    </row>
    <row r="832" spans="1:14" ht="15" customHeight="1" x14ac:dyDescent="0.2">
      <c r="A832" s="4" t="s">
        <v>3062</v>
      </c>
      <c r="B832" s="6">
        <v>45637</v>
      </c>
      <c r="C832" s="4" t="s">
        <v>3063</v>
      </c>
      <c r="D832" s="4" t="s">
        <v>32</v>
      </c>
      <c r="E832" s="4">
        <v>4</v>
      </c>
      <c r="F832" s="4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4">
        <v>5</v>
      </c>
      <c r="L832" s="4" t="s">
        <v>21</v>
      </c>
      <c r="M832" s="4" t="s">
        <v>38</v>
      </c>
      <c r="N832" s="4">
        <v>762.56</v>
      </c>
    </row>
    <row r="833" spans="1:14" ht="15" customHeight="1" x14ac:dyDescent="0.2">
      <c r="A833" s="4" t="s">
        <v>3066</v>
      </c>
      <c r="B833" s="6">
        <v>45278</v>
      </c>
      <c r="C833" s="4" t="s">
        <v>3067</v>
      </c>
      <c r="D833" s="4" t="s">
        <v>48</v>
      </c>
      <c r="E833" s="4">
        <v>2</v>
      </c>
      <c r="F833" s="4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4">
        <v>5</v>
      </c>
      <c r="M833" s="4" t="s">
        <v>76</v>
      </c>
      <c r="N833" s="4">
        <v>177.46</v>
      </c>
    </row>
    <row r="834" spans="1:14" ht="15" customHeight="1" x14ac:dyDescent="0.2">
      <c r="A834" s="4" t="s">
        <v>3069</v>
      </c>
      <c r="B834" s="6">
        <v>45363</v>
      </c>
      <c r="C834" s="4" t="s">
        <v>3070</v>
      </c>
      <c r="D834" s="4" t="s">
        <v>41</v>
      </c>
      <c r="E834" s="4">
        <v>5</v>
      </c>
      <c r="F834" s="4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4">
        <v>10</v>
      </c>
      <c r="L834" s="4" t="s">
        <v>21</v>
      </c>
      <c r="M834" s="4" t="s">
        <v>29</v>
      </c>
      <c r="N834" s="4">
        <v>2428.5500000000002</v>
      </c>
    </row>
    <row r="835" spans="1:14" ht="15" customHeight="1" x14ac:dyDescent="0.2">
      <c r="A835" s="4" t="s">
        <v>3072</v>
      </c>
      <c r="B835" s="6">
        <v>45730</v>
      </c>
      <c r="C835" s="4" t="s">
        <v>3073</v>
      </c>
      <c r="D835" s="4" t="s">
        <v>25</v>
      </c>
      <c r="E835" s="4">
        <v>5</v>
      </c>
      <c r="F835" s="4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4">
        <v>5</v>
      </c>
      <c r="L835" s="4" t="s">
        <v>81</v>
      </c>
      <c r="M835" s="4" t="s">
        <v>29</v>
      </c>
      <c r="N835" s="4">
        <v>391.45</v>
      </c>
    </row>
    <row r="836" spans="1:14" ht="15" customHeight="1" x14ac:dyDescent="0.2">
      <c r="A836" s="4" t="s">
        <v>3076</v>
      </c>
      <c r="B836" s="6">
        <v>45393</v>
      </c>
      <c r="C836" s="4" t="s">
        <v>3077</v>
      </c>
      <c r="D836" s="4" t="s">
        <v>48</v>
      </c>
      <c r="E836" s="4">
        <v>5</v>
      </c>
      <c r="F836" s="4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4">
        <v>10</v>
      </c>
      <c r="M836" s="4" t="s">
        <v>22</v>
      </c>
      <c r="N836" s="4">
        <v>110.7</v>
      </c>
    </row>
    <row r="837" spans="1:14" ht="15" customHeight="1" x14ac:dyDescent="0.2">
      <c r="A837" s="4" t="s">
        <v>3079</v>
      </c>
      <c r="B837" s="6">
        <v>45377</v>
      </c>
      <c r="C837" s="4" t="s">
        <v>3080</v>
      </c>
      <c r="D837" s="4" t="s">
        <v>73</v>
      </c>
      <c r="E837" s="4">
        <v>1</v>
      </c>
      <c r="F837" s="4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4">
        <v>6</v>
      </c>
      <c r="L837" s="4" t="s">
        <v>37</v>
      </c>
      <c r="M837" s="4" t="s">
        <v>76</v>
      </c>
      <c r="N837" s="4">
        <v>679.65</v>
      </c>
    </row>
    <row r="838" spans="1:14" ht="15" customHeight="1" x14ac:dyDescent="0.2">
      <c r="A838" s="4" t="s">
        <v>3083</v>
      </c>
      <c r="B838" s="6">
        <v>44959</v>
      </c>
      <c r="C838" s="4" t="s">
        <v>3084</v>
      </c>
      <c r="D838" s="4" t="s">
        <v>25</v>
      </c>
      <c r="E838" s="4">
        <v>1</v>
      </c>
      <c r="F838" s="4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4">
        <v>2</v>
      </c>
      <c r="L838" s="4" t="s">
        <v>37</v>
      </c>
      <c r="M838" s="4" t="s">
        <v>76</v>
      </c>
      <c r="N838" s="4">
        <v>178.44</v>
      </c>
    </row>
    <row r="839" spans="1:14" ht="15" customHeight="1" x14ac:dyDescent="0.2">
      <c r="A839" s="4" t="s">
        <v>3086</v>
      </c>
      <c r="B839" s="6">
        <v>45822</v>
      </c>
      <c r="C839" s="4" t="s">
        <v>3087</v>
      </c>
      <c r="D839" s="4" t="s">
        <v>41</v>
      </c>
      <c r="E839" s="4">
        <v>5</v>
      </c>
      <c r="F839" s="4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4">
        <v>5</v>
      </c>
      <c r="M839" s="4" t="s">
        <v>38</v>
      </c>
      <c r="N839" s="4">
        <v>3277.75</v>
      </c>
    </row>
    <row r="840" spans="1:14" ht="15" customHeight="1" x14ac:dyDescent="0.2">
      <c r="A840" s="4" t="s">
        <v>3089</v>
      </c>
      <c r="B840" s="6">
        <v>45393</v>
      </c>
      <c r="C840" s="4" t="s">
        <v>3090</v>
      </c>
      <c r="D840" s="4" t="s">
        <v>73</v>
      </c>
      <c r="E840" s="4">
        <v>4</v>
      </c>
      <c r="F840" s="4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4">
        <v>8</v>
      </c>
      <c r="M840" s="4" t="s">
        <v>45</v>
      </c>
      <c r="N840" s="4">
        <v>2308.3200000000002</v>
      </c>
    </row>
    <row r="841" spans="1:14" ht="15" customHeight="1" x14ac:dyDescent="0.2">
      <c r="A841" s="4" t="s">
        <v>3092</v>
      </c>
      <c r="B841" s="6">
        <v>45162</v>
      </c>
      <c r="C841" s="4" t="s">
        <v>3093</v>
      </c>
      <c r="D841" s="4" t="s">
        <v>41</v>
      </c>
      <c r="E841" s="4">
        <v>3</v>
      </c>
      <c r="F841" s="4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4">
        <v>5</v>
      </c>
      <c r="M841" s="4" t="s">
        <v>76</v>
      </c>
      <c r="N841" s="4">
        <v>593.91</v>
      </c>
    </row>
    <row r="842" spans="1:14" ht="15" customHeight="1" x14ac:dyDescent="0.2">
      <c r="A842" s="4" t="s">
        <v>3095</v>
      </c>
      <c r="B842" s="6">
        <v>45305</v>
      </c>
      <c r="C842" s="4" t="s">
        <v>3096</v>
      </c>
      <c r="D842" s="4" t="s">
        <v>41</v>
      </c>
      <c r="E842" s="4">
        <v>3</v>
      </c>
      <c r="F842" s="4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4">
        <v>7</v>
      </c>
      <c r="L842" s="4" t="s">
        <v>37</v>
      </c>
      <c r="M842" s="4" t="s">
        <v>29</v>
      </c>
      <c r="N842" s="4">
        <v>1235.8499999999999</v>
      </c>
    </row>
    <row r="843" spans="1:14" ht="15" customHeight="1" x14ac:dyDescent="0.2">
      <c r="A843" s="4" t="s">
        <v>3098</v>
      </c>
      <c r="B843" s="6">
        <v>45554</v>
      </c>
      <c r="C843" s="4" t="s">
        <v>3099</v>
      </c>
      <c r="D843" s="4" t="s">
        <v>48</v>
      </c>
      <c r="E843" s="4">
        <v>2</v>
      </c>
      <c r="F843" s="4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4">
        <v>5</v>
      </c>
      <c r="M843" s="4" t="s">
        <v>45</v>
      </c>
      <c r="N843" s="4">
        <v>886.44</v>
      </c>
    </row>
    <row r="844" spans="1:14" ht="15" customHeight="1" x14ac:dyDescent="0.2">
      <c r="A844" s="4" t="s">
        <v>3102</v>
      </c>
      <c r="B844" s="6">
        <v>45784</v>
      </c>
      <c r="C844" s="4" t="s">
        <v>3103</v>
      </c>
      <c r="D844" s="4" t="s">
        <v>58</v>
      </c>
      <c r="E844" s="4">
        <v>3</v>
      </c>
      <c r="F844" s="4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4">
        <v>7</v>
      </c>
      <c r="L844" s="4" t="s">
        <v>81</v>
      </c>
      <c r="M844" s="4" t="s">
        <v>29</v>
      </c>
      <c r="N844" s="4">
        <v>1092.42</v>
      </c>
    </row>
    <row r="845" spans="1:14" ht="15" customHeight="1" x14ac:dyDescent="0.2">
      <c r="A845" s="4" t="s">
        <v>3105</v>
      </c>
      <c r="B845" s="6">
        <v>45790</v>
      </c>
      <c r="C845" s="4" t="s">
        <v>3106</v>
      </c>
      <c r="D845" s="4" t="s">
        <v>73</v>
      </c>
      <c r="E845" s="4">
        <v>3</v>
      </c>
      <c r="F845" s="4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4">
        <v>8</v>
      </c>
      <c r="L845" s="4" t="s">
        <v>37</v>
      </c>
      <c r="M845" s="4" t="s">
        <v>22</v>
      </c>
      <c r="N845" s="4">
        <v>1290.18</v>
      </c>
    </row>
    <row r="846" spans="1:14" ht="15" customHeight="1" x14ac:dyDescent="0.2">
      <c r="A846" s="4" t="s">
        <v>3109</v>
      </c>
      <c r="B846" s="6">
        <v>45630</v>
      </c>
      <c r="C846" s="4" t="s">
        <v>3110</v>
      </c>
      <c r="D846" s="4" t="s">
        <v>41</v>
      </c>
      <c r="E846" s="4">
        <v>1</v>
      </c>
      <c r="F846" s="4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4">
        <v>5</v>
      </c>
      <c r="L846" s="4" t="s">
        <v>37</v>
      </c>
      <c r="M846" s="4" t="s">
        <v>45</v>
      </c>
      <c r="N846" s="4">
        <v>320.92</v>
      </c>
    </row>
    <row r="847" spans="1:14" ht="15" customHeight="1" x14ac:dyDescent="0.2">
      <c r="A847" s="4" t="s">
        <v>3113</v>
      </c>
      <c r="B847" s="6">
        <v>45207</v>
      </c>
      <c r="C847" s="4" t="s">
        <v>3114</v>
      </c>
      <c r="D847" s="4" t="s">
        <v>25</v>
      </c>
      <c r="E847" s="4">
        <v>3</v>
      </c>
      <c r="F847" s="4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4">
        <v>5</v>
      </c>
      <c r="L847" s="4" t="s">
        <v>37</v>
      </c>
      <c r="M847" s="4" t="s">
        <v>76</v>
      </c>
      <c r="N847" s="4">
        <v>322.08</v>
      </c>
    </row>
    <row r="848" spans="1:14" ht="15" customHeight="1" x14ac:dyDescent="0.2">
      <c r="A848" s="4" t="s">
        <v>3117</v>
      </c>
      <c r="B848" s="6">
        <v>45477</v>
      </c>
      <c r="C848" s="4" t="s">
        <v>3118</v>
      </c>
      <c r="D848" s="4" t="s">
        <v>73</v>
      </c>
      <c r="E848" s="4">
        <v>2</v>
      </c>
      <c r="F848" s="4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4">
        <v>4</v>
      </c>
      <c r="M848" s="4" t="s">
        <v>29</v>
      </c>
      <c r="N848" s="4">
        <v>719.72</v>
      </c>
    </row>
    <row r="849" spans="1:14" ht="15" customHeight="1" x14ac:dyDescent="0.2">
      <c r="A849" s="4" t="s">
        <v>3121</v>
      </c>
      <c r="B849" s="6">
        <v>45614</v>
      </c>
      <c r="C849" s="4" t="s">
        <v>3122</v>
      </c>
      <c r="D849" s="4" t="s">
        <v>48</v>
      </c>
      <c r="E849" s="4">
        <v>4</v>
      </c>
      <c r="F849" s="4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4">
        <v>8</v>
      </c>
      <c r="L849" s="4" t="s">
        <v>37</v>
      </c>
      <c r="M849" s="4" t="s">
        <v>38</v>
      </c>
      <c r="N849" s="4">
        <v>1736.92</v>
      </c>
    </row>
    <row r="850" spans="1:14" ht="15" customHeight="1" x14ac:dyDescent="0.2">
      <c r="A850" s="4" t="s">
        <v>3124</v>
      </c>
      <c r="B850" s="6">
        <v>44927</v>
      </c>
      <c r="C850" s="4" t="s">
        <v>3125</v>
      </c>
      <c r="D850" s="4" t="s">
        <v>41</v>
      </c>
      <c r="E850" s="4">
        <v>2</v>
      </c>
      <c r="F850" s="4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4">
        <v>5</v>
      </c>
      <c r="M850" s="4" t="s">
        <v>29</v>
      </c>
      <c r="N850" s="4">
        <v>1291.7</v>
      </c>
    </row>
    <row r="851" spans="1:14" ht="15" customHeight="1" x14ac:dyDescent="0.2">
      <c r="A851" s="4" t="s">
        <v>3127</v>
      </c>
      <c r="B851" s="6">
        <v>45817</v>
      </c>
      <c r="C851" s="4" t="s">
        <v>3128</v>
      </c>
      <c r="D851" s="4" t="s">
        <v>48</v>
      </c>
      <c r="E851" s="4">
        <v>4</v>
      </c>
      <c r="F851" s="4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4">
        <v>7</v>
      </c>
      <c r="L851" s="4" t="s">
        <v>81</v>
      </c>
      <c r="M851" s="4" t="s">
        <v>29</v>
      </c>
      <c r="N851" s="4">
        <v>857.4</v>
      </c>
    </row>
    <row r="852" spans="1:14" ht="15" customHeight="1" x14ac:dyDescent="0.2">
      <c r="A852" s="4" t="s">
        <v>3130</v>
      </c>
      <c r="B852" s="6">
        <v>45774</v>
      </c>
      <c r="C852" s="4" t="s">
        <v>3131</v>
      </c>
      <c r="D852" s="4" t="s">
        <v>16</v>
      </c>
      <c r="E852" s="4">
        <v>3</v>
      </c>
      <c r="F852" s="4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4">
        <v>4</v>
      </c>
      <c r="L852" s="4" t="s">
        <v>37</v>
      </c>
      <c r="M852" s="4" t="s">
        <v>22</v>
      </c>
      <c r="N852" s="4">
        <v>1915.5</v>
      </c>
    </row>
    <row r="853" spans="1:14" ht="15" customHeight="1" x14ac:dyDescent="0.2">
      <c r="A853" s="4" t="s">
        <v>3133</v>
      </c>
      <c r="B853" s="6">
        <v>45272</v>
      </c>
      <c r="C853" s="4" t="s">
        <v>3134</v>
      </c>
      <c r="D853" s="4" t="s">
        <v>58</v>
      </c>
      <c r="E853" s="4">
        <v>1</v>
      </c>
      <c r="F853" s="4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4">
        <v>5</v>
      </c>
      <c r="L853" s="4" t="s">
        <v>21</v>
      </c>
      <c r="M853" s="4" t="s">
        <v>38</v>
      </c>
      <c r="N853" s="4">
        <v>365.57</v>
      </c>
    </row>
    <row r="854" spans="1:14" ht="15" customHeight="1" x14ac:dyDescent="0.2">
      <c r="A854" s="4" t="s">
        <v>3136</v>
      </c>
      <c r="B854" s="6">
        <v>45589</v>
      </c>
      <c r="C854" s="4" t="s">
        <v>3137</v>
      </c>
      <c r="D854" s="4" t="s">
        <v>73</v>
      </c>
      <c r="E854" s="4">
        <v>3</v>
      </c>
      <c r="F854" s="4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4">
        <v>6</v>
      </c>
      <c r="L854" s="4" t="s">
        <v>21</v>
      </c>
      <c r="M854" s="4" t="s">
        <v>76</v>
      </c>
      <c r="N854" s="4">
        <v>1704.15</v>
      </c>
    </row>
    <row r="855" spans="1:14" ht="15" customHeight="1" x14ac:dyDescent="0.2">
      <c r="A855" s="4" t="s">
        <v>3140</v>
      </c>
      <c r="B855" s="6">
        <v>45215</v>
      </c>
      <c r="C855" s="4" t="s">
        <v>3141</v>
      </c>
      <c r="D855" s="4" t="s">
        <v>48</v>
      </c>
      <c r="E855" s="4">
        <v>3</v>
      </c>
      <c r="F855" s="4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4">
        <v>4</v>
      </c>
      <c r="L855" s="4" t="s">
        <v>21</v>
      </c>
      <c r="M855" s="4" t="s">
        <v>45</v>
      </c>
      <c r="N855" s="4">
        <v>1470.03</v>
      </c>
    </row>
    <row r="856" spans="1:14" ht="15" customHeight="1" x14ac:dyDescent="0.2">
      <c r="A856" s="4" t="s">
        <v>3143</v>
      </c>
      <c r="B856" s="6">
        <v>45821</v>
      </c>
      <c r="C856" s="4" t="s">
        <v>3144</v>
      </c>
      <c r="D856" s="4" t="s">
        <v>58</v>
      </c>
      <c r="E856" s="4">
        <v>3</v>
      </c>
      <c r="F856" s="4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4">
        <v>7</v>
      </c>
      <c r="L856" s="4" t="s">
        <v>81</v>
      </c>
      <c r="M856" s="4" t="s">
        <v>29</v>
      </c>
      <c r="N856" s="4">
        <v>1117.8</v>
      </c>
    </row>
    <row r="857" spans="1:14" ht="15" customHeight="1" x14ac:dyDescent="0.2">
      <c r="A857" s="4" t="s">
        <v>3146</v>
      </c>
      <c r="B857" s="6">
        <v>45071</v>
      </c>
      <c r="C857" s="4" t="s">
        <v>3147</v>
      </c>
      <c r="D857" s="4" t="s">
        <v>16</v>
      </c>
      <c r="E857" s="4">
        <v>5</v>
      </c>
      <c r="F857" s="4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4">
        <v>10</v>
      </c>
      <c r="L857" s="4" t="s">
        <v>37</v>
      </c>
      <c r="M857" s="4" t="s">
        <v>38</v>
      </c>
      <c r="N857" s="4">
        <v>1203.05</v>
      </c>
    </row>
    <row r="858" spans="1:14" ht="15" customHeight="1" x14ac:dyDescent="0.2">
      <c r="A858" s="4" t="s">
        <v>3149</v>
      </c>
      <c r="B858" s="6">
        <v>45446</v>
      </c>
      <c r="C858" s="4" t="s">
        <v>3150</v>
      </c>
      <c r="D858" s="4" t="s">
        <v>25</v>
      </c>
      <c r="E858" s="4">
        <v>1</v>
      </c>
      <c r="F858" s="4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4">
        <v>5</v>
      </c>
      <c r="M858" s="4" t="s">
        <v>45</v>
      </c>
      <c r="N858" s="4">
        <v>586.62</v>
      </c>
    </row>
    <row r="859" spans="1:14" ht="15" customHeight="1" x14ac:dyDescent="0.2">
      <c r="A859" s="4" t="s">
        <v>3152</v>
      </c>
      <c r="B859" s="6">
        <v>45361</v>
      </c>
      <c r="C859" s="4" t="s">
        <v>3153</v>
      </c>
      <c r="D859" s="4" t="s">
        <v>25</v>
      </c>
      <c r="E859" s="4">
        <v>3</v>
      </c>
      <c r="F859" s="4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4">
        <v>4</v>
      </c>
      <c r="M859" s="4" t="s">
        <v>22</v>
      </c>
      <c r="N859" s="4">
        <v>773.52</v>
      </c>
    </row>
    <row r="860" spans="1:14" ht="15" customHeight="1" x14ac:dyDescent="0.2">
      <c r="A860" s="4" t="s">
        <v>3155</v>
      </c>
      <c r="B860" s="6">
        <v>45158</v>
      </c>
      <c r="C860" s="4" t="s">
        <v>3156</v>
      </c>
      <c r="D860" s="4" t="s">
        <v>32</v>
      </c>
      <c r="E860" s="4">
        <v>5</v>
      </c>
      <c r="F860" s="4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4">
        <v>9</v>
      </c>
      <c r="M860" s="4" t="s">
        <v>45</v>
      </c>
      <c r="N860" s="4">
        <v>2178.3000000000002</v>
      </c>
    </row>
    <row r="861" spans="1:14" ht="15" customHeight="1" x14ac:dyDescent="0.2">
      <c r="A861" s="4" t="s">
        <v>3158</v>
      </c>
      <c r="B861" s="6">
        <v>45532</v>
      </c>
      <c r="C861" s="4" t="s">
        <v>3159</v>
      </c>
      <c r="D861" s="4" t="s">
        <v>41</v>
      </c>
      <c r="E861" s="4">
        <v>5</v>
      </c>
      <c r="F861" s="4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4">
        <v>5</v>
      </c>
      <c r="L861" s="4" t="s">
        <v>21</v>
      </c>
      <c r="M861" s="4" t="s">
        <v>29</v>
      </c>
      <c r="N861" s="4">
        <v>1306.6500000000001</v>
      </c>
    </row>
    <row r="862" spans="1:14" ht="15" customHeight="1" x14ac:dyDescent="0.2">
      <c r="A862" s="4" t="s">
        <v>3161</v>
      </c>
      <c r="B862" s="6">
        <v>45314</v>
      </c>
      <c r="C862" s="4" t="s">
        <v>3162</v>
      </c>
      <c r="D862" s="4" t="s">
        <v>48</v>
      </c>
      <c r="E862" s="4">
        <v>1</v>
      </c>
      <c r="F862" s="4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4">
        <v>1</v>
      </c>
      <c r="L862" s="4" t="s">
        <v>21</v>
      </c>
      <c r="M862" s="4" t="s">
        <v>76</v>
      </c>
      <c r="N862" s="4">
        <v>422.54</v>
      </c>
    </row>
    <row r="863" spans="1:14" ht="15" customHeight="1" x14ac:dyDescent="0.2">
      <c r="A863" s="4" t="s">
        <v>3164</v>
      </c>
      <c r="B863" s="6">
        <v>45004</v>
      </c>
      <c r="C863" s="4" t="s">
        <v>3165</v>
      </c>
      <c r="D863" s="4" t="s">
        <v>73</v>
      </c>
      <c r="E863" s="4">
        <v>5</v>
      </c>
      <c r="F863" s="4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4">
        <v>10</v>
      </c>
      <c r="L863" s="4" t="s">
        <v>37</v>
      </c>
      <c r="M863" s="4" t="s">
        <v>76</v>
      </c>
      <c r="N863" s="4">
        <v>1652.25</v>
      </c>
    </row>
    <row r="864" spans="1:14" ht="15" customHeight="1" x14ac:dyDescent="0.2">
      <c r="A864" s="4" t="s">
        <v>3168</v>
      </c>
      <c r="B864" s="6">
        <v>45262</v>
      </c>
      <c r="C864" s="4" t="s">
        <v>3169</v>
      </c>
      <c r="D864" s="4" t="s">
        <v>73</v>
      </c>
      <c r="E864" s="4">
        <v>3</v>
      </c>
      <c r="F864" s="4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4">
        <v>5</v>
      </c>
      <c r="L864" s="4" t="s">
        <v>21</v>
      </c>
      <c r="M864" s="4" t="s">
        <v>29</v>
      </c>
      <c r="N864" s="4">
        <v>362.46</v>
      </c>
    </row>
    <row r="865" spans="1:14" ht="15" customHeight="1" x14ac:dyDescent="0.2">
      <c r="A865" s="4" t="s">
        <v>3171</v>
      </c>
      <c r="B865" s="6">
        <v>45432</v>
      </c>
      <c r="C865" s="4" t="s">
        <v>3172</v>
      </c>
      <c r="D865" s="4" t="s">
        <v>25</v>
      </c>
      <c r="E865" s="4">
        <v>1</v>
      </c>
      <c r="F865" s="4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4">
        <v>5</v>
      </c>
      <c r="L865" s="4" t="s">
        <v>21</v>
      </c>
      <c r="M865" s="4" t="s">
        <v>29</v>
      </c>
      <c r="N865" s="4">
        <v>14.06</v>
      </c>
    </row>
    <row r="866" spans="1:14" ht="15" customHeight="1" x14ac:dyDescent="0.2">
      <c r="A866" s="4" t="s">
        <v>3174</v>
      </c>
      <c r="B866" s="6">
        <v>45049</v>
      </c>
      <c r="C866" s="4" t="s">
        <v>3175</v>
      </c>
      <c r="D866" s="4" t="s">
        <v>73</v>
      </c>
      <c r="E866" s="4">
        <v>1</v>
      </c>
      <c r="F866" s="4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4">
        <v>4</v>
      </c>
      <c r="L866" s="4" t="s">
        <v>21</v>
      </c>
      <c r="M866" s="4" t="s">
        <v>45</v>
      </c>
      <c r="N866" s="4">
        <v>491.11</v>
      </c>
    </row>
    <row r="867" spans="1:14" ht="15" customHeight="1" x14ac:dyDescent="0.2">
      <c r="A867" s="4" t="s">
        <v>3178</v>
      </c>
      <c r="B867" s="6">
        <v>45046</v>
      </c>
      <c r="C867" s="4" t="s">
        <v>3179</v>
      </c>
      <c r="D867" s="4" t="s">
        <v>16</v>
      </c>
      <c r="E867" s="4">
        <v>4</v>
      </c>
      <c r="F867" s="4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4">
        <v>8</v>
      </c>
      <c r="L867" s="4" t="s">
        <v>21</v>
      </c>
      <c r="M867" s="4" t="s">
        <v>76</v>
      </c>
      <c r="N867" s="4">
        <v>2709.48</v>
      </c>
    </row>
    <row r="868" spans="1:14" ht="15" customHeight="1" x14ac:dyDescent="0.2">
      <c r="A868" s="4" t="s">
        <v>3182</v>
      </c>
      <c r="B868" s="6">
        <v>45499</v>
      </c>
      <c r="C868" s="4" t="s">
        <v>3183</v>
      </c>
      <c r="D868" s="4" t="s">
        <v>73</v>
      </c>
      <c r="E868" s="4">
        <v>5</v>
      </c>
      <c r="F868" s="4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4">
        <v>10</v>
      </c>
      <c r="L868" s="4" t="s">
        <v>81</v>
      </c>
      <c r="M868" s="4" t="s">
        <v>38</v>
      </c>
      <c r="N868" s="4">
        <v>946.25</v>
      </c>
    </row>
    <row r="869" spans="1:14" ht="15" customHeight="1" x14ac:dyDescent="0.2">
      <c r="A869" s="4" t="s">
        <v>3186</v>
      </c>
      <c r="B869" s="6">
        <v>45438</v>
      </c>
      <c r="C869" s="4" t="s">
        <v>3187</v>
      </c>
      <c r="D869" s="4" t="s">
        <v>48</v>
      </c>
      <c r="E869" s="4">
        <v>4</v>
      </c>
      <c r="F869" s="4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4">
        <v>4</v>
      </c>
      <c r="L869" s="4" t="s">
        <v>37</v>
      </c>
      <c r="M869" s="4" t="s">
        <v>45</v>
      </c>
      <c r="N869" s="4">
        <v>570.32000000000005</v>
      </c>
    </row>
    <row r="870" spans="1:14" ht="15" customHeight="1" x14ac:dyDescent="0.2">
      <c r="A870" s="4" t="s">
        <v>3190</v>
      </c>
      <c r="B870" s="6">
        <v>45472</v>
      </c>
      <c r="C870" s="4" t="s">
        <v>3191</v>
      </c>
      <c r="D870" s="4" t="s">
        <v>16</v>
      </c>
      <c r="E870" s="4">
        <v>4</v>
      </c>
      <c r="F870" s="4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4">
        <v>7</v>
      </c>
      <c r="M870" s="4" t="s">
        <v>45</v>
      </c>
      <c r="N870" s="4">
        <v>1265.28</v>
      </c>
    </row>
    <row r="871" spans="1:14" ht="15" customHeight="1" x14ac:dyDescent="0.2">
      <c r="A871" s="4" t="s">
        <v>3194</v>
      </c>
      <c r="B871" s="6">
        <v>45368</v>
      </c>
      <c r="C871" s="4" t="s">
        <v>3195</v>
      </c>
      <c r="D871" s="4" t="s">
        <v>73</v>
      </c>
      <c r="E871" s="4">
        <v>2</v>
      </c>
      <c r="F871" s="4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4">
        <v>5</v>
      </c>
      <c r="L871" s="4" t="s">
        <v>81</v>
      </c>
      <c r="M871" s="4" t="s">
        <v>76</v>
      </c>
      <c r="N871" s="4">
        <v>1067.9000000000001</v>
      </c>
    </row>
    <row r="872" spans="1:14" ht="15" customHeight="1" x14ac:dyDescent="0.2">
      <c r="A872" s="4" t="s">
        <v>3197</v>
      </c>
      <c r="B872" s="6">
        <v>45809</v>
      </c>
      <c r="C872" s="4" t="s">
        <v>3198</v>
      </c>
      <c r="D872" s="4" t="s">
        <v>25</v>
      </c>
      <c r="E872" s="4">
        <v>4</v>
      </c>
      <c r="F872" s="4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4">
        <v>4</v>
      </c>
      <c r="L872" s="4" t="s">
        <v>37</v>
      </c>
      <c r="M872" s="4" t="s">
        <v>76</v>
      </c>
      <c r="N872" s="4">
        <v>1880.36</v>
      </c>
    </row>
    <row r="873" spans="1:14" ht="15" customHeight="1" x14ac:dyDescent="0.2">
      <c r="A873" s="4" t="s">
        <v>3201</v>
      </c>
      <c r="B873" s="6">
        <v>45428</v>
      </c>
      <c r="C873" s="4" t="s">
        <v>3202</v>
      </c>
      <c r="D873" s="4" t="s">
        <v>32</v>
      </c>
      <c r="E873" s="4">
        <v>3</v>
      </c>
      <c r="F873" s="4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4">
        <v>8</v>
      </c>
      <c r="L873" s="4" t="s">
        <v>37</v>
      </c>
      <c r="M873" s="4" t="s">
        <v>38</v>
      </c>
      <c r="N873" s="4">
        <v>972.9</v>
      </c>
    </row>
    <row r="874" spans="1:14" ht="15" customHeight="1" x14ac:dyDescent="0.2">
      <c r="A874" s="4" t="s">
        <v>3205</v>
      </c>
      <c r="B874" s="6">
        <v>45117</v>
      </c>
      <c r="C874" s="4" t="s">
        <v>3206</v>
      </c>
      <c r="D874" s="4" t="s">
        <v>41</v>
      </c>
      <c r="E874" s="4">
        <v>4</v>
      </c>
      <c r="F874" s="4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4">
        <v>7</v>
      </c>
      <c r="M874" s="4" t="s">
        <v>38</v>
      </c>
      <c r="N874" s="4">
        <v>2517.36</v>
      </c>
    </row>
    <row r="875" spans="1:14" ht="15" customHeight="1" x14ac:dyDescent="0.2">
      <c r="A875" s="4" t="s">
        <v>3208</v>
      </c>
      <c r="B875" s="6">
        <v>45424</v>
      </c>
      <c r="C875" s="4" t="s">
        <v>3209</v>
      </c>
      <c r="D875" s="4" t="s">
        <v>73</v>
      </c>
      <c r="E875" s="4">
        <v>3</v>
      </c>
      <c r="F875" s="4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4">
        <v>3</v>
      </c>
      <c r="L875" s="4" t="s">
        <v>21</v>
      </c>
      <c r="M875" s="4" t="s">
        <v>45</v>
      </c>
      <c r="N875" s="4">
        <v>410.52</v>
      </c>
    </row>
    <row r="876" spans="1:14" ht="15" customHeight="1" x14ac:dyDescent="0.2">
      <c r="A876" s="4" t="s">
        <v>3212</v>
      </c>
      <c r="B876" s="6">
        <v>45230</v>
      </c>
      <c r="C876" s="4" t="s">
        <v>3213</v>
      </c>
      <c r="D876" s="4" t="s">
        <v>41</v>
      </c>
      <c r="E876" s="4">
        <v>2</v>
      </c>
      <c r="F876" s="4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4">
        <v>7</v>
      </c>
      <c r="L876" s="4" t="s">
        <v>37</v>
      </c>
      <c r="M876" s="4" t="s">
        <v>45</v>
      </c>
      <c r="N876" s="4">
        <v>977.8</v>
      </c>
    </row>
    <row r="877" spans="1:14" ht="15" customHeight="1" x14ac:dyDescent="0.2">
      <c r="A877" s="4" t="s">
        <v>3215</v>
      </c>
      <c r="B877" s="6">
        <v>45141</v>
      </c>
      <c r="C877" s="4" t="s">
        <v>3216</v>
      </c>
      <c r="D877" s="4" t="s">
        <v>58</v>
      </c>
      <c r="E877" s="4">
        <v>5</v>
      </c>
      <c r="F877" s="4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4">
        <v>6</v>
      </c>
      <c r="L877" s="4" t="s">
        <v>37</v>
      </c>
      <c r="M877" s="4" t="s">
        <v>29</v>
      </c>
      <c r="N877" s="4">
        <v>666.95</v>
      </c>
    </row>
    <row r="878" spans="1:14" ht="15" customHeight="1" x14ac:dyDescent="0.2">
      <c r="A878" s="4" t="s">
        <v>3218</v>
      </c>
      <c r="B878" s="6">
        <v>45452</v>
      </c>
      <c r="C878" s="4" t="s">
        <v>3219</v>
      </c>
      <c r="D878" s="4" t="s">
        <v>41</v>
      </c>
      <c r="E878" s="4">
        <v>5</v>
      </c>
      <c r="F878" s="4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4">
        <v>6</v>
      </c>
      <c r="L878" s="4" t="s">
        <v>21</v>
      </c>
      <c r="M878" s="4" t="s">
        <v>76</v>
      </c>
      <c r="N878" s="4">
        <v>3044.55</v>
      </c>
    </row>
    <row r="879" spans="1:14" ht="15" customHeight="1" x14ac:dyDescent="0.2">
      <c r="A879" s="4" t="s">
        <v>3221</v>
      </c>
      <c r="B879" s="6">
        <v>45498</v>
      </c>
      <c r="C879" s="4" t="s">
        <v>3222</v>
      </c>
      <c r="D879" s="4" t="s">
        <v>32</v>
      </c>
      <c r="E879" s="4">
        <v>1</v>
      </c>
      <c r="F879" s="4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4">
        <v>3</v>
      </c>
      <c r="L879" s="4" t="s">
        <v>37</v>
      </c>
      <c r="M879" s="4" t="s">
        <v>38</v>
      </c>
      <c r="N879" s="4">
        <v>524.05999999999995</v>
      </c>
    </row>
    <row r="880" spans="1:14" ht="15" customHeight="1" x14ac:dyDescent="0.2">
      <c r="A880" s="4" t="s">
        <v>3224</v>
      </c>
      <c r="B880" s="6">
        <v>45078</v>
      </c>
      <c r="C880" s="4" t="s">
        <v>3225</v>
      </c>
      <c r="D880" s="4" t="s">
        <v>73</v>
      </c>
      <c r="E880" s="4">
        <v>2</v>
      </c>
      <c r="F880" s="4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4">
        <v>5</v>
      </c>
      <c r="L880" s="4" t="s">
        <v>21</v>
      </c>
      <c r="M880" s="4" t="s">
        <v>76</v>
      </c>
      <c r="N880" s="4">
        <v>661.38</v>
      </c>
    </row>
    <row r="881" spans="1:14" ht="15" customHeight="1" x14ac:dyDescent="0.2">
      <c r="A881" s="4" t="s">
        <v>3228</v>
      </c>
      <c r="B881" s="6">
        <v>45755</v>
      </c>
      <c r="C881" s="4" t="s">
        <v>3229</v>
      </c>
      <c r="D881" s="4" t="s">
        <v>25</v>
      </c>
      <c r="E881" s="4">
        <v>2</v>
      </c>
      <c r="F881" s="4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4">
        <v>3</v>
      </c>
      <c r="M881" s="4" t="s">
        <v>22</v>
      </c>
      <c r="N881" s="4">
        <v>1095.3399999999999</v>
      </c>
    </row>
    <row r="882" spans="1:14" ht="15" customHeight="1" x14ac:dyDescent="0.2">
      <c r="A882" s="4" t="s">
        <v>3231</v>
      </c>
      <c r="B882" s="6">
        <v>45728</v>
      </c>
      <c r="C882" s="4" t="s">
        <v>3232</v>
      </c>
      <c r="D882" s="4" t="s">
        <v>58</v>
      </c>
      <c r="E882" s="4">
        <v>4</v>
      </c>
      <c r="F882" s="4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4">
        <v>8</v>
      </c>
      <c r="L882" s="4" t="s">
        <v>21</v>
      </c>
      <c r="M882" s="4" t="s">
        <v>45</v>
      </c>
      <c r="N882" s="4">
        <v>934.8</v>
      </c>
    </row>
    <row r="883" spans="1:14" ht="15" customHeight="1" x14ac:dyDescent="0.2">
      <c r="A883" s="4" t="s">
        <v>3234</v>
      </c>
      <c r="B883" s="6">
        <v>44929</v>
      </c>
      <c r="C883" s="4" t="s">
        <v>3235</v>
      </c>
      <c r="D883" s="4" t="s">
        <v>32</v>
      </c>
      <c r="E883" s="4">
        <v>2</v>
      </c>
      <c r="F883" s="4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4">
        <v>6</v>
      </c>
      <c r="M883" s="4" t="s">
        <v>22</v>
      </c>
      <c r="N883" s="4">
        <v>897.7</v>
      </c>
    </row>
    <row r="884" spans="1:14" ht="15" customHeight="1" x14ac:dyDescent="0.2">
      <c r="A884" s="4" t="s">
        <v>3238</v>
      </c>
      <c r="B884" s="6">
        <v>45836</v>
      </c>
      <c r="C884" s="4" t="s">
        <v>3239</v>
      </c>
      <c r="D884" s="4" t="s">
        <v>25</v>
      </c>
      <c r="E884" s="4">
        <v>2</v>
      </c>
      <c r="F884" s="4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4">
        <v>6</v>
      </c>
      <c r="L884" s="4" t="s">
        <v>37</v>
      </c>
      <c r="M884" s="4" t="s">
        <v>29</v>
      </c>
      <c r="N884" s="4">
        <v>548.24</v>
      </c>
    </row>
    <row r="885" spans="1:14" ht="15" customHeight="1" x14ac:dyDescent="0.2">
      <c r="A885" s="4" t="s">
        <v>3241</v>
      </c>
      <c r="B885" s="6">
        <v>45790</v>
      </c>
      <c r="C885" s="4" t="s">
        <v>3242</v>
      </c>
      <c r="D885" s="4" t="s">
        <v>48</v>
      </c>
      <c r="E885" s="4">
        <v>5</v>
      </c>
      <c r="F885" s="4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4">
        <v>9</v>
      </c>
      <c r="L885" s="4" t="s">
        <v>37</v>
      </c>
      <c r="M885" s="4" t="s">
        <v>45</v>
      </c>
      <c r="N885" s="4">
        <v>2807.4</v>
      </c>
    </row>
    <row r="886" spans="1:14" ht="15" customHeight="1" x14ac:dyDescent="0.2">
      <c r="A886" s="4" t="s">
        <v>3245</v>
      </c>
      <c r="B886" s="6">
        <v>45427</v>
      </c>
      <c r="C886" s="4" t="s">
        <v>3246</v>
      </c>
      <c r="D886" s="4" t="s">
        <v>41</v>
      </c>
      <c r="E886" s="4">
        <v>1</v>
      </c>
      <c r="F886" s="4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4">
        <v>4</v>
      </c>
      <c r="M886" s="4" t="s">
        <v>22</v>
      </c>
      <c r="N886" s="4">
        <v>595.54</v>
      </c>
    </row>
    <row r="887" spans="1:14" ht="15" customHeight="1" x14ac:dyDescent="0.2">
      <c r="A887" s="4" t="s">
        <v>3249</v>
      </c>
      <c r="B887" s="6">
        <v>45389</v>
      </c>
      <c r="C887" s="4" t="s">
        <v>3250</v>
      </c>
      <c r="D887" s="4" t="s">
        <v>58</v>
      </c>
      <c r="E887" s="4">
        <v>4</v>
      </c>
      <c r="F887" s="4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4">
        <v>7</v>
      </c>
      <c r="L887" s="4" t="s">
        <v>37</v>
      </c>
      <c r="M887" s="4" t="s">
        <v>76</v>
      </c>
      <c r="N887" s="4">
        <v>2062.36</v>
      </c>
    </row>
    <row r="888" spans="1:14" ht="15" customHeight="1" x14ac:dyDescent="0.2">
      <c r="A888" s="4" t="s">
        <v>3253</v>
      </c>
      <c r="B888" s="6">
        <v>45224</v>
      </c>
      <c r="C888" s="4" t="s">
        <v>3254</v>
      </c>
      <c r="D888" s="4" t="s">
        <v>25</v>
      </c>
      <c r="E888" s="4">
        <v>1</v>
      </c>
      <c r="F888" s="4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4">
        <v>1</v>
      </c>
      <c r="M888" s="4" t="s">
        <v>76</v>
      </c>
      <c r="N888" s="4">
        <v>460.13</v>
      </c>
    </row>
    <row r="889" spans="1:14" ht="15" customHeight="1" x14ac:dyDescent="0.2">
      <c r="A889" s="4" t="s">
        <v>3257</v>
      </c>
      <c r="B889" s="6">
        <v>45645</v>
      </c>
      <c r="C889" s="4" t="s">
        <v>3258</v>
      </c>
      <c r="D889" s="4" t="s">
        <v>41</v>
      </c>
      <c r="E889" s="4">
        <v>3</v>
      </c>
      <c r="F889" s="4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4">
        <v>7</v>
      </c>
      <c r="M889" s="4" t="s">
        <v>76</v>
      </c>
      <c r="N889" s="4">
        <v>514.98</v>
      </c>
    </row>
    <row r="890" spans="1:14" ht="15" customHeight="1" x14ac:dyDescent="0.2">
      <c r="A890" s="4" t="s">
        <v>3261</v>
      </c>
      <c r="B890" s="6">
        <v>45496</v>
      </c>
      <c r="C890" s="4" t="s">
        <v>3262</v>
      </c>
      <c r="D890" s="4" t="s">
        <v>58</v>
      </c>
      <c r="E890" s="4">
        <v>2</v>
      </c>
      <c r="F890" s="4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4">
        <v>3</v>
      </c>
      <c r="M890" s="4" t="s">
        <v>22</v>
      </c>
      <c r="N890" s="4">
        <v>533.9</v>
      </c>
    </row>
    <row r="891" spans="1:14" ht="15" customHeight="1" x14ac:dyDescent="0.2">
      <c r="A891" s="4" t="s">
        <v>3265</v>
      </c>
      <c r="B891" s="6">
        <v>45592</v>
      </c>
      <c r="C891" s="4" t="s">
        <v>3266</v>
      </c>
      <c r="D891" s="4" t="s">
        <v>16</v>
      </c>
      <c r="E891" s="4">
        <v>5</v>
      </c>
      <c r="F891" s="4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4">
        <v>8</v>
      </c>
      <c r="L891" s="4" t="s">
        <v>81</v>
      </c>
      <c r="M891" s="4" t="s">
        <v>38</v>
      </c>
      <c r="N891" s="4">
        <v>3253.6</v>
      </c>
    </row>
    <row r="892" spans="1:14" ht="15" customHeight="1" x14ac:dyDescent="0.2">
      <c r="A892" s="4" t="s">
        <v>3269</v>
      </c>
      <c r="B892" s="6">
        <v>45149</v>
      </c>
      <c r="C892" s="4" t="s">
        <v>3270</v>
      </c>
      <c r="D892" s="4" t="s">
        <v>58</v>
      </c>
      <c r="E892" s="4">
        <v>3</v>
      </c>
      <c r="F892" s="4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4">
        <v>5</v>
      </c>
      <c r="M892" s="4" t="s">
        <v>76</v>
      </c>
      <c r="N892" s="4">
        <v>1318.59</v>
      </c>
    </row>
    <row r="893" spans="1:14" ht="15" customHeight="1" x14ac:dyDescent="0.2">
      <c r="A893" s="4" t="s">
        <v>3272</v>
      </c>
      <c r="B893" s="6">
        <v>45241</v>
      </c>
      <c r="C893" s="4" t="s">
        <v>3273</v>
      </c>
      <c r="D893" s="4" t="s">
        <v>16</v>
      </c>
      <c r="E893" s="4">
        <v>3</v>
      </c>
      <c r="F893" s="4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4">
        <v>7</v>
      </c>
      <c r="L893" s="4" t="s">
        <v>21</v>
      </c>
      <c r="M893" s="4" t="s">
        <v>29</v>
      </c>
      <c r="N893" s="4">
        <v>1963.62</v>
      </c>
    </row>
    <row r="894" spans="1:14" ht="15" customHeight="1" x14ac:dyDescent="0.2">
      <c r="A894" s="4" t="s">
        <v>3276</v>
      </c>
      <c r="B894" s="6">
        <v>45447</v>
      </c>
      <c r="C894" s="4" t="s">
        <v>3277</v>
      </c>
      <c r="D894" s="4" t="s">
        <v>73</v>
      </c>
      <c r="E894" s="4">
        <v>1</v>
      </c>
      <c r="F894" s="4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4">
        <v>2</v>
      </c>
      <c r="L894" s="4" t="s">
        <v>37</v>
      </c>
      <c r="M894" s="4" t="s">
        <v>29</v>
      </c>
      <c r="N894" s="4">
        <v>394.53</v>
      </c>
    </row>
    <row r="895" spans="1:14" ht="15" customHeight="1" x14ac:dyDescent="0.2">
      <c r="A895" s="4" t="s">
        <v>3280</v>
      </c>
      <c r="B895" s="6">
        <v>45006</v>
      </c>
      <c r="C895" s="4" t="s">
        <v>3281</v>
      </c>
      <c r="D895" s="4" t="s">
        <v>16</v>
      </c>
      <c r="E895" s="4">
        <v>1</v>
      </c>
      <c r="F895" s="4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4">
        <v>4</v>
      </c>
      <c r="L895" s="4" t="s">
        <v>37</v>
      </c>
      <c r="M895" s="4" t="s">
        <v>29</v>
      </c>
      <c r="N895" s="4">
        <v>678.01</v>
      </c>
    </row>
    <row r="896" spans="1:14" ht="15" customHeight="1" x14ac:dyDescent="0.2">
      <c r="A896" s="4" t="s">
        <v>3283</v>
      </c>
      <c r="B896" s="6">
        <v>45069</v>
      </c>
      <c r="C896" s="4" t="s">
        <v>3284</v>
      </c>
      <c r="D896" s="4" t="s">
        <v>32</v>
      </c>
      <c r="E896" s="4">
        <v>3</v>
      </c>
      <c r="F896" s="4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4">
        <v>8</v>
      </c>
      <c r="L896" s="4" t="s">
        <v>81</v>
      </c>
      <c r="M896" s="4" t="s">
        <v>22</v>
      </c>
      <c r="N896" s="4">
        <v>1725.03</v>
      </c>
    </row>
    <row r="897" spans="1:14" ht="15" customHeight="1" x14ac:dyDescent="0.2">
      <c r="A897" s="4" t="s">
        <v>3286</v>
      </c>
      <c r="B897" s="6">
        <v>45239</v>
      </c>
      <c r="C897" s="4" t="s">
        <v>3287</v>
      </c>
      <c r="D897" s="4" t="s">
        <v>41</v>
      </c>
      <c r="E897" s="4">
        <v>3</v>
      </c>
      <c r="F897" s="4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4">
        <v>6</v>
      </c>
      <c r="L897" s="4" t="s">
        <v>81</v>
      </c>
      <c r="M897" s="4" t="s">
        <v>45</v>
      </c>
      <c r="N897" s="4">
        <v>463.92</v>
      </c>
    </row>
    <row r="898" spans="1:14" ht="15" customHeight="1" x14ac:dyDescent="0.2">
      <c r="A898" s="4" t="s">
        <v>3290</v>
      </c>
      <c r="B898" s="6">
        <v>45583</v>
      </c>
      <c r="C898" s="4" t="s">
        <v>3291</v>
      </c>
      <c r="D898" s="4" t="s">
        <v>73</v>
      </c>
      <c r="E898" s="4">
        <v>3</v>
      </c>
      <c r="F898" s="4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4">
        <v>3</v>
      </c>
      <c r="L898" s="4" t="s">
        <v>37</v>
      </c>
      <c r="M898" s="4" t="s">
        <v>76</v>
      </c>
      <c r="N898" s="4">
        <v>441.87</v>
      </c>
    </row>
    <row r="899" spans="1:14" ht="15" customHeight="1" x14ac:dyDescent="0.2">
      <c r="A899" s="4" t="s">
        <v>3293</v>
      </c>
      <c r="B899" s="6">
        <v>45538</v>
      </c>
      <c r="C899" s="4" t="s">
        <v>3294</v>
      </c>
      <c r="D899" s="4" t="s">
        <v>58</v>
      </c>
      <c r="E899" s="4">
        <v>4</v>
      </c>
      <c r="F899" s="4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4">
        <v>5</v>
      </c>
      <c r="L899" s="4" t="s">
        <v>21</v>
      </c>
      <c r="M899" s="4" t="s">
        <v>22</v>
      </c>
      <c r="N899" s="4">
        <v>1925.92</v>
      </c>
    </row>
    <row r="900" spans="1:14" ht="15" customHeight="1" x14ac:dyDescent="0.2">
      <c r="A900" s="4" t="s">
        <v>3296</v>
      </c>
      <c r="B900" s="6">
        <v>45721</v>
      </c>
      <c r="C900" s="4" t="s">
        <v>3297</v>
      </c>
      <c r="D900" s="4" t="s">
        <v>16</v>
      </c>
      <c r="E900" s="4">
        <v>3</v>
      </c>
      <c r="F900" s="4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4">
        <v>6</v>
      </c>
      <c r="M900" s="4" t="s">
        <v>29</v>
      </c>
      <c r="N900" s="4">
        <v>475.11</v>
      </c>
    </row>
    <row r="901" spans="1:14" ht="15" customHeight="1" x14ac:dyDescent="0.2">
      <c r="A901" s="4" t="s">
        <v>3299</v>
      </c>
      <c r="B901" s="6">
        <v>45770</v>
      </c>
      <c r="C901" s="4" t="s">
        <v>3300</v>
      </c>
      <c r="D901" s="4" t="s">
        <v>48</v>
      </c>
      <c r="E901" s="4">
        <v>2</v>
      </c>
      <c r="F901" s="4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4">
        <v>3</v>
      </c>
      <c r="L901" s="4" t="s">
        <v>21</v>
      </c>
      <c r="M901" s="4" t="s">
        <v>22</v>
      </c>
      <c r="N901" s="4">
        <v>646.74</v>
      </c>
    </row>
    <row r="902" spans="1:14" ht="15" customHeight="1" x14ac:dyDescent="0.2">
      <c r="A902" s="4" t="s">
        <v>3302</v>
      </c>
      <c r="B902" s="6">
        <v>45695</v>
      </c>
      <c r="C902" s="4" t="s">
        <v>3303</v>
      </c>
      <c r="D902" s="4" t="s">
        <v>58</v>
      </c>
      <c r="E902" s="4">
        <v>5</v>
      </c>
      <c r="F902" s="4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4">
        <v>9</v>
      </c>
      <c r="M902" s="4" t="s">
        <v>22</v>
      </c>
      <c r="N902" s="4">
        <v>369.15</v>
      </c>
    </row>
    <row r="903" spans="1:14" ht="15" customHeight="1" x14ac:dyDescent="0.2">
      <c r="A903" s="4" t="s">
        <v>3305</v>
      </c>
      <c r="B903" s="6">
        <v>45410</v>
      </c>
      <c r="C903" s="4" t="s">
        <v>3306</v>
      </c>
      <c r="D903" s="4" t="s">
        <v>32</v>
      </c>
      <c r="E903" s="4">
        <v>1</v>
      </c>
      <c r="F903" s="4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4">
        <v>4</v>
      </c>
      <c r="L903" s="4" t="s">
        <v>81</v>
      </c>
      <c r="M903" s="4" t="s">
        <v>29</v>
      </c>
      <c r="N903" s="4">
        <v>458.63</v>
      </c>
    </row>
    <row r="904" spans="1:14" ht="15" customHeight="1" x14ac:dyDescent="0.2">
      <c r="A904" s="4" t="s">
        <v>3308</v>
      </c>
      <c r="B904" s="6">
        <v>45486</v>
      </c>
      <c r="C904" s="4" t="s">
        <v>3309</v>
      </c>
      <c r="D904" s="4" t="s">
        <v>16</v>
      </c>
      <c r="E904" s="4">
        <v>4</v>
      </c>
      <c r="F904" s="4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4">
        <v>7</v>
      </c>
      <c r="M904" s="4" t="s">
        <v>45</v>
      </c>
      <c r="N904" s="4">
        <v>721</v>
      </c>
    </row>
    <row r="905" spans="1:14" ht="15" customHeight="1" x14ac:dyDescent="0.2">
      <c r="A905" s="4" t="s">
        <v>3311</v>
      </c>
      <c r="B905" s="6">
        <v>45063</v>
      </c>
      <c r="C905" s="4" t="s">
        <v>3312</v>
      </c>
      <c r="D905" s="4" t="s">
        <v>16</v>
      </c>
      <c r="E905" s="4">
        <v>3</v>
      </c>
      <c r="F905" s="4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4">
        <v>7</v>
      </c>
      <c r="M905" s="4" t="s">
        <v>38</v>
      </c>
      <c r="N905" s="4">
        <v>1420.47</v>
      </c>
    </row>
    <row r="906" spans="1:14" ht="15" customHeight="1" x14ac:dyDescent="0.2">
      <c r="A906" s="4" t="s">
        <v>3314</v>
      </c>
      <c r="B906" s="6">
        <v>45693</v>
      </c>
      <c r="C906" s="4" t="s">
        <v>3315</v>
      </c>
      <c r="D906" s="4" t="s">
        <v>16</v>
      </c>
      <c r="E906" s="4">
        <v>4</v>
      </c>
      <c r="F906" s="4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4">
        <v>8</v>
      </c>
      <c r="L906" s="4" t="s">
        <v>81</v>
      </c>
      <c r="M906" s="4" t="s">
        <v>29</v>
      </c>
      <c r="N906" s="4">
        <v>949.72</v>
      </c>
    </row>
    <row r="907" spans="1:14" ht="15" customHeight="1" x14ac:dyDescent="0.2">
      <c r="A907" s="4" t="s">
        <v>3317</v>
      </c>
      <c r="B907" s="6">
        <v>45253</v>
      </c>
      <c r="C907" s="4" t="s">
        <v>3318</v>
      </c>
      <c r="D907" s="4" t="s">
        <v>58</v>
      </c>
      <c r="E907" s="4">
        <v>1</v>
      </c>
      <c r="F907" s="4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4">
        <v>6</v>
      </c>
      <c r="L907" s="4" t="s">
        <v>37</v>
      </c>
      <c r="M907" s="4" t="s">
        <v>45</v>
      </c>
      <c r="N907" s="4">
        <v>442.39</v>
      </c>
    </row>
    <row r="908" spans="1:14" ht="15" customHeight="1" x14ac:dyDescent="0.2">
      <c r="A908" s="4" t="s">
        <v>3320</v>
      </c>
      <c r="B908" s="6">
        <v>45538</v>
      </c>
      <c r="C908" s="4" t="s">
        <v>3321</v>
      </c>
      <c r="D908" s="4" t="s">
        <v>16</v>
      </c>
      <c r="E908" s="4">
        <v>1</v>
      </c>
      <c r="F908" s="4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4">
        <v>2</v>
      </c>
      <c r="M908" s="4" t="s">
        <v>38</v>
      </c>
      <c r="N908" s="4">
        <v>62.12</v>
      </c>
    </row>
    <row r="909" spans="1:14" ht="15" customHeight="1" x14ac:dyDescent="0.2">
      <c r="A909" s="4" t="s">
        <v>3324</v>
      </c>
      <c r="B909" s="6">
        <v>45508</v>
      </c>
      <c r="C909" s="4" t="s">
        <v>3325</v>
      </c>
      <c r="D909" s="4" t="s">
        <v>73</v>
      </c>
      <c r="E909" s="4">
        <v>5</v>
      </c>
      <c r="F909" s="4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4">
        <v>7</v>
      </c>
      <c r="L909" s="4" t="s">
        <v>81</v>
      </c>
      <c r="M909" s="4" t="s">
        <v>29</v>
      </c>
      <c r="N909" s="4">
        <v>1491.95</v>
      </c>
    </row>
    <row r="910" spans="1:14" ht="15" customHeight="1" x14ac:dyDescent="0.2">
      <c r="A910" s="4" t="s">
        <v>3327</v>
      </c>
      <c r="B910" s="6">
        <v>45783</v>
      </c>
      <c r="C910" s="4" t="s">
        <v>3328</v>
      </c>
      <c r="D910" s="4" t="s">
        <v>73</v>
      </c>
      <c r="E910" s="4">
        <v>2</v>
      </c>
      <c r="F910" s="4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4">
        <v>2</v>
      </c>
      <c r="L910" s="4" t="s">
        <v>21</v>
      </c>
      <c r="M910" s="4" t="s">
        <v>76</v>
      </c>
      <c r="N910" s="4">
        <v>1395.86</v>
      </c>
    </row>
    <row r="911" spans="1:14" ht="15" customHeight="1" x14ac:dyDescent="0.2">
      <c r="A911" s="4" t="s">
        <v>3330</v>
      </c>
      <c r="B911" s="6">
        <v>45439</v>
      </c>
      <c r="C911" s="4" t="s">
        <v>3331</v>
      </c>
      <c r="D911" s="4" t="s">
        <v>32</v>
      </c>
      <c r="E911" s="4">
        <v>2</v>
      </c>
      <c r="F911" s="4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4">
        <v>5</v>
      </c>
      <c r="L911" s="4" t="s">
        <v>37</v>
      </c>
      <c r="M911" s="4" t="s">
        <v>22</v>
      </c>
      <c r="N911" s="4">
        <v>583.70000000000005</v>
      </c>
    </row>
    <row r="912" spans="1:14" ht="15" customHeight="1" x14ac:dyDescent="0.2">
      <c r="A912" s="4" t="s">
        <v>3333</v>
      </c>
      <c r="B912" s="6">
        <v>45443</v>
      </c>
      <c r="C912" s="4" t="s">
        <v>3334</v>
      </c>
      <c r="D912" s="4" t="s">
        <v>48</v>
      </c>
      <c r="E912" s="4">
        <v>3</v>
      </c>
      <c r="F912" s="4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4">
        <v>3</v>
      </c>
      <c r="L912" s="4" t="s">
        <v>21</v>
      </c>
      <c r="M912" s="4" t="s">
        <v>22</v>
      </c>
      <c r="N912" s="4">
        <v>926.94</v>
      </c>
    </row>
    <row r="913" spans="1:14" ht="15" customHeight="1" x14ac:dyDescent="0.2">
      <c r="A913" s="4" t="s">
        <v>3336</v>
      </c>
      <c r="B913" s="6">
        <v>45517</v>
      </c>
      <c r="C913" s="4" t="s">
        <v>3337</v>
      </c>
      <c r="D913" s="4" t="s">
        <v>73</v>
      </c>
      <c r="E913" s="4">
        <v>5</v>
      </c>
      <c r="F913" s="4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4">
        <v>9</v>
      </c>
      <c r="L913" s="4" t="s">
        <v>21</v>
      </c>
      <c r="M913" s="4" t="s">
        <v>22</v>
      </c>
      <c r="N913" s="4">
        <v>1984.3</v>
      </c>
    </row>
    <row r="914" spans="1:14" ht="15" customHeight="1" x14ac:dyDescent="0.2">
      <c r="A914" s="4" t="s">
        <v>3339</v>
      </c>
      <c r="B914" s="6">
        <v>45313</v>
      </c>
      <c r="C914" s="4" t="s">
        <v>3340</v>
      </c>
      <c r="D914" s="4" t="s">
        <v>73</v>
      </c>
      <c r="E914" s="4">
        <v>2</v>
      </c>
      <c r="F914" s="4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4">
        <v>7</v>
      </c>
      <c r="L914" s="4" t="s">
        <v>37</v>
      </c>
      <c r="M914" s="4" t="s">
        <v>38</v>
      </c>
      <c r="N914" s="4">
        <v>279.38</v>
      </c>
    </row>
    <row r="915" spans="1:14" ht="15" customHeight="1" x14ac:dyDescent="0.2">
      <c r="A915" s="4" t="s">
        <v>3342</v>
      </c>
      <c r="B915" s="6">
        <v>44973</v>
      </c>
      <c r="C915" s="4" t="s">
        <v>3343</v>
      </c>
      <c r="D915" s="4" t="s">
        <v>48</v>
      </c>
      <c r="E915" s="4">
        <v>5</v>
      </c>
      <c r="F915" s="4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4">
        <v>8</v>
      </c>
      <c r="L915" s="4" t="s">
        <v>81</v>
      </c>
      <c r="M915" s="4" t="s">
        <v>45</v>
      </c>
      <c r="N915" s="4">
        <v>2379.75</v>
      </c>
    </row>
    <row r="916" spans="1:14" ht="15" customHeight="1" x14ac:dyDescent="0.2">
      <c r="A916" s="4" t="s">
        <v>3345</v>
      </c>
      <c r="B916" s="6">
        <v>45698</v>
      </c>
      <c r="C916" s="4" t="s">
        <v>3346</v>
      </c>
      <c r="D916" s="4" t="s">
        <v>73</v>
      </c>
      <c r="E916" s="4">
        <v>1</v>
      </c>
      <c r="F916" s="4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4">
        <v>4</v>
      </c>
      <c r="L916" s="4" t="s">
        <v>81</v>
      </c>
      <c r="M916" s="4" t="s">
        <v>45</v>
      </c>
      <c r="N916" s="4">
        <v>626.6</v>
      </c>
    </row>
    <row r="917" spans="1:14" ht="15" customHeight="1" x14ac:dyDescent="0.2">
      <c r="A917" s="4" t="s">
        <v>3348</v>
      </c>
      <c r="B917" s="6">
        <v>45338</v>
      </c>
      <c r="C917" s="4" t="s">
        <v>3349</v>
      </c>
      <c r="D917" s="4" t="s">
        <v>58</v>
      </c>
      <c r="E917" s="4">
        <v>4</v>
      </c>
      <c r="F917" s="4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4">
        <v>4</v>
      </c>
      <c r="L917" s="4" t="s">
        <v>81</v>
      </c>
      <c r="M917" s="4" t="s">
        <v>29</v>
      </c>
      <c r="N917" s="4">
        <v>2011.96</v>
      </c>
    </row>
    <row r="918" spans="1:14" ht="15" customHeight="1" x14ac:dyDescent="0.2">
      <c r="A918" s="4" t="s">
        <v>3352</v>
      </c>
      <c r="B918" s="6">
        <v>45464</v>
      </c>
      <c r="C918" s="4" t="s">
        <v>3353</v>
      </c>
      <c r="D918" s="4" t="s">
        <v>48</v>
      </c>
      <c r="E918" s="4">
        <v>5</v>
      </c>
      <c r="F918" s="4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4">
        <v>6</v>
      </c>
      <c r="M918" s="4" t="s">
        <v>29</v>
      </c>
      <c r="N918" s="4">
        <v>2894.15</v>
      </c>
    </row>
    <row r="919" spans="1:14" ht="15" customHeight="1" x14ac:dyDescent="0.2">
      <c r="A919" s="4" t="s">
        <v>3355</v>
      </c>
      <c r="B919" s="6">
        <v>45677</v>
      </c>
      <c r="C919" s="4" t="s">
        <v>3356</v>
      </c>
      <c r="D919" s="4" t="s">
        <v>58</v>
      </c>
      <c r="E919" s="4">
        <v>5</v>
      </c>
      <c r="F919" s="4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4">
        <v>7</v>
      </c>
      <c r="L919" s="4" t="s">
        <v>37</v>
      </c>
      <c r="M919" s="4" t="s">
        <v>76</v>
      </c>
      <c r="N919" s="4">
        <v>1919.1</v>
      </c>
    </row>
    <row r="920" spans="1:14" ht="15" customHeight="1" x14ac:dyDescent="0.2">
      <c r="A920" s="4" t="s">
        <v>3359</v>
      </c>
      <c r="B920" s="6">
        <v>45832</v>
      </c>
      <c r="C920" s="4" t="s">
        <v>3360</v>
      </c>
      <c r="D920" s="4" t="s">
        <v>58</v>
      </c>
      <c r="E920" s="4">
        <v>5</v>
      </c>
      <c r="F920" s="4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4">
        <v>5</v>
      </c>
      <c r="M920" s="4" t="s">
        <v>22</v>
      </c>
      <c r="N920" s="4">
        <v>1841.25</v>
      </c>
    </row>
    <row r="921" spans="1:14" ht="15" customHeight="1" x14ac:dyDescent="0.2">
      <c r="A921" s="4" t="s">
        <v>3362</v>
      </c>
      <c r="B921" s="6">
        <v>45695</v>
      </c>
      <c r="C921" s="4" t="s">
        <v>3363</v>
      </c>
      <c r="D921" s="4" t="s">
        <v>48</v>
      </c>
      <c r="E921" s="4">
        <v>2</v>
      </c>
      <c r="F921" s="4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4">
        <v>3</v>
      </c>
      <c r="L921" s="4" t="s">
        <v>37</v>
      </c>
      <c r="M921" s="4" t="s">
        <v>29</v>
      </c>
      <c r="N921" s="4">
        <v>749.2</v>
      </c>
    </row>
    <row r="922" spans="1:14" ht="15" customHeight="1" x14ac:dyDescent="0.2">
      <c r="A922" s="4" t="s">
        <v>3365</v>
      </c>
      <c r="B922" s="6">
        <v>45728</v>
      </c>
      <c r="C922" s="4" t="s">
        <v>3366</v>
      </c>
      <c r="D922" s="4" t="s">
        <v>32</v>
      </c>
      <c r="E922" s="4">
        <v>2</v>
      </c>
      <c r="F922" s="4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4">
        <v>6</v>
      </c>
      <c r="M922" s="4" t="s">
        <v>22</v>
      </c>
      <c r="N922" s="4">
        <v>856.18</v>
      </c>
    </row>
    <row r="923" spans="1:14" ht="15" customHeight="1" x14ac:dyDescent="0.2">
      <c r="A923" s="4" t="s">
        <v>3368</v>
      </c>
      <c r="B923" s="6">
        <v>45131</v>
      </c>
      <c r="C923" s="4" t="s">
        <v>3369</v>
      </c>
      <c r="D923" s="4" t="s">
        <v>32</v>
      </c>
      <c r="E923" s="4">
        <v>1</v>
      </c>
      <c r="F923" s="4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4">
        <v>3</v>
      </c>
      <c r="L923" s="4" t="s">
        <v>21</v>
      </c>
      <c r="M923" s="4" t="s">
        <v>29</v>
      </c>
      <c r="N923" s="4">
        <v>438.93</v>
      </c>
    </row>
    <row r="924" spans="1:14" ht="15" customHeight="1" x14ac:dyDescent="0.2">
      <c r="A924" s="4" t="s">
        <v>3372</v>
      </c>
      <c r="B924" s="6">
        <v>45460</v>
      </c>
      <c r="C924" s="4" t="s">
        <v>3373</v>
      </c>
      <c r="D924" s="4" t="s">
        <v>73</v>
      </c>
      <c r="E924" s="4">
        <v>2</v>
      </c>
      <c r="F924" s="4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4">
        <v>3</v>
      </c>
      <c r="M924" s="4" t="s">
        <v>22</v>
      </c>
      <c r="N924" s="4">
        <v>1127.6400000000001</v>
      </c>
    </row>
    <row r="925" spans="1:14" ht="15" customHeight="1" x14ac:dyDescent="0.2">
      <c r="A925" s="4" t="s">
        <v>3376</v>
      </c>
      <c r="B925" s="6">
        <v>44968</v>
      </c>
      <c r="C925" s="4" t="s">
        <v>3377</v>
      </c>
      <c r="D925" s="4" t="s">
        <v>48</v>
      </c>
      <c r="E925" s="4">
        <v>3</v>
      </c>
      <c r="F925" s="4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4">
        <v>7</v>
      </c>
      <c r="L925" s="4" t="s">
        <v>81</v>
      </c>
      <c r="M925" s="4" t="s">
        <v>45</v>
      </c>
      <c r="N925" s="4">
        <v>1949.79</v>
      </c>
    </row>
    <row r="926" spans="1:14" ht="15" customHeight="1" x14ac:dyDescent="0.2">
      <c r="A926" s="4" t="s">
        <v>3379</v>
      </c>
      <c r="B926" s="6">
        <v>45738</v>
      </c>
      <c r="C926" s="4" t="s">
        <v>3380</v>
      </c>
      <c r="D926" s="4" t="s">
        <v>48</v>
      </c>
      <c r="E926" s="4">
        <v>5</v>
      </c>
      <c r="F926" s="4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4">
        <v>5</v>
      </c>
      <c r="L926" s="4" t="s">
        <v>21</v>
      </c>
      <c r="M926" s="4" t="s">
        <v>38</v>
      </c>
      <c r="N926" s="4">
        <v>1342.15</v>
      </c>
    </row>
    <row r="927" spans="1:14" ht="15" customHeight="1" x14ac:dyDescent="0.2">
      <c r="A927" s="4" t="s">
        <v>3382</v>
      </c>
      <c r="B927" s="6">
        <v>45646</v>
      </c>
      <c r="C927" s="4" t="s">
        <v>3383</v>
      </c>
      <c r="D927" s="4" t="s">
        <v>16</v>
      </c>
      <c r="E927" s="4">
        <v>5</v>
      </c>
      <c r="F927" s="4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4">
        <v>10</v>
      </c>
      <c r="L927" s="4" t="s">
        <v>81</v>
      </c>
      <c r="M927" s="4" t="s">
        <v>38</v>
      </c>
      <c r="N927" s="4">
        <v>2512.35</v>
      </c>
    </row>
    <row r="928" spans="1:14" ht="15" customHeight="1" x14ac:dyDescent="0.2">
      <c r="A928" s="4" t="s">
        <v>3385</v>
      </c>
      <c r="B928" s="6">
        <v>45371</v>
      </c>
      <c r="C928" s="4" t="s">
        <v>3386</v>
      </c>
      <c r="D928" s="4" t="s">
        <v>73</v>
      </c>
      <c r="E928" s="4">
        <v>1</v>
      </c>
      <c r="F928" s="4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4">
        <v>1</v>
      </c>
      <c r="L928" s="4" t="s">
        <v>81</v>
      </c>
      <c r="M928" s="4" t="s">
        <v>38</v>
      </c>
      <c r="N928" s="4">
        <v>26.95</v>
      </c>
    </row>
    <row r="929" spans="1:14" ht="15" customHeight="1" x14ac:dyDescent="0.2">
      <c r="A929" s="4" t="s">
        <v>3388</v>
      </c>
      <c r="B929" s="6">
        <v>44971</v>
      </c>
      <c r="C929" s="4" t="s">
        <v>3389</v>
      </c>
      <c r="D929" s="4" t="s">
        <v>58</v>
      </c>
      <c r="E929" s="4">
        <v>4</v>
      </c>
      <c r="F929" s="4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4">
        <v>7</v>
      </c>
      <c r="L929" s="4" t="s">
        <v>81</v>
      </c>
      <c r="M929" s="4" t="s">
        <v>76</v>
      </c>
      <c r="N929" s="4">
        <v>258.76</v>
      </c>
    </row>
    <row r="930" spans="1:14" ht="15" customHeight="1" x14ac:dyDescent="0.2">
      <c r="A930" s="4" t="s">
        <v>3391</v>
      </c>
      <c r="B930" s="6">
        <v>45421</v>
      </c>
      <c r="C930" s="4" t="s">
        <v>3392</v>
      </c>
      <c r="D930" s="4" t="s">
        <v>58</v>
      </c>
      <c r="E930" s="4">
        <v>3</v>
      </c>
      <c r="F930" s="4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4">
        <v>3</v>
      </c>
      <c r="L930" s="4" t="s">
        <v>81</v>
      </c>
      <c r="M930" s="4" t="s">
        <v>29</v>
      </c>
      <c r="N930" s="4">
        <v>741.33</v>
      </c>
    </row>
    <row r="931" spans="1:14" ht="15" customHeight="1" x14ac:dyDescent="0.2">
      <c r="A931" s="4" t="s">
        <v>3394</v>
      </c>
      <c r="B931" s="6">
        <v>45581</v>
      </c>
      <c r="C931" s="4" t="s">
        <v>3395</v>
      </c>
      <c r="D931" s="4" t="s">
        <v>32</v>
      </c>
      <c r="E931" s="4">
        <v>2</v>
      </c>
      <c r="F931" s="4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4">
        <v>3</v>
      </c>
      <c r="M931" s="4" t="s">
        <v>38</v>
      </c>
      <c r="N931" s="4">
        <v>1072.5</v>
      </c>
    </row>
    <row r="932" spans="1:14" ht="15" customHeight="1" x14ac:dyDescent="0.2">
      <c r="A932" s="4" t="s">
        <v>3397</v>
      </c>
      <c r="B932" s="6">
        <v>45642</v>
      </c>
      <c r="C932" s="4" t="s">
        <v>3398</v>
      </c>
      <c r="D932" s="4" t="s">
        <v>25</v>
      </c>
      <c r="E932" s="4">
        <v>2</v>
      </c>
      <c r="F932" s="4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4">
        <v>4</v>
      </c>
      <c r="L932" s="4" t="s">
        <v>37</v>
      </c>
      <c r="M932" s="4" t="s">
        <v>38</v>
      </c>
      <c r="N932" s="4">
        <v>912.08</v>
      </c>
    </row>
    <row r="933" spans="1:14" ht="15" customHeight="1" x14ac:dyDescent="0.2">
      <c r="A933" s="4" t="s">
        <v>3400</v>
      </c>
      <c r="B933" s="6">
        <v>45292</v>
      </c>
      <c r="C933" s="4" t="s">
        <v>3401</v>
      </c>
      <c r="D933" s="4" t="s">
        <v>48</v>
      </c>
      <c r="E933" s="4">
        <v>2</v>
      </c>
      <c r="F933" s="4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4">
        <v>4</v>
      </c>
      <c r="L933" s="4" t="s">
        <v>21</v>
      </c>
      <c r="M933" s="4" t="s">
        <v>76</v>
      </c>
      <c r="N933" s="4">
        <v>80.459999999999994</v>
      </c>
    </row>
    <row r="934" spans="1:14" ht="15" customHeight="1" x14ac:dyDescent="0.2">
      <c r="A934" s="4" t="s">
        <v>3403</v>
      </c>
      <c r="B934" s="6">
        <v>45011</v>
      </c>
      <c r="C934" s="4" t="s">
        <v>3404</v>
      </c>
      <c r="D934" s="4" t="s">
        <v>58</v>
      </c>
      <c r="E934" s="4">
        <v>2</v>
      </c>
      <c r="F934" s="4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4">
        <v>7</v>
      </c>
      <c r="L934" s="4" t="s">
        <v>81</v>
      </c>
      <c r="M934" s="4" t="s">
        <v>22</v>
      </c>
      <c r="N934" s="4">
        <v>144.78</v>
      </c>
    </row>
    <row r="935" spans="1:14" ht="15" customHeight="1" x14ac:dyDescent="0.2">
      <c r="A935" s="4" t="s">
        <v>3407</v>
      </c>
      <c r="B935" s="6">
        <v>44952</v>
      </c>
      <c r="C935" s="4" t="s">
        <v>3408</v>
      </c>
      <c r="D935" s="4" t="s">
        <v>16</v>
      </c>
      <c r="E935" s="4">
        <v>2</v>
      </c>
      <c r="F935" s="4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4">
        <v>2</v>
      </c>
      <c r="M935" s="4" t="s">
        <v>29</v>
      </c>
      <c r="N935" s="4">
        <v>788.32</v>
      </c>
    </row>
    <row r="936" spans="1:14" ht="15" customHeight="1" x14ac:dyDescent="0.2">
      <c r="A936" s="4" t="s">
        <v>3410</v>
      </c>
      <c r="B936" s="6">
        <v>45809</v>
      </c>
      <c r="C936" s="4" t="s">
        <v>3411</v>
      </c>
      <c r="D936" s="4" t="s">
        <v>58</v>
      </c>
      <c r="E936" s="4">
        <v>4</v>
      </c>
      <c r="F936" s="4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4">
        <v>8</v>
      </c>
      <c r="L936" s="4" t="s">
        <v>37</v>
      </c>
      <c r="M936" s="4" t="s">
        <v>29</v>
      </c>
      <c r="N936" s="4">
        <v>479.36</v>
      </c>
    </row>
    <row r="937" spans="1:14" ht="15" customHeight="1" x14ac:dyDescent="0.2">
      <c r="A937" s="4" t="s">
        <v>3413</v>
      </c>
      <c r="B937" s="6">
        <v>45254</v>
      </c>
      <c r="C937" s="4" t="s">
        <v>3414</v>
      </c>
      <c r="D937" s="4" t="s">
        <v>25</v>
      </c>
      <c r="E937" s="4">
        <v>3</v>
      </c>
      <c r="F937" s="4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4">
        <v>3</v>
      </c>
      <c r="L937" s="4" t="s">
        <v>37</v>
      </c>
      <c r="M937" s="4" t="s">
        <v>22</v>
      </c>
      <c r="N937" s="4">
        <v>2078.13</v>
      </c>
    </row>
    <row r="938" spans="1:14" ht="15" customHeight="1" x14ac:dyDescent="0.2">
      <c r="A938" s="4" t="s">
        <v>3416</v>
      </c>
      <c r="B938" s="6">
        <v>45303</v>
      </c>
      <c r="C938" s="4" t="s">
        <v>3417</v>
      </c>
      <c r="D938" s="4" t="s">
        <v>41</v>
      </c>
      <c r="E938" s="4">
        <v>4</v>
      </c>
      <c r="F938" s="4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4">
        <v>4</v>
      </c>
      <c r="L938" s="4" t="s">
        <v>21</v>
      </c>
      <c r="M938" s="4" t="s">
        <v>22</v>
      </c>
      <c r="N938" s="4">
        <v>226.64</v>
      </c>
    </row>
    <row r="939" spans="1:14" ht="15" customHeight="1" x14ac:dyDescent="0.2">
      <c r="A939" s="4" t="s">
        <v>3419</v>
      </c>
      <c r="B939" s="6">
        <v>45307</v>
      </c>
      <c r="C939" s="4" t="s">
        <v>3420</v>
      </c>
      <c r="D939" s="4" t="s">
        <v>41</v>
      </c>
      <c r="E939" s="4">
        <v>2</v>
      </c>
      <c r="F939" s="4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4">
        <v>5</v>
      </c>
      <c r="L939" s="4" t="s">
        <v>81</v>
      </c>
      <c r="M939" s="4" t="s">
        <v>38</v>
      </c>
      <c r="N939" s="4">
        <v>597.05999999999995</v>
      </c>
    </row>
    <row r="940" spans="1:14" ht="15" customHeight="1" x14ac:dyDescent="0.2">
      <c r="A940" s="4" t="s">
        <v>3422</v>
      </c>
      <c r="B940" s="6">
        <v>45119</v>
      </c>
      <c r="C940" s="4" t="s">
        <v>3423</v>
      </c>
      <c r="D940" s="4" t="s">
        <v>41</v>
      </c>
      <c r="E940" s="4">
        <v>3</v>
      </c>
      <c r="F940" s="4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4">
        <v>6</v>
      </c>
      <c r="L940" s="4" t="s">
        <v>81</v>
      </c>
      <c r="M940" s="4" t="s">
        <v>29</v>
      </c>
      <c r="N940" s="4">
        <v>994.38</v>
      </c>
    </row>
    <row r="941" spans="1:14" ht="15" customHeight="1" x14ac:dyDescent="0.2">
      <c r="A941" s="4" t="s">
        <v>3425</v>
      </c>
      <c r="B941" s="6">
        <v>45763</v>
      </c>
      <c r="C941" s="4" t="s">
        <v>3426</v>
      </c>
      <c r="D941" s="4" t="s">
        <v>58</v>
      </c>
      <c r="E941" s="4">
        <v>2</v>
      </c>
      <c r="F941" s="4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4">
        <v>7</v>
      </c>
      <c r="L941" s="4" t="s">
        <v>21</v>
      </c>
      <c r="M941" s="4" t="s">
        <v>22</v>
      </c>
      <c r="N941" s="4">
        <v>1042.8</v>
      </c>
    </row>
    <row r="942" spans="1:14" ht="15" customHeight="1" x14ac:dyDescent="0.2">
      <c r="A942" s="4" t="s">
        <v>3429</v>
      </c>
      <c r="B942" s="6">
        <v>45012</v>
      </c>
      <c r="C942" s="4" t="s">
        <v>3430</v>
      </c>
      <c r="D942" s="4" t="s">
        <v>48</v>
      </c>
      <c r="E942" s="4">
        <v>4</v>
      </c>
      <c r="F942" s="4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4">
        <v>4</v>
      </c>
      <c r="L942" s="4" t="s">
        <v>21</v>
      </c>
      <c r="M942" s="4" t="s">
        <v>76</v>
      </c>
      <c r="N942" s="4">
        <v>1221.28</v>
      </c>
    </row>
    <row r="943" spans="1:14" ht="15" customHeight="1" x14ac:dyDescent="0.2">
      <c r="A943" s="4" t="s">
        <v>3433</v>
      </c>
      <c r="B943" s="6">
        <v>45124</v>
      </c>
      <c r="C943" s="4" t="s">
        <v>1700</v>
      </c>
      <c r="D943" s="4" t="s">
        <v>48</v>
      </c>
      <c r="E943" s="4">
        <v>5</v>
      </c>
      <c r="F943" s="4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4">
        <v>9</v>
      </c>
      <c r="L943" s="4" t="s">
        <v>37</v>
      </c>
      <c r="M943" s="4" t="s">
        <v>38</v>
      </c>
      <c r="N943" s="4">
        <v>558.5</v>
      </c>
    </row>
    <row r="944" spans="1:14" ht="15" customHeight="1" x14ac:dyDescent="0.2">
      <c r="A944" s="4" t="s">
        <v>3435</v>
      </c>
      <c r="B944" s="6">
        <v>45198</v>
      </c>
      <c r="C944" s="4" t="s">
        <v>3436</v>
      </c>
      <c r="D944" s="4" t="s">
        <v>32</v>
      </c>
      <c r="E944" s="4">
        <v>1</v>
      </c>
      <c r="F944" s="4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4">
        <v>1</v>
      </c>
      <c r="M944" s="4" t="s">
        <v>38</v>
      </c>
      <c r="N944" s="4">
        <v>479.76</v>
      </c>
    </row>
    <row r="945" spans="1:14" ht="15" customHeight="1" x14ac:dyDescent="0.2">
      <c r="A945" s="4" t="s">
        <v>3438</v>
      </c>
      <c r="B945" s="6">
        <v>45287</v>
      </c>
      <c r="C945" s="4" t="s">
        <v>3439</v>
      </c>
      <c r="D945" s="4" t="s">
        <v>16</v>
      </c>
      <c r="E945" s="4">
        <v>3</v>
      </c>
      <c r="F945" s="4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4">
        <v>6</v>
      </c>
      <c r="L945" s="4" t="s">
        <v>37</v>
      </c>
      <c r="M945" s="4" t="s">
        <v>45</v>
      </c>
      <c r="N945" s="4">
        <v>580.47</v>
      </c>
    </row>
    <row r="946" spans="1:14" ht="15" customHeight="1" x14ac:dyDescent="0.2">
      <c r="A946" s="4" t="s">
        <v>3442</v>
      </c>
      <c r="B946" s="6">
        <v>45642</v>
      </c>
      <c r="C946" s="4" t="s">
        <v>3443</v>
      </c>
      <c r="D946" s="4" t="s">
        <v>58</v>
      </c>
      <c r="E946" s="4">
        <v>2</v>
      </c>
      <c r="F946" s="4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4">
        <v>7</v>
      </c>
      <c r="L946" s="4" t="s">
        <v>81</v>
      </c>
      <c r="M946" s="4" t="s">
        <v>76</v>
      </c>
      <c r="N946" s="4">
        <v>852.44</v>
      </c>
    </row>
    <row r="947" spans="1:14" ht="15" customHeight="1" x14ac:dyDescent="0.2">
      <c r="A947" s="4" t="s">
        <v>3445</v>
      </c>
      <c r="B947" s="6">
        <v>45158</v>
      </c>
      <c r="C947" s="4" t="s">
        <v>3446</v>
      </c>
      <c r="D947" s="4" t="s">
        <v>32</v>
      </c>
      <c r="E947" s="4">
        <v>5</v>
      </c>
      <c r="F947" s="4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4">
        <v>10</v>
      </c>
      <c r="L947" s="4" t="s">
        <v>37</v>
      </c>
      <c r="M947" s="4" t="s">
        <v>29</v>
      </c>
      <c r="N947" s="4">
        <v>1382.2</v>
      </c>
    </row>
    <row r="948" spans="1:14" ht="15" customHeight="1" x14ac:dyDescent="0.2">
      <c r="A948" s="4" t="s">
        <v>3448</v>
      </c>
      <c r="B948" s="6">
        <v>45416</v>
      </c>
      <c r="C948" s="4" t="s">
        <v>3449</v>
      </c>
      <c r="D948" s="4" t="s">
        <v>25</v>
      </c>
      <c r="E948" s="4">
        <v>2</v>
      </c>
      <c r="F948" s="4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4">
        <v>4</v>
      </c>
      <c r="L948" s="4" t="s">
        <v>21</v>
      </c>
      <c r="M948" s="4" t="s">
        <v>38</v>
      </c>
      <c r="N948" s="4">
        <v>809.92</v>
      </c>
    </row>
    <row r="949" spans="1:14" ht="15" customHeight="1" x14ac:dyDescent="0.2">
      <c r="A949" s="4" t="s">
        <v>3451</v>
      </c>
      <c r="B949" s="6">
        <v>45176</v>
      </c>
      <c r="C949" s="4" t="s">
        <v>3452</v>
      </c>
      <c r="D949" s="4" t="s">
        <v>25</v>
      </c>
      <c r="E949" s="4">
        <v>4</v>
      </c>
      <c r="F949" s="4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4">
        <v>9</v>
      </c>
      <c r="L949" s="4" t="s">
        <v>37</v>
      </c>
      <c r="M949" s="4" t="s">
        <v>38</v>
      </c>
      <c r="N949" s="4">
        <v>1862.64</v>
      </c>
    </row>
    <row r="950" spans="1:14" ht="15" customHeight="1" x14ac:dyDescent="0.2">
      <c r="A950" s="4" t="s">
        <v>3454</v>
      </c>
      <c r="B950" s="6">
        <v>45464</v>
      </c>
      <c r="C950" s="4" t="s">
        <v>1722</v>
      </c>
      <c r="D950" s="4" t="s">
        <v>25</v>
      </c>
      <c r="E950" s="4">
        <v>2</v>
      </c>
      <c r="F950" s="4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4">
        <v>2</v>
      </c>
      <c r="M950" s="4" t="s">
        <v>76</v>
      </c>
      <c r="N950" s="4">
        <v>1188.1400000000001</v>
      </c>
    </row>
    <row r="951" spans="1:14" ht="15" customHeight="1" x14ac:dyDescent="0.2">
      <c r="A951" s="4" t="s">
        <v>3456</v>
      </c>
      <c r="B951" s="6">
        <v>45239</v>
      </c>
      <c r="C951" s="4" t="s">
        <v>3457</v>
      </c>
      <c r="D951" s="4" t="s">
        <v>73</v>
      </c>
      <c r="E951" s="4">
        <v>5</v>
      </c>
      <c r="F951" s="4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4">
        <v>10</v>
      </c>
      <c r="M951" s="4" t="s">
        <v>29</v>
      </c>
      <c r="N951" s="4">
        <v>551.9</v>
      </c>
    </row>
    <row r="952" spans="1:14" ht="15" customHeight="1" x14ac:dyDescent="0.2">
      <c r="A952" s="4" t="s">
        <v>3459</v>
      </c>
      <c r="B952" s="6">
        <v>45443</v>
      </c>
      <c r="C952" s="4" t="s">
        <v>3460</v>
      </c>
      <c r="D952" s="4" t="s">
        <v>58</v>
      </c>
      <c r="E952" s="4">
        <v>1</v>
      </c>
      <c r="F952" s="4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4">
        <v>4</v>
      </c>
      <c r="L952" s="4" t="s">
        <v>37</v>
      </c>
      <c r="M952" s="4" t="s">
        <v>22</v>
      </c>
      <c r="N952" s="4">
        <v>596.24</v>
      </c>
    </row>
    <row r="953" spans="1:14" ht="15" customHeight="1" x14ac:dyDescent="0.2">
      <c r="A953" s="4" t="s">
        <v>3462</v>
      </c>
      <c r="B953" s="6">
        <v>45495</v>
      </c>
      <c r="C953" s="4" t="s">
        <v>3463</v>
      </c>
      <c r="D953" s="4" t="s">
        <v>48</v>
      </c>
      <c r="E953" s="4">
        <v>2</v>
      </c>
      <c r="F953" s="4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4">
        <v>4</v>
      </c>
      <c r="L953" s="4" t="s">
        <v>37</v>
      </c>
      <c r="M953" s="4" t="s">
        <v>38</v>
      </c>
      <c r="N953" s="4">
        <v>612.48</v>
      </c>
    </row>
    <row r="954" spans="1:14" ht="15" customHeight="1" x14ac:dyDescent="0.2">
      <c r="A954" s="4" t="s">
        <v>3465</v>
      </c>
      <c r="B954" s="6">
        <v>45715</v>
      </c>
      <c r="C954" s="4" t="s">
        <v>3466</v>
      </c>
      <c r="D954" s="4" t="s">
        <v>16</v>
      </c>
      <c r="E954" s="4">
        <v>3</v>
      </c>
      <c r="F954" s="4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4">
        <v>5</v>
      </c>
      <c r="M954" s="4" t="s">
        <v>45</v>
      </c>
      <c r="N954" s="4">
        <v>1510.17</v>
      </c>
    </row>
    <row r="955" spans="1:14" ht="15" customHeight="1" x14ac:dyDescent="0.2">
      <c r="A955" s="4" t="s">
        <v>3469</v>
      </c>
      <c r="B955" s="6">
        <v>44963</v>
      </c>
      <c r="C955" s="4" t="s">
        <v>3470</v>
      </c>
      <c r="D955" s="4" t="s">
        <v>25</v>
      </c>
      <c r="E955" s="4">
        <v>1</v>
      </c>
      <c r="F955" s="4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4">
        <v>2</v>
      </c>
      <c r="L955" s="4" t="s">
        <v>37</v>
      </c>
      <c r="M955" s="4" t="s">
        <v>45</v>
      </c>
      <c r="N955" s="4">
        <v>131.61000000000001</v>
      </c>
    </row>
    <row r="956" spans="1:14" ht="15" customHeight="1" x14ac:dyDescent="0.2">
      <c r="A956" s="4" t="s">
        <v>3472</v>
      </c>
      <c r="B956" s="6">
        <v>45587</v>
      </c>
      <c r="C956" s="4" t="s">
        <v>3473</v>
      </c>
      <c r="D956" s="4" t="s">
        <v>41</v>
      </c>
      <c r="E956" s="4">
        <v>3</v>
      </c>
      <c r="F956" s="4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4">
        <v>3</v>
      </c>
      <c r="L956" s="4" t="s">
        <v>37</v>
      </c>
      <c r="M956" s="4" t="s">
        <v>76</v>
      </c>
      <c r="N956" s="4">
        <v>1330.32</v>
      </c>
    </row>
    <row r="957" spans="1:14" ht="15" customHeight="1" x14ac:dyDescent="0.2">
      <c r="A957" s="4" t="s">
        <v>3475</v>
      </c>
      <c r="B957" s="6">
        <v>44949</v>
      </c>
      <c r="C957" s="4" t="s">
        <v>3476</v>
      </c>
      <c r="D957" s="4" t="s">
        <v>41</v>
      </c>
      <c r="E957" s="4">
        <v>1</v>
      </c>
      <c r="F957" s="4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4">
        <v>3</v>
      </c>
      <c r="L957" s="4" t="s">
        <v>81</v>
      </c>
      <c r="M957" s="4" t="s">
        <v>22</v>
      </c>
      <c r="N957" s="4">
        <v>408.13</v>
      </c>
    </row>
    <row r="958" spans="1:14" ht="15" customHeight="1" x14ac:dyDescent="0.2">
      <c r="A958" s="4" t="s">
        <v>3478</v>
      </c>
      <c r="B958" s="6">
        <v>45393</v>
      </c>
      <c r="C958" s="4" t="s">
        <v>2899</v>
      </c>
      <c r="D958" s="4" t="s">
        <v>25</v>
      </c>
      <c r="E958" s="4">
        <v>2</v>
      </c>
      <c r="F958" s="4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4">
        <v>3</v>
      </c>
      <c r="L958" s="4" t="s">
        <v>21</v>
      </c>
      <c r="M958" s="4" t="s">
        <v>29</v>
      </c>
      <c r="N958" s="4">
        <v>321.95999999999998</v>
      </c>
    </row>
    <row r="959" spans="1:14" ht="15" customHeight="1" x14ac:dyDescent="0.2">
      <c r="A959" s="4" t="s">
        <v>3481</v>
      </c>
      <c r="B959" s="6">
        <v>44938</v>
      </c>
      <c r="C959" s="4" t="s">
        <v>3482</v>
      </c>
      <c r="D959" s="4" t="s">
        <v>16</v>
      </c>
      <c r="E959" s="4">
        <v>5</v>
      </c>
      <c r="F959" s="4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4">
        <v>8</v>
      </c>
      <c r="L959" s="4" t="s">
        <v>81</v>
      </c>
      <c r="M959" s="4" t="s">
        <v>45</v>
      </c>
      <c r="N959" s="4">
        <v>3219.45</v>
      </c>
    </row>
    <row r="960" spans="1:14" ht="15" customHeight="1" x14ac:dyDescent="0.2">
      <c r="A960" s="4" t="s">
        <v>3485</v>
      </c>
      <c r="B960" s="6">
        <v>45059</v>
      </c>
      <c r="C960" s="4" t="s">
        <v>3486</v>
      </c>
      <c r="D960" s="4" t="s">
        <v>73</v>
      </c>
      <c r="E960" s="4">
        <v>3</v>
      </c>
      <c r="F960" s="4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4">
        <v>7</v>
      </c>
      <c r="L960" s="4" t="s">
        <v>81</v>
      </c>
      <c r="M960" s="4" t="s">
        <v>38</v>
      </c>
      <c r="N960" s="4">
        <v>475.98</v>
      </c>
    </row>
    <row r="961" spans="1:14" ht="15" customHeight="1" x14ac:dyDescent="0.2">
      <c r="A961" s="4" t="s">
        <v>3488</v>
      </c>
      <c r="B961" s="6">
        <v>45395</v>
      </c>
      <c r="C961" s="4" t="s">
        <v>3489</v>
      </c>
      <c r="D961" s="4" t="s">
        <v>32</v>
      </c>
      <c r="E961" s="4">
        <v>2</v>
      </c>
      <c r="F961" s="4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4">
        <v>6</v>
      </c>
      <c r="L961" s="4" t="s">
        <v>21</v>
      </c>
      <c r="M961" s="4" t="s">
        <v>22</v>
      </c>
      <c r="N961" s="4">
        <v>287.64</v>
      </c>
    </row>
    <row r="962" spans="1:14" ht="15" customHeight="1" x14ac:dyDescent="0.2">
      <c r="A962" s="4" t="s">
        <v>3491</v>
      </c>
      <c r="B962" s="6">
        <v>45271</v>
      </c>
      <c r="C962" s="4" t="s">
        <v>3492</v>
      </c>
      <c r="D962" s="4" t="s">
        <v>58</v>
      </c>
      <c r="E962" s="4">
        <v>3</v>
      </c>
      <c r="F962" s="4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4">
        <v>3</v>
      </c>
      <c r="L962" s="4" t="s">
        <v>81</v>
      </c>
      <c r="M962" s="4" t="s">
        <v>76</v>
      </c>
      <c r="N962" s="4">
        <v>1137.21</v>
      </c>
    </row>
    <row r="963" spans="1:14" ht="15" customHeight="1" x14ac:dyDescent="0.2">
      <c r="A963" s="4" t="s">
        <v>3494</v>
      </c>
      <c r="B963" s="6">
        <v>45607</v>
      </c>
      <c r="C963" s="4" t="s">
        <v>3495</v>
      </c>
      <c r="D963" s="4" t="s">
        <v>25</v>
      </c>
      <c r="E963" s="4">
        <v>1</v>
      </c>
      <c r="F963" s="4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4">
        <v>1</v>
      </c>
      <c r="M963" s="4" t="s">
        <v>45</v>
      </c>
      <c r="N963" s="4">
        <v>601.36</v>
      </c>
    </row>
    <row r="964" spans="1:14" ht="15" customHeight="1" x14ac:dyDescent="0.2">
      <c r="A964" s="4" t="s">
        <v>3497</v>
      </c>
      <c r="B964" s="6">
        <v>45541</v>
      </c>
      <c r="C964" s="4" t="s">
        <v>3498</v>
      </c>
      <c r="D964" s="4" t="s">
        <v>25</v>
      </c>
      <c r="E964" s="4">
        <v>2</v>
      </c>
      <c r="F964" s="4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4">
        <v>4</v>
      </c>
      <c r="L964" s="4" t="s">
        <v>21</v>
      </c>
      <c r="M964" s="4" t="s">
        <v>29</v>
      </c>
      <c r="N964" s="4">
        <v>284.16000000000003</v>
      </c>
    </row>
    <row r="965" spans="1:14" ht="15" customHeight="1" x14ac:dyDescent="0.2">
      <c r="A965" s="4" t="s">
        <v>3500</v>
      </c>
      <c r="B965" s="6">
        <v>45362</v>
      </c>
      <c r="C965" s="4" t="s">
        <v>3501</v>
      </c>
      <c r="D965" s="4" t="s">
        <v>41</v>
      </c>
      <c r="E965" s="4">
        <v>5</v>
      </c>
      <c r="F965" s="4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4">
        <v>9</v>
      </c>
      <c r="L965" s="4" t="s">
        <v>37</v>
      </c>
      <c r="M965" s="4" t="s">
        <v>76</v>
      </c>
      <c r="N965" s="4">
        <v>2651.7</v>
      </c>
    </row>
    <row r="966" spans="1:14" ht="15" customHeight="1" x14ac:dyDescent="0.2">
      <c r="A966" s="4" t="s">
        <v>3503</v>
      </c>
      <c r="B966" s="6">
        <v>45158</v>
      </c>
      <c r="C966" s="4" t="s">
        <v>3504</v>
      </c>
      <c r="D966" s="4" t="s">
        <v>25</v>
      </c>
      <c r="E966" s="4">
        <v>5</v>
      </c>
      <c r="F966" s="4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4">
        <v>10</v>
      </c>
      <c r="L966" s="4" t="s">
        <v>21</v>
      </c>
      <c r="M966" s="4" t="s">
        <v>29</v>
      </c>
      <c r="N966" s="4">
        <v>1822.1</v>
      </c>
    </row>
    <row r="967" spans="1:14" ht="15" customHeight="1" x14ac:dyDescent="0.2">
      <c r="A967" s="4" t="s">
        <v>3506</v>
      </c>
      <c r="B967" s="6">
        <v>45826</v>
      </c>
      <c r="C967" s="4" t="s">
        <v>3507</v>
      </c>
      <c r="D967" s="4" t="s">
        <v>58</v>
      </c>
      <c r="E967" s="4">
        <v>4</v>
      </c>
      <c r="F967" s="4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4">
        <v>5</v>
      </c>
      <c r="L967" s="4" t="s">
        <v>37</v>
      </c>
      <c r="M967" s="4" t="s">
        <v>38</v>
      </c>
      <c r="N967" s="4">
        <v>2313.12</v>
      </c>
    </row>
    <row r="968" spans="1:14" ht="15" customHeight="1" x14ac:dyDescent="0.2">
      <c r="A968" s="4" t="s">
        <v>3509</v>
      </c>
      <c r="B968" s="6">
        <v>45797</v>
      </c>
      <c r="C968" s="4" t="s">
        <v>3510</v>
      </c>
      <c r="D968" s="4" t="s">
        <v>16</v>
      </c>
      <c r="E968" s="4">
        <v>5</v>
      </c>
      <c r="F968" s="4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4">
        <v>7</v>
      </c>
      <c r="L968" s="4" t="s">
        <v>81</v>
      </c>
      <c r="M968" s="4" t="s">
        <v>45</v>
      </c>
      <c r="N968" s="4">
        <v>1402.6</v>
      </c>
    </row>
    <row r="969" spans="1:14" ht="15" customHeight="1" x14ac:dyDescent="0.2">
      <c r="A969" s="4" t="s">
        <v>3513</v>
      </c>
      <c r="B969" s="6">
        <v>45783</v>
      </c>
      <c r="C969" s="4" t="s">
        <v>3514</v>
      </c>
      <c r="D969" s="4" t="s">
        <v>32</v>
      </c>
      <c r="E969" s="4">
        <v>5</v>
      </c>
      <c r="F969" s="4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4">
        <v>5</v>
      </c>
      <c r="L969" s="4" t="s">
        <v>37</v>
      </c>
      <c r="M969" s="4" t="s">
        <v>76</v>
      </c>
      <c r="N969" s="4">
        <v>3194.6</v>
      </c>
    </row>
    <row r="970" spans="1:14" ht="15" customHeight="1" x14ac:dyDescent="0.2">
      <c r="A970" s="4" t="s">
        <v>3517</v>
      </c>
      <c r="B970" s="6">
        <v>45330</v>
      </c>
      <c r="C970" s="4" t="s">
        <v>3518</v>
      </c>
      <c r="D970" s="4" t="s">
        <v>16</v>
      </c>
      <c r="E970" s="4">
        <v>4</v>
      </c>
      <c r="F970" s="4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4">
        <v>6</v>
      </c>
      <c r="L970" s="4" t="s">
        <v>81</v>
      </c>
      <c r="M970" s="4" t="s">
        <v>29</v>
      </c>
      <c r="N970" s="4">
        <v>1648.8</v>
      </c>
    </row>
    <row r="971" spans="1:14" ht="15" customHeight="1" x14ac:dyDescent="0.2">
      <c r="A971" s="4" t="s">
        <v>3520</v>
      </c>
      <c r="B971" s="6">
        <v>45813</v>
      </c>
      <c r="C971" s="4" t="s">
        <v>3521</v>
      </c>
      <c r="D971" s="4" t="s">
        <v>73</v>
      </c>
      <c r="E971" s="4">
        <v>1</v>
      </c>
      <c r="F971" s="4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4">
        <v>2</v>
      </c>
      <c r="L971" s="4" t="s">
        <v>81</v>
      </c>
      <c r="M971" s="4" t="s">
        <v>45</v>
      </c>
      <c r="N971" s="4">
        <v>440.34</v>
      </c>
    </row>
    <row r="972" spans="1:14" ht="15" customHeight="1" x14ac:dyDescent="0.2">
      <c r="A972" s="4" t="s">
        <v>3524</v>
      </c>
      <c r="B972" s="6">
        <v>45542</v>
      </c>
      <c r="C972" s="4" t="s">
        <v>3525</v>
      </c>
      <c r="D972" s="4" t="s">
        <v>73</v>
      </c>
      <c r="E972" s="4">
        <v>1</v>
      </c>
      <c r="F972" s="4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4">
        <v>5</v>
      </c>
      <c r="L972" s="4" t="s">
        <v>21</v>
      </c>
      <c r="M972" s="4" t="s">
        <v>22</v>
      </c>
      <c r="N972" s="4">
        <v>627.15</v>
      </c>
    </row>
    <row r="973" spans="1:14" ht="15" customHeight="1" x14ac:dyDescent="0.2">
      <c r="A973" s="4" t="s">
        <v>3528</v>
      </c>
      <c r="B973" s="6">
        <v>45439</v>
      </c>
      <c r="C973" s="4" t="s">
        <v>3529</v>
      </c>
      <c r="D973" s="4" t="s">
        <v>16</v>
      </c>
      <c r="E973" s="4">
        <v>2</v>
      </c>
      <c r="F973" s="4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4">
        <v>4</v>
      </c>
      <c r="L973" s="4" t="s">
        <v>81</v>
      </c>
      <c r="M973" s="4" t="s">
        <v>29</v>
      </c>
      <c r="N973" s="4">
        <v>1210.52</v>
      </c>
    </row>
    <row r="974" spans="1:14" ht="15" customHeight="1" x14ac:dyDescent="0.2">
      <c r="A974" s="4" t="s">
        <v>3531</v>
      </c>
      <c r="B974" s="6">
        <v>45452</v>
      </c>
      <c r="C974" s="4" t="s">
        <v>3532</v>
      </c>
      <c r="D974" s="4" t="s">
        <v>58</v>
      </c>
      <c r="E974" s="4">
        <v>1</v>
      </c>
      <c r="F974" s="4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4">
        <v>5</v>
      </c>
      <c r="L974" s="4" t="s">
        <v>21</v>
      </c>
      <c r="M974" s="4" t="s">
        <v>45</v>
      </c>
      <c r="N974" s="4">
        <v>90.27</v>
      </c>
    </row>
    <row r="975" spans="1:14" ht="15" customHeight="1" x14ac:dyDescent="0.2">
      <c r="A975" s="4" t="s">
        <v>3535</v>
      </c>
      <c r="B975" s="6">
        <v>45817</v>
      </c>
      <c r="C975" s="4" t="s">
        <v>3536</v>
      </c>
      <c r="D975" s="4" t="s">
        <v>73</v>
      </c>
      <c r="E975" s="4">
        <v>5</v>
      </c>
      <c r="F975" s="4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4">
        <v>10</v>
      </c>
      <c r="L975" s="4" t="s">
        <v>81</v>
      </c>
      <c r="M975" s="4" t="s">
        <v>29</v>
      </c>
      <c r="N975" s="4">
        <v>1153.8499999999999</v>
      </c>
    </row>
    <row r="976" spans="1:14" ht="15" customHeight="1" x14ac:dyDescent="0.2">
      <c r="A976" s="4" t="s">
        <v>3538</v>
      </c>
      <c r="B976" s="6">
        <v>45196</v>
      </c>
      <c r="C976" s="4" t="s">
        <v>3539</v>
      </c>
      <c r="D976" s="4" t="s">
        <v>73</v>
      </c>
      <c r="E976" s="4">
        <v>5</v>
      </c>
      <c r="F976" s="4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4">
        <v>5</v>
      </c>
      <c r="M976" s="4" t="s">
        <v>38</v>
      </c>
      <c r="N976" s="4">
        <v>1333.9</v>
      </c>
    </row>
    <row r="977" spans="1:14" ht="15" customHeight="1" x14ac:dyDescent="0.2">
      <c r="A977" s="4" t="s">
        <v>3541</v>
      </c>
      <c r="B977" s="6">
        <v>45064</v>
      </c>
      <c r="C977" s="4" t="s">
        <v>3542</v>
      </c>
      <c r="D977" s="4" t="s">
        <v>73</v>
      </c>
      <c r="E977" s="4">
        <v>1</v>
      </c>
      <c r="F977" s="4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4">
        <v>6</v>
      </c>
      <c r="L977" s="4" t="s">
        <v>21</v>
      </c>
      <c r="M977" s="4" t="s">
        <v>38</v>
      </c>
      <c r="N977" s="4">
        <v>105.92</v>
      </c>
    </row>
    <row r="978" spans="1:14" ht="15" customHeight="1" x14ac:dyDescent="0.2">
      <c r="A978" s="4" t="s">
        <v>3544</v>
      </c>
      <c r="B978" s="6">
        <v>45386</v>
      </c>
      <c r="C978" s="4" t="s">
        <v>3545</v>
      </c>
      <c r="D978" s="4" t="s">
        <v>32</v>
      </c>
      <c r="E978" s="4">
        <v>3</v>
      </c>
      <c r="F978" s="4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4">
        <v>6</v>
      </c>
      <c r="L978" s="4" t="s">
        <v>81</v>
      </c>
      <c r="M978" s="4" t="s">
        <v>29</v>
      </c>
      <c r="N978" s="4">
        <v>1767.9</v>
      </c>
    </row>
    <row r="979" spans="1:14" ht="15" customHeight="1" x14ac:dyDescent="0.2">
      <c r="A979" s="4" t="s">
        <v>3547</v>
      </c>
      <c r="B979" s="6">
        <v>44954</v>
      </c>
      <c r="C979" s="4" t="s">
        <v>3548</v>
      </c>
      <c r="D979" s="4" t="s">
        <v>41</v>
      </c>
      <c r="E979" s="4">
        <v>4</v>
      </c>
      <c r="F979" s="4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4">
        <v>8</v>
      </c>
      <c r="L979" s="4" t="s">
        <v>21</v>
      </c>
      <c r="M979" s="4" t="s">
        <v>76</v>
      </c>
      <c r="N979" s="4">
        <v>2597.88</v>
      </c>
    </row>
    <row r="980" spans="1:14" ht="15" customHeight="1" x14ac:dyDescent="0.2">
      <c r="A980" s="4" t="s">
        <v>3551</v>
      </c>
      <c r="B980" s="6">
        <v>45468</v>
      </c>
      <c r="C980" s="4" t="s">
        <v>3552</v>
      </c>
      <c r="D980" s="4" t="s">
        <v>48</v>
      </c>
      <c r="E980" s="4">
        <v>4</v>
      </c>
      <c r="F980" s="4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4">
        <v>5</v>
      </c>
      <c r="M980" s="4" t="s">
        <v>76</v>
      </c>
      <c r="N980" s="4">
        <v>429.96</v>
      </c>
    </row>
    <row r="981" spans="1:14" ht="15" customHeight="1" x14ac:dyDescent="0.2">
      <c r="A981" s="4" t="s">
        <v>3554</v>
      </c>
      <c r="B981" s="6">
        <v>45077</v>
      </c>
      <c r="C981" s="4" t="s">
        <v>3555</v>
      </c>
      <c r="D981" s="4" t="s">
        <v>16</v>
      </c>
      <c r="E981" s="4">
        <v>3</v>
      </c>
      <c r="F981" s="4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4">
        <v>7</v>
      </c>
      <c r="L981" s="4" t="s">
        <v>21</v>
      </c>
      <c r="M981" s="4" t="s">
        <v>45</v>
      </c>
      <c r="N981" s="4">
        <v>2007.18</v>
      </c>
    </row>
    <row r="982" spans="1:14" ht="15" customHeight="1" x14ac:dyDescent="0.2">
      <c r="A982" s="4" t="s">
        <v>3557</v>
      </c>
      <c r="B982" s="6">
        <v>45213</v>
      </c>
      <c r="C982" s="4" t="s">
        <v>3558</v>
      </c>
      <c r="D982" s="4" t="s">
        <v>41</v>
      </c>
      <c r="E982" s="4">
        <v>3</v>
      </c>
      <c r="F982" s="4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4">
        <v>7</v>
      </c>
      <c r="L982" s="4" t="s">
        <v>81</v>
      </c>
      <c r="M982" s="4" t="s">
        <v>22</v>
      </c>
      <c r="N982" s="4">
        <v>208.95</v>
      </c>
    </row>
    <row r="983" spans="1:14" ht="15" customHeight="1" x14ac:dyDescent="0.2">
      <c r="A983" s="4" t="s">
        <v>3561</v>
      </c>
      <c r="B983" s="6">
        <v>45256</v>
      </c>
      <c r="C983" s="4" t="s">
        <v>3562</v>
      </c>
      <c r="D983" s="4" t="s">
        <v>25</v>
      </c>
      <c r="E983" s="4">
        <v>4</v>
      </c>
      <c r="F983" s="4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4">
        <v>8</v>
      </c>
      <c r="L983" s="4" t="s">
        <v>21</v>
      </c>
      <c r="M983" s="4" t="s">
        <v>38</v>
      </c>
      <c r="N983" s="4">
        <v>547.32000000000005</v>
      </c>
    </row>
    <row r="984" spans="1:14" ht="15" customHeight="1" x14ac:dyDescent="0.2">
      <c r="A984" s="4" t="s">
        <v>3565</v>
      </c>
      <c r="B984" s="6">
        <v>45541</v>
      </c>
      <c r="C984" s="4" t="s">
        <v>3566</v>
      </c>
      <c r="D984" s="4" t="s">
        <v>16</v>
      </c>
      <c r="E984" s="4">
        <v>1</v>
      </c>
      <c r="F984" s="4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4">
        <v>2</v>
      </c>
      <c r="L984" s="4" t="s">
        <v>21</v>
      </c>
      <c r="M984" s="4" t="s">
        <v>29</v>
      </c>
      <c r="N984" s="4">
        <v>304.11</v>
      </c>
    </row>
    <row r="985" spans="1:14" ht="15" customHeight="1" x14ac:dyDescent="0.2">
      <c r="A985" s="4" t="s">
        <v>3568</v>
      </c>
      <c r="B985" s="6">
        <v>45620</v>
      </c>
      <c r="C985" s="4" t="s">
        <v>3569</v>
      </c>
      <c r="D985" s="4" t="s">
        <v>16</v>
      </c>
      <c r="E985" s="4">
        <v>4</v>
      </c>
      <c r="F985" s="4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4">
        <v>5</v>
      </c>
      <c r="L985" s="4" t="s">
        <v>21</v>
      </c>
      <c r="M985" s="4" t="s">
        <v>38</v>
      </c>
      <c r="N985" s="4">
        <v>1185.1199999999999</v>
      </c>
    </row>
    <row r="986" spans="1:14" ht="15" customHeight="1" x14ac:dyDescent="0.2">
      <c r="A986" s="4" t="s">
        <v>3572</v>
      </c>
      <c r="B986" s="6">
        <v>45716</v>
      </c>
      <c r="C986" s="4" t="s">
        <v>3573</v>
      </c>
      <c r="D986" s="4" t="s">
        <v>73</v>
      </c>
      <c r="E986" s="4">
        <v>1</v>
      </c>
      <c r="F986" s="4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4">
        <v>1</v>
      </c>
      <c r="L986" s="4" t="s">
        <v>37</v>
      </c>
      <c r="M986" s="4" t="s">
        <v>45</v>
      </c>
      <c r="N986" s="4">
        <v>77.64</v>
      </c>
    </row>
    <row r="987" spans="1:14" ht="15" customHeight="1" x14ac:dyDescent="0.2">
      <c r="A987" s="4" t="s">
        <v>3575</v>
      </c>
      <c r="B987" s="6">
        <v>45493</v>
      </c>
      <c r="C987" s="4" t="s">
        <v>3576</v>
      </c>
      <c r="D987" s="4" t="s">
        <v>73</v>
      </c>
      <c r="E987" s="4">
        <v>1</v>
      </c>
      <c r="F987" s="4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4">
        <v>6</v>
      </c>
      <c r="L987" s="4" t="s">
        <v>21</v>
      </c>
      <c r="M987" s="4" t="s">
        <v>76</v>
      </c>
      <c r="N987" s="4">
        <v>243.71</v>
      </c>
    </row>
    <row r="988" spans="1:14" ht="15" customHeight="1" x14ac:dyDescent="0.2">
      <c r="A988" s="4" t="s">
        <v>3578</v>
      </c>
      <c r="B988" s="6">
        <v>45542</v>
      </c>
      <c r="C988" s="4" t="s">
        <v>3579</v>
      </c>
      <c r="D988" s="4" t="s">
        <v>58</v>
      </c>
      <c r="E988" s="4">
        <v>4</v>
      </c>
      <c r="F988" s="4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4">
        <v>7</v>
      </c>
      <c r="L988" s="4" t="s">
        <v>37</v>
      </c>
      <c r="M988" s="4" t="s">
        <v>38</v>
      </c>
      <c r="N988" s="4">
        <v>2579.84</v>
      </c>
    </row>
    <row r="989" spans="1:14" ht="15" customHeight="1" x14ac:dyDescent="0.2">
      <c r="A989" s="4" t="s">
        <v>3581</v>
      </c>
      <c r="B989" s="6">
        <v>45813</v>
      </c>
      <c r="C989" s="4" t="s">
        <v>3582</v>
      </c>
      <c r="D989" s="4" t="s">
        <v>25</v>
      </c>
      <c r="E989" s="4">
        <v>5</v>
      </c>
      <c r="F989" s="4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4">
        <v>8</v>
      </c>
      <c r="L989" s="4" t="s">
        <v>37</v>
      </c>
      <c r="M989" s="4" t="s">
        <v>22</v>
      </c>
      <c r="N989" s="4">
        <v>1418.65</v>
      </c>
    </row>
    <row r="990" spans="1:14" ht="15" customHeight="1" x14ac:dyDescent="0.2">
      <c r="A990" s="4" t="s">
        <v>3584</v>
      </c>
      <c r="B990" s="6">
        <v>45692</v>
      </c>
      <c r="C990" s="4" t="s">
        <v>3585</v>
      </c>
      <c r="D990" s="4" t="s">
        <v>73</v>
      </c>
      <c r="E990" s="4">
        <v>2</v>
      </c>
      <c r="F990" s="4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4">
        <v>5</v>
      </c>
      <c r="L990" s="4" t="s">
        <v>81</v>
      </c>
      <c r="M990" s="4" t="s">
        <v>22</v>
      </c>
      <c r="N990" s="4">
        <v>1259.1199999999999</v>
      </c>
    </row>
    <row r="991" spans="1:14" ht="15" customHeight="1" x14ac:dyDescent="0.2">
      <c r="A991" s="4" t="s">
        <v>3587</v>
      </c>
      <c r="B991" s="6">
        <v>45008</v>
      </c>
      <c r="C991" s="4" t="s">
        <v>3588</v>
      </c>
      <c r="D991" s="4" t="s">
        <v>58</v>
      </c>
      <c r="E991" s="4">
        <v>4</v>
      </c>
      <c r="F991" s="4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4">
        <v>4</v>
      </c>
      <c r="L991" s="4" t="s">
        <v>21</v>
      </c>
      <c r="M991" s="4" t="s">
        <v>22</v>
      </c>
      <c r="N991" s="4">
        <v>984.44</v>
      </c>
    </row>
    <row r="992" spans="1:14" ht="15" customHeight="1" x14ac:dyDescent="0.2">
      <c r="A992" s="4" t="s">
        <v>3591</v>
      </c>
      <c r="B992" s="6">
        <v>45249</v>
      </c>
      <c r="C992" s="4" t="s">
        <v>3592</v>
      </c>
      <c r="D992" s="4" t="s">
        <v>25</v>
      </c>
      <c r="E992" s="4">
        <v>2</v>
      </c>
      <c r="F992" s="4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4">
        <v>2</v>
      </c>
      <c r="L992" s="4" t="s">
        <v>21</v>
      </c>
      <c r="M992" s="4" t="s">
        <v>76</v>
      </c>
      <c r="N992" s="4">
        <v>836.52</v>
      </c>
    </row>
    <row r="993" spans="1:14" ht="15" customHeight="1" x14ac:dyDescent="0.2">
      <c r="A993" s="4" t="s">
        <v>3595</v>
      </c>
      <c r="B993" s="6">
        <v>45421</v>
      </c>
      <c r="C993" s="4" t="s">
        <v>3596</v>
      </c>
      <c r="D993" s="4" t="s">
        <v>73</v>
      </c>
      <c r="E993" s="4">
        <v>5</v>
      </c>
      <c r="F993" s="4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4">
        <v>10</v>
      </c>
      <c r="L993" s="4" t="s">
        <v>37</v>
      </c>
      <c r="M993" s="4" t="s">
        <v>76</v>
      </c>
      <c r="N993" s="4">
        <v>635.9</v>
      </c>
    </row>
    <row r="994" spans="1:14" ht="15" customHeight="1" x14ac:dyDescent="0.2">
      <c r="A994" s="4" t="s">
        <v>3598</v>
      </c>
      <c r="B994" s="6">
        <v>45531</v>
      </c>
      <c r="C994" s="4" t="s">
        <v>3599</v>
      </c>
      <c r="D994" s="4" t="s">
        <v>48</v>
      </c>
      <c r="E994" s="4">
        <v>3</v>
      </c>
      <c r="F994" s="4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4">
        <v>4</v>
      </c>
      <c r="L994" s="4" t="s">
        <v>81</v>
      </c>
      <c r="M994" s="4" t="s">
        <v>29</v>
      </c>
      <c r="N994" s="4">
        <v>1758.63</v>
      </c>
    </row>
    <row r="995" spans="1:14" ht="15" customHeight="1" x14ac:dyDescent="0.2">
      <c r="A995" s="4" t="s">
        <v>3601</v>
      </c>
      <c r="B995" s="6">
        <v>45388</v>
      </c>
      <c r="C995" s="4" t="s">
        <v>3602</v>
      </c>
      <c r="D995" s="4" t="s">
        <v>16</v>
      </c>
      <c r="E995" s="4">
        <v>3</v>
      </c>
      <c r="F995" s="4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4">
        <v>5</v>
      </c>
      <c r="L995" s="4" t="s">
        <v>81</v>
      </c>
      <c r="M995" s="4" t="s">
        <v>22</v>
      </c>
      <c r="N995" s="4">
        <v>802.35</v>
      </c>
    </row>
    <row r="996" spans="1:14" ht="15" customHeight="1" x14ac:dyDescent="0.2">
      <c r="A996" s="4" t="s">
        <v>3605</v>
      </c>
      <c r="B996" s="6">
        <v>45470</v>
      </c>
      <c r="C996" s="4" t="s">
        <v>3606</v>
      </c>
      <c r="D996" s="4" t="s">
        <v>32</v>
      </c>
      <c r="E996" s="4">
        <v>4</v>
      </c>
      <c r="F996" s="4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4">
        <v>9</v>
      </c>
      <c r="L996" s="4" t="s">
        <v>81</v>
      </c>
      <c r="M996" s="4" t="s">
        <v>76</v>
      </c>
      <c r="N996" s="4">
        <v>2462.6</v>
      </c>
    </row>
    <row r="997" spans="1:14" ht="15" customHeight="1" x14ac:dyDescent="0.2">
      <c r="A997" s="4" t="s">
        <v>3608</v>
      </c>
      <c r="B997" s="6">
        <v>45248</v>
      </c>
      <c r="C997" s="4" t="s">
        <v>3609</v>
      </c>
      <c r="D997" s="4" t="s">
        <v>16</v>
      </c>
      <c r="E997" s="4">
        <v>2</v>
      </c>
      <c r="F997" s="4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4">
        <v>5</v>
      </c>
      <c r="L997" s="4" t="s">
        <v>21</v>
      </c>
      <c r="M997" s="4" t="s">
        <v>45</v>
      </c>
      <c r="N997" s="4">
        <v>226.58</v>
      </c>
    </row>
    <row r="998" spans="1:14" ht="15" customHeight="1" x14ac:dyDescent="0.2">
      <c r="A998" s="4" t="s">
        <v>3611</v>
      </c>
      <c r="B998" s="6">
        <v>45410</v>
      </c>
      <c r="C998" s="4" t="s">
        <v>3612</v>
      </c>
      <c r="D998" s="4" t="s">
        <v>16</v>
      </c>
      <c r="E998" s="4">
        <v>4</v>
      </c>
      <c r="F998" s="4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4">
        <v>7</v>
      </c>
      <c r="L998" s="4" t="s">
        <v>21</v>
      </c>
      <c r="M998" s="4" t="s">
        <v>45</v>
      </c>
      <c r="N998" s="4">
        <v>1895.44</v>
      </c>
    </row>
    <row r="999" spans="1:14" ht="15" customHeight="1" x14ac:dyDescent="0.2">
      <c r="A999" s="4" t="s">
        <v>3614</v>
      </c>
      <c r="B999" s="6">
        <v>45257</v>
      </c>
      <c r="C999" s="4" t="s">
        <v>3615</v>
      </c>
      <c r="D999" s="4" t="s">
        <v>58</v>
      </c>
      <c r="E999" s="4">
        <v>3</v>
      </c>
      <c r="F999" s="4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4">
        <v>6</v>
      </c>
      <c r="L999" s="4" t="s">
        <v>21</v>
      </c>
      <c r="M999" s="4" t="s">
        <v>45</v>
      </c>
      <c r="N999" s="4">
        <v>1334.25</v>
      </c>
    </row>
    <row r="1000" spans="1:14" ht="15" customHeight="1" x14ac:dyDescent="0.2">
      <c r="A1000" s="4" t="s">
        <v>3617</v>
      </c>
      <c r="B1000" s="6">
        <v>45065</v>
      </c>
      <c r="C1000" s="4" t="s">
        <v>3618</v>
      </c>
      <c r="D1000" s="4" t="s">
        <v>25</v>
      </c>
      <c r="E1000" s="4">
        <v>2</v>
      </c>
      <c r="F1000" s="4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4">
        <v>6</v>
      </c>
      <c r="L1000" s="4" t="s">
        <v>21</v>
      </c>
      <c r="M1000" s="4" t="s">
        <v>76</v>
      </c>
      <c r="N1000" s="4">
        <v>367.34</v>
      </c>
    </row>
    <row r="1001" spans="1:14" ht="15" customHeight="1" x14ac:dyDescent="0.2">
      <c r="A1001" s="4" t="s">
        <v>3620</v>
      </c>
      <c r="B1001" s="6">
        <v>45284</v>
      </c>
      <c r="C1001" s="4" t="s">
        <v>3621</v>
      </c>
      <c r="D1001" s="4" t="s">
        <v>48</v>
      </c>
      <c r="E1001" s="4">
        <v>1</v>
      </c>
      <c r="F1001" s="4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4">
        <v>6</v>
      </c>
      <c r="L1001" s="4" t="s">
        <v>37</v>
      </c>
      <c r="M1001" s="4" t="s">
        <v>76</v>
      </c>
      <c r="N1001" s="4">
        <v>483.38</v>
      </c>
    </row>
    <row r="1002" spans="1:14" ht="15" customHeight="1" x14ac:dyDescent="0.2">
      <c r="A1002" s="4" t="s">
        <v>3623</v>
      </c>
      <c r="B1002" s="6">
        <v>45098</v>
      </c>
      <c r="C1002" s="4" t="s">
        <v>3624</v>
      </c>
      <c r="D1002" s="4" t="s">
        <v>48</v>
      </c>
      <c r="E1002" s="4">
        <v>5</v>
      </c>
      <c r="F1002" s="4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4">
        <v>9</v>
      </c>
      <c r="L1002" s="4" t="s">
        <v>21</v>
      </c>
      <c r="M1002" s="4" t="s">
        <v>38</v>
      </c>
      <c r="N1002" s="4">
        <v>1304.6500000000001</v>
      </c>
    </row>
    <row r="1003" spans="1:14" ht="15" customHeight="1" x14ac:dyDescent="0.2">
      <c r="A1003" s="4" t="s">
        <v>3627</v>
      </c>
      <c r="B1003" s="6">
        <v>45268</v>
      </c>
      <c r="C1003" s="4" t="s">
        <v>3628</v>
      </c>
      <c r="D1003" s="4" t="s">
        <v>48</v>
      </c>
      <c r="E1003" s="4">
        <v>2</v>
      </c>
      <c r="F1003" s="4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4">
        <v>6</v>
      </c>
      <c r="M1003" s="4" t="s">
        <v>29</v>
      </c>
      <c r="N1003" s="4">
        <v>507.36</v>
      </c>
    </row>
    <row r="1004" spans="1:14" ht="15" customHeight="1" x14ac:dyDescent="0.2">
      <c r="A1004" s="4" t="s">
        <v>3630</v>
      </c>
      <c r="B1004" s="6">
        <v>45827</v>
      </c>
      <c r="C1004" s="4" t="s">
        <v>3631</v>
      </c>
      <c r="D1004" s="4" t="s">
        <v>32</v>
      </c>
      <c r="E1004" s="4">
        <v>4</v>
      </c>
      <c r="F1004" s="4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4">
        <v>5</v>
      </c>
      <c r="L1004" s="4" t="s">
        <v>81</v>
      </c>
      <c r="M1004" s="4" t="s">
        <v>29</v>
      </c>
      <c r="N1004" s="4">
        <v>2799.52</v>
      </c>
    </row>
    <row r="1005" spans="1:14" ht="15" customHeight="1" x14ac:dyDescent="0.2">
      <c r="A1005" s="4" t="s">
        <v>3633</v>
      </c>
      <c r="B1005" s="6">
        <v>44937</v>
      </c>
      <c r="C1005" s="4" t="s">
        <v>3634</v>
      </c>
      <c r="D1005" s="4" t="s">
        <v>48</v>
      </c>
      <c r="E1005" s="4">
        <v>5</v>
      </c>
      <c r="F1005" s="4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4">
        <v>7</v>
      </c>
      <c r="L1005" s="4" t="s">
        <v>21</v>
      </c>
      <c r="M1005" s="4" t="s">
        <v>76</v>
      </c>
      <c r="N1005" s="4">
        <v>1599.85</v>
      </c>
    </row>
    <row r="1006" spans="1:14" ht="15" customHeight="1" x14ac:dyDescent="0.2">
      <c r="A1006" s="4" t="s">
        <v>3636</v>
      </c>
      <c r="B1006" s="6">
        <v>45817</v>
      </c>
      <c r="C1006" s="4" t="s">
        <v>3637</v>
      </c>
      <c r="D1006" s="4" t="s">
        <v>41</v>
      </c>
      <c r="E1006" s="4">
        <v>4</v>
      </c>
      <c r="F1006" s="4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4">
        <v>8</v>
      </c>
      <c r="L1006" s="4" t="s">
        <v>21</v>
      </c>
      <c r="M1006" s="4" t="s">
        <v>29</v>
      </c>
      <c r="N1006" s="4">
        <v>987.64</v>
      </c>
    </row>
    <row r="1007" spans="1:14" ht="15" customHeight="1" x14ac:dyDescent="0.2">
      <c r="A1007" s="4" t="s">
        <v>3639</v>
      </c>
      <c r="B1007" s="6">
        <v>44987</v>
      </c>
      <c r="C1007" s="4" t="s">
        <v>3640</v>
      </c>
      <c r="D1007" s="4" t="s">
        <v>48</v>
      </c>
      <c r="E1007" s="4">
        <v>3</v>
      </c>
      <c r="F1007" s="4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4">
        <v>6</v>
      </c>
      <c r="M1007" s="4" t="s">
        <v>76</v>
      </c>
      <c r="N1007" s="4">
        <v>1178.55</v>
      </c>
    </row>
    <row r="1008" spans="1:14" ht="15" customHeight="1" x14ac:dyDescent="0.2">
      <c r="A1008" s="4" t="s">
        <v>3642</v>
      </c>
      <c r="B1008" s="6">
        <v>45439</v>
      </c>
      <c r="C1008" s="4" t="s">
        <v>3643</v>
      </c>
      <c r="D1008" s="4" t="s">
        <v>32</v>
      </c>
      <c r="E1008" s="4">
        <v>5</v>
      </c>
      <c r="F1008" s="4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4">
        <v>7</v>
      </c>
      <c r="L1008" s="4" t="s">
        <v>21</v>
      </c>
      <c r="M1008" s="4" t="s">
        <v>45</v>
      </c>
      <c r="N1008" s="4">
        <v>2104.9</v>
      </c>
    </row>
    <row r="1009" spans="1:14" ht="15" customHeight="1" x14ac:dyDescent="0.2">
      <c r="A1009" s="4" t="s">
        <v>3645</v>
      </c>
      <c r="B1009" s="6">
        <v>45371</v>
      </c>
      <c r="C1009" s="4" t="s">
        <v>1868</v>
      </c>
      <c r="D1009" s="4" t="s">
        <v>16</v>
      </c>
      <c r="E1009" s="4">
        <v>2</v>
      </c>
      <c r="F1009" s="4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4">
        <v>4</v>
      </c>
      <c r="L1009" s="4" t="s">
        <v>81</v>
      </c>
      <c r="M1009" s="4" t="s">
        <v>45</v>
      </c>
      <c r="N1009" s="4">
        <v>146.52000000000001</v>
      </c>
    </row>
    <row r="1010" spans="1:14" ht="15" customHeight="1" x14ac:dyDescent="0.2">
      <c r="A1010" s="4" t="s">
        <v>3647</v>
      </c>
      <c r="B1010" s="6">
        <v>44939</v>
      </c>
      <c r="C1010" s="4" t="s">
        <v>3648</v>
      </c>
      <c r="D1010" s="4" t="s">
        <v>16</v>
      </c>
      <c r="E1010" s="4">
        <v>3</v>
      </c>
      <c r="F1010" s="4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4">
        <v>8</v>
      </c>
      <c r="L1010" s="4" t="s">
        <v>37</v>
      </c>
      <c r="M1010" s="4" t="s">
        <v>22</v>
      </c>
      <c r="N1010" s="4">
        <v>1232.6400000000001</v>
      </c>
    </row>
    <row r="1011" spans="1:14" ht="15" customHeight="1" x14ac:dyDescent="0.2">
      <c r="A1011" s="4" t="s">
        <v>3650</v>
      </c>
      <c r="B1011" s="6">
        <v>45171</v>
      </c>
      <c r="C1011" s="4" t="s">
        <v>3651</v>
      </c>
      <c r="D1011" s="4" t="s">
        <v>32</v>
      </c>
      <c r="E1011" s="4">
        <v>2</v>
      </c>
      <c r="F1011" s="4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4">
        <v>2</v>
      </c>
      <c r="L1011" s="4" t="s">
        <v>37</v>
      </c>
      <c r="M1011" s="4" t="s">
        <v>38</v>
      </c>
      <c r="N1011" s="4">
        <v>352.92</v>
      </c>
    </row>
    <row r="1012" spans="1:14" ht="15" customHeight="1" x14ac:dyDescent="0.2">
      <c r="A1012" s="4" t="s">
        <v>3653</v>
      </c>
      <c r="B1012" s="6">
        <v>45016</v>
      </c>
      <c r="C1012" s="4" t="s">
        <v>3654</v>
      </c>
      <c r="D1012" s="4" t="s">
        <v>16</v>
      </c>
      <c r="E1012" s="4">
        <v>3</v>
      </c>
      <c r="F1012" s="4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4">
        <v>6</v>
      </c>
      <c r="L1012" s="4" t="s">
        <v>21</v>
      </c>
      <c r="M1012" s="4" t="s">
        <v>38</v>
      </c>
      <c r="N1012" s="4">
        <v>1978.71</v>
      </c>
    </row>
    <row r="1013" spans="1:14" ht="15" customHeight="1" x14ac:dyDescent="0.2">
      <c r="A1013" s="4" t="s">
        <v>3656</v>
      </c>
      <c r="B1013" s="6">
        <v>45629</v>
      </c>
      <c r="C1013" s="4" t="s">
        <v>3657</v>
      </c>
      <c r="D1013" s="4" t="s">
        <v>25</v>
      </c>
      <c r="E1013" s="4">
        <v>2</v>
      </c>
      <c r="F1013" s="4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4">
        <v>3</v>
      </c>
      <c r="M1013" s="4" t="s">
        <v>76</v>
      </c>
      <c r="N1013" s="4">
        <v>956.72</v>
      </c>
    </row>
    <row r="1014" spans="1:14" ht="15" customHeight="1" x14ac:dyDescent="0.2">
      <c r="A1014" s="4" t="s">
        <v>3659</v>
      </c>
      <c r="B1014" s="6">
        <v>45629</v>
      </c>
      <c r="C1014" s="4" t="s">
        <v>3660</v>
      </c>
      <c r="D1014" s="4" t="s">
        <v>48</v>
      </c>
      <c r="E1014" s="4">
        <v>4</v>
      </c>
      <c r="F1014" s="4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4">
        <v>6</v>
      </c>
      <c r="M1014" s="4" t="s">
        <v>45</v>
      </c>
      <c r="N1014" s="4">
        <v>120.2</v>
      </c>
    </row>
    <row r="1015" spans="1:14" ht="15" customHeight="1" x14ac:dyDescent="0.2">
      <c r="A1015" s="4" t="s">
        <v>3662</v>
      </c>
      <c r="B1015" s="6">
        <v>45773</v>
      </c>
      <c r="C1015" s="4" t="s">
        <v>3663</v>
      </c>
      <c r="D1015" s="4" t="s">
        <v>58</v>
      </c>
      <c r="E1015" s="4">
        <v>4</v>
      </c>
      <c r="F1015" s="4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4">
        <v>9</v>
      </c>
      <c r="L1015" s="4" t="s">
        <v>37</v>
      </c>
      <c r="M1015" s="4" t="s">
        <v>45</v>
      </c>
      <c r="N1015" s="4">
        <v>1202.24</v>
      </c>
    </row>
    <row r="1016" spans="1:14" ht="15" customHeight="1" x14ac:dyDescent="0.2">
      <c r="A1016" s="4" t="s">
        <v>3665</v>
      </c>
      <c r="B1016" s="6">
        <v>45326</v>
      </c>
      <c r="C1016" s="4" t="s">
        <v>3666</v>
      </c>
      <c r="D1016" s="4" t="s">
        <v>32</v>
      </c>
      <c r="E1016" s="4">
        <v>5</v>
      </c>
      <c r="F1016" s="4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4">
        <v>6</v>
      </c>
      <c r="L1016" s="4" t="s">
        <v>37</v>
      </c>
      <c r="M1016" s="4" t="s">
        <v>38</v>
      </c>
      <c r="N1016" s="4">
        <v>1132.25</v>
      </c>
    </row>
    <row r="1017" spans="1:14" ht="15" customHeight="1" x14ac:dyDescent="0.2">
      <c r="A1017" s="4" t="s">
        <v>3668</v>
      </c>
      <c r="B1017" s="6">
        <v>45317</v>
      </c>
      <c r="C1017" s="4" t="s">
        <v>3669</v>
      </c>
      <c r="D1017" s="4" t="s">
        <v>48</v>
      </c>
      <c r="E1017" s="4">
        <v>2</v>
      </c>
      <c r="F1017" s="4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4">
        <v>2</v>
      </c>
      <c r="L1017" s="4" t="s">
        <v>21</v>
      </c>
      <c r="M1017" s="4" t="s">
        <v>22</v>
      </c>
      <c r="N1017" s="4">
        <v>698.8</v>
      </c>
    </row>
    <row r="1018" spans="1:14" ht="15" customHeight="1" x14ac:dyDescent="0.2">
      <c r="A1018" s="4" t="s">
        <v>3671</v>
      </c>
      <c r="B1018" s="6">
        <v>45289</v>
      </c>
      <c r="C1018" s="4" t="s">
        <v>3672</v>
      </c>
      <c r="D1018" s="4" t="s">
        <v>32</v>
      </c>
      <c r="E1018" s="4">
        <v>5</v>
      </c>
      <c r="F1018" s="4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4">
        <v>7</v>
      </c>
      <c r="L1018" s="4" t="s">
        <v>81</v>
      </c>
      <c r="M1018" s="4" t="s">
        <v>38</v>
      </c>
      <c r="N1018" s="4">
        <v>1343.9</v>
      </c>
    </row>
    <row r="1019" spans="1:14" ht="15" customHeight="1" x14ac:dyDescent="0.2">
      <c r="A1019" s="4" t="s">
        <v>3675</v>
      </c>
      <c r="B1019" s="6">
        <v>45529</v>
      </c>
      <c r="C1019" s="4" t="s">
        <v>3676</v>
      </c>
      <c r="D1019" s="4" t="s">
        <v>41</v>
      </c>
      <c r="E1019" s="4">
        <v>2</v>
      </c>
      <c r="F1019" s="4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4">
        <v>6</v>
      </c>
      <c r="L1019" s="4" t="s">
        <v>37</v>
      </c>
      <c r="M1019" s="4" t="s">
        <v>29</v>
      </c>
      <c r="N1019" s="4">
        <v>1361.7</v>
      </c>
    </row>
    <row r="1020" spans="1:14" ht="15" customHeight="1" x14ac:dyDescent="0.2">
      <c r="A1020" s="4" t="s">
        <v>3679</v>
      </c>
      <c r="B1020" s="6">
        <v>45115</v>
      </c>
      <c r="C1020" s="4" t="s">
        <v>3680</v>
      </c>
      <c r="D1020" s="4" t="s">
        <v>58</v>
      </c>
      <c r="E1020" s="4">
        <v>3</v>
      </c>
      <c r="F1020" s="4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4">
        <v>3</v>
      </c>
      <c r="M1020" s="4" t="s">
        <v>22</v>
      </c>
      <c r="N1020" s="4">
        <v>547.44000000000005</v>
      </c>
    </row>
    <row r="1021" spans="1:14" ht="15" customHeight="1" x14ac:dyDescent="0.2">
      <c r="A1021" s="4" t="s">
        <v>3683</v>
      </c>
      <c r="B1021" s="6">
        <v>45388</v>
      </c>
      <c r="C1021" s="4" t="s">
        <v>3684</v>
      </c>
      <c r="D1021" s="4" t="s">
        <v>73</v>
      </c>
      <c r="E1021" s="4">
        <v>1</v>
      </c>
      <c r="F1021" s="4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4">
        <v>2</v>
      </c>
      <c r="L1021" s="4" t="s">
        <v>21</v>
      </c>
      <c r="M1021" s="4" t="s">
        <v>29</v>
      </c>
      <c r="N1021" s="4">
        <v>277.08999999999997</v>
      </c>
    </row>
    <row r="1022" spans="1:14" ht="15" customHeight="1" x14ac:dyDescent="0.2">
      <c r="A1022" s="4" t="s">
        <v>3686</v>
      </c>
      <c r="B1022" s="6">
        <v>45404</v>
      </c>
      <c r="C1022" s="4" t="s">
        <v>3687</v>
      </c>
      <c r="D1022" s="4" t="s">
        <v>32</v>
      </c>
      <c r="E1022" s="4">
        <v>2</v>
      </c>
      <c r="F1022" s="4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4">
        <v>3</v>
      </c>
      <c r="L1022" s="4" t="s">
        <v>21</v>
      </c>
      <c r="M1022" s="4" t="s">
        <v>22</v>
      </c>
      <c r="N1022" s="4">
        <v>53</v>
      </c>
    </row>
    <row r="1023" spans="1:14" ht="15" customHeight="1" x14ac:dyDescent="0.2">
      <c r="A1023" s="4" t="s">
        <v>3689</v>
      </c>
      <c r="B1023" s="6">
        <v>45222</v>
      </c>
      <c r="C1023" s="4" t="s">
        <v>3690</v>
      </c>
      <c r="D1023" s="4" t="s">
        <v>25</v>
      </c>
      <c r="E1023" s="4">
        <v>3</v>
      </c>
      <c r="F1023" s="4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4">
        <v>4</v>
      </c>
      <c r="L1023" s="4" t="s">
        <v>21</v>
      </c>
      <c r="M1023" s="4" t="s">
        <v>38</v>
      </c>
      <c r="N1023" s="4">
        <v>945.81</v>
      </c>
    </row>
    <row r="1024" spans="1:14" ht="15" customHeight="1" x14ac:dyDescent="0.2">
      <c r="A1024" s="4" t="s">
        <v>3692</v>
      </c>
      <c r="B1024" s="6">
        <v>45712</v>
      </c>
      <c r="C1024" s="4" t="s">
        <v>3693</v>
      </c>
      <c r="D1024" s="4" t="s">
        <v>32</v>
      </c>
      <c r="E1024" s="4">
        <v>3</v>
      </c>
      <c r="F1024" s="4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4">
        <v>8</v>
      </c>
      <c r="L1024" s="4" t="s">
        <v>21</v>
      </c>
      <c r="M1024" s="4" t="s">
        <v>29</v>
      </c>
      <c r="N1024" s="4">
        <v>1352.94</v>
      </c>
    </row>
    <row r="1025" spans="1:14" ht="15" customHeight="1" x14ac:dyDescent="0.2">
      <c r="A1025" s="4" t="s">
        <v>3695</v>
      </c>
      <c r="B1025" s="6">
        <v>45558</v>
      </c>
      <c r="C1025" s="4" t="s">
        <v>3696</v>
      </c>
      <c r="D1025" s="4" t="s">
        <v>58</v>
      </c>
      <c r="E1025" s="4">
        <v>5</v>
      </c>
      <c r="F1025" s="4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4">
        <v>10</v>
      </c>
      <c r="M1025" s="4" t="s">
        <v>29</v>
      </c>
      <c r="N1025" s="4">
        <v>1168.3499999999999</v>
      </c>
    </row>
    <row r="1026" spans="1:14" ht="15" customHeight="1" x14ac:dyDescent="0.2">
      <c r="A1026" s="4" t="s">
        <v>3698</v>
      </c>
      <c r="B1026" s="6">
        <v>45320</v>
      </c>
      <c r="C1026" s="4" t="s">
        <v>3699</v>
      </c>
      <c r="D1026" s="4" t="s">
        <v>41</v>
      </c>
      <c r="E1026" s="4">
        <v>3</v>
      </c>
      <c r="F1026" s="4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4">
        <v>7</v>
      </c>
      <c r="L1026" s="4" t="s">
        <v>37</v>
      </c>
      <c r="M1026" s="4" t="s">
        <v>45</v>
      </c>
      <c r="N1026" s="4">
        <v>1103.25</v>
      </c>
    </row>
    <row r="1027" spans="1:14" ht="15" customHeight="1" x14ac:dyDescent="0.2">
      <c r="A1027" s="4" t="s">
        <v>3701</v>
      </c>
      <c r="B1027" s="6">
        <v>45794</v>
      </c>
      <c r="C1027" s="4" t="s">
        <v>3702</v>
      </c>
      <c r="D1027" s="4" t="s">
        <v>41</v>
      </c>
      <c r="E1027" s="4">
        <v>1</v>
      </c>
      <c r="F1027" s="4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4">
        <v>2</v>
      </c>
      <c r="L1027" s="4" t="s">
        <v>37</v>
      </c>
      <c r="M1027" s="4" t="s">
        <v>22</v>
      </c>
      <c r="N1027" s="4">
        <v>23.53</v>
      </c>
    </row>
    <row r="1028" spans="1:14" ht="15" customHeight="1" x14ac:dyDescent="0.2">
      <c r="A1028" s="4" t="s">
        <v>3704</v>
      </c>
      <c r="B1028" s="6">
        <v>45047</v>
      </c>
      <c r="C1028" s="4" t="s">
        <v>3705</v>
      </c>
      <c r="D1028" s="4" t="s">
        <v>16</v>
      </c>
      <c r="E1028" s="4">
        <v>1</v>
      </c>
      <c r="F1028" s="4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4">
        <v>1</v>
      </c>
      <c r="L1028" s="4" t="s">
        <v>81</v>
      </c>
      <c r="M1028" s="4" t="s">
        <v>45</v>
      </c>
      <c r="N1028" s="4">
        <v>677.48</v>
      </c>
    </row>
    <row r="1029" spans="1:14" ht="15" customHeight="1" x14ac:dyDescent="0.2">
      <c r="A1029" s="4" t="s">
        <v>3707</v>
      </c>
      <c r="B1029" s="6">
        <v>45433</v>
      </c>
      <c r="C1029" s="4" t="s">
        <v>3708</v>
      </c>
      <c r="D1029" s="4" t="s">
        <v>58</v>
      </c>
      <c r="E1029" s="4">
        <v>4</v>
      </c>
      <c r="F1029" s="4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4">
        <v>6</v>
      </c>
      <c r="M1029" s="4" t="s">
        <v>76</v>
      </c>
      <c r="N1029" s="4">
        <v>2219.3200000000002</v>
      </c>
    </row>
    <row r="1030" spans="1:14" ht="15" customHeight="1" x14ac:dyDescent="0.2">
      <c r="A1030" s="4" t="s">
        <v>3710</v>
      </c>
      <c r="B1030" s="6">
        <v>44974</v>
      </c>
      <c r="C1030" s="4" t="s">
        <v>3711</v>
      </c>
      <c r="D1030" s="4" t="s">
        <v>73</v>
      </c>
      <c r="E1030" s="4">
        <v>4</v>
      </c>
      <c r="F1030" s="4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4">
        <v>6</v>
      </c>
      <c r="M1030" s="4" t="s">
        <v>22</v>
      </c>
      <c r="N1030" s="4">
        <v>1761.24</v>
      </c>
    </row>
    <row r="1031" spans="1:14" ht="15" customHeight="1" x14ac:dyDescent="0.2">
      <c r="A1031" s="4" t="s">
        <v>3713</v>
      </c>
      <c r="B1031" s="6">
        <v>45717</v>
      </c>
      <c r="C1031" s="4" t="s">
        <v>3714</v>
      </c>
      <c r="D1031" s="4" t="s">
        <v>73</v>
      </c>
      <c r="E1031" s="4">
        <v>1</v>
      </c>
      <c r="F1031" s="4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4">
        <v>4</v>
      </c>
      <c r="L1031" s="4" t="s">
        <v>37</v>
      </c>
      <c r="M1031" s="4" t="s">
        <v>38</v>
      </c>
      <c r="N1031" s="4">
        <v>87.06</v>
      </c>
    </row>
    <row r="1032" spans="1:14" ht="15" customHeight="1" x14ac:dyDescent="0.2">
      <c r="A1032" s="4" t="s">
        <v>3716</v>
      </c>
      <c r="B1032" s="6">
        <v>45201</v>
      </c>
      <c r="C1032" s="4" t="s">
        <v>3717</v>
      </c>
      <c r="D1032" s="4" t="s">
        <v>25</v>
      </c>
      <c r="E1032" s="4">
        <v>4</v>
      </c>
      <c r="F1032" s="4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4">
        <v>6</v>
      </c>
      <c r="L1032" s="4" t="s">
        <v>81</v>
      </c>
      <c r="M1032" s="4" t="s">
        <v>38</v>
      </c>
      <c r="N1032" s="4">
        <v>981.12</v>
      </c>
    </row>
    <row r="1033" spans="1:14" ht="15" customHeight="1" x14ac:dyDescent="0.2">
      <c r="A1033" s="4" t="s">
        <v>3720</v>
      </c>
      <c r="B1033" s="6">
        <v>44985</v>
      </c>
      <c r="C1033" s="4" t="s">
        <v>3721</v>
      </c>
      <c r="D1033" s="4" t="s">
        <v>25</v>
      </c>
      <c r="E1033" s="4">
        <v>5</v>
      </c>
      <c r="F1033" s="4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4">
        <v>8</v>
      </c>
      <c r="L1033" s="4" t="s">
        <v>21</v>
      </c>
      <c r="M1033" s="4" t="s">
        <v>38</v>
      </c>
      <c r="N1033" s="4">
        <v>3322.55</v>
      </c>
    </row>
    <row r="1034" spans="1:14" ht="15" customHeight="1" x14ac:dyDescent="0.2">
      <c r="A1034" s="4" t="s">
        <v>3724</v>
      </c>
      <c r="B1034" s="6">
        <v>45036</v>
      </c>
      <c r="C1034" s="4" t="s">
        <v>3725</v>
      </c>
      <c r="D1034" s="4" t="s">
        <v>41</v>
      </c>
      <c r="E1034" s="4">
        <v>1</v>
      </c>
      <c r="F1034" s="4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4">
        <v>6</v>
      </c>
      <c r="L1034" s="4" t="s">
        <v>81</v>
      </c>
      <c r="M1034" s="4" t="s">
        <v>29</v>
      </c>
      <c r="N1034" s="4">
        <v>618.67999999999995</v>
      </c>
    </row>
    <row r="1035" spans="1:14" ht="15" customHeight="1" x14ac:dyDescent="0.2">
      <c r="A1035" s="4" t="s">
        <v>3727</v>
      </c>
      <c r="B1035" s="6">
        <v>45650</v>
      </c>
      <c r="C1035" s="4" t="s">
        <v>3728</v>
      </c>
      <c r="D1035" s="4" t="s">
        <v>16</v>
      </c>
      <c r="E1035" s="4">
        <v>1</v>
      </c>
      <c r="F1035" s="4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4">
        <v>2</v>
      </c>
      <c r="L1035" s="4" t="s">
        <v>37</v>
      </c>
      <c r="M1035" s="4" t="s">
        <v>29</v>
      </c>
      <c r="N1035" s="4">
        <v>370.85</v>
      </c>
    </row>
    <row r="1036" spans="1:14" ht="15" customHeight="1" x14ac:dyDescent="0.2">
      <c r="A1036" s="4" t="s">
        <v>3731</v>
      </c>
      <c r="B1036" s="6">
        <v>45459</v>
      </c>
      <c r="C1036" s="4" t="s">
        <v>3732</v>
      </c>
      <c r="D1036" s="4" t="s">
        <v>48</v>
      </c>
      <c r="E1036" s="4">
        <v>4</v>
      </c>
      <c r="F1036" s="4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4">
        <v>8</v>
      </c>
      <c r="L1036" s="4" t="s">
        <v>37</v>
      </c>
      <c r="M1036" s="4" t="s">
        <v>45</v>
      </c>
      <c r="N1036" s="4">
        <v>2071.92</v>
      </c>
    </row>
    <row r="1037" spans="1:14" ht="15" customHeight="1" x14ac:dyDescent="0.2">
      <c r="A1037" s="4" t="s">
        <v>3735</v>
      </c>
      <c r="B1037" s="6">
        <v>45242</v>
      </c>
      <c r="C1037" s="4" t="s">
        <v>3736</v>
      </c>
      <c r="D1037" s="4" t="s">
        <v>58</v>
      </c>
      <c r="E1037" s="4">
        <v>4</v>
      </c>
      <c r="F1037" s="4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4">
        <v>5</v>
      </c>
      <c r="M1037" s="4" t="s">
        <v>29</v>
      </c>
      <c r="N1037" s="4">
        <v>2024.44</v>
      </c>
    </row>
    <row r="1038" spans="1:14" ht="15" customHeight="1" x14ac:dyDescent="0.2">
      <c r="A1038" s="4" t="s">
        <v>3739</v>
      </c>
      <c r="B1038" s="6">
        <v>45443</v>
      </c>
      <c r="C1038" s="4" t="s">
        <v>3740</v>
      </c>
      <c r="D1038" s="4" t="s">
        <v>25</v>
      </c>
      <c r="E1038" s="4">
        <v>3</v>
      </c>
      <c r="F1038" s="4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4">
        <v>8</v>
      </c>
      <c r="L1038" s="4" t="s">
        <v>21</v>
      </c>
      <c r="M1038" s="4" t="s">
        <v>45</v>
      </c>
      <c r="N1038" s="4">
        <v>1241.49</v>
      </c>
    </row>
    <row r="1039" spans="1:14" ht="15" customHeight="1" x14ac:dyDescent="0.2">
      <c r="A1039" s="4" t="s">
        <v>3742</v>
      </c>
      <c r="B1039" s="6">
        <v>45273</v>
      </c>
      <c r="C1039" s="4" t="s">
        <v>3743</v>
      </c>
      <c r="D1039" s="4" t="s">
        <v>48</v>
      </c>
      <c r="E1039" s="4">
        <v>1</v>
      </c>
      <c r="F1039" s="4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4">
        <v>1</v>
      </c>
      <c r="L1039" s="4" t="s">
        <v>21</v>
      </c>
      <c r="M1039" s="4" t="s">
        <v>76</v>
      </c>
      <c r="N1039" s="4">
        <v>249.81</v>
      </c>
    </row>
    <row r="1040" spans="1:14" ht="15" customHeight="1" x14ac:dyDescent="0.2">
      <c r="A1040" s="4" t="s">
        <v>3745</v>
      </c>
      <c r="B1040" s="6">
        <v>45731</v>
      </c>
      <c r="C1040" s="4" t="s">
        <v>3746</v>
      </c>
      <c r="D1040" s="4" t="s">
        <v>32</v>
      </c>
      <c r="E1040" s="4">
        <v>3</v>
      </c>
      <c r="F1040" s="4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4">
        <v>5</v>
      </c>
      <c r="M1040" s="4" t="s">
        <v>45</v>
      </c>
      <c r="N1040" s="4">
        <v>1087.5899999999999</v>
      </c>
    </row>
    <row r="1041" spans="1:14" ht="15" customHeight="1" x14ac:dyDescent="0.2">
      <c r="A1041" s="4" t="s">
        <v>3749</v>
      </c>
      <c r="B1041" s="6">
        <v>45836</v>
      </c>
      <c r="C1041" s="4" t="s">
        <v>3750</v>
      </c>
      <c r="D1041" s="4" t="s">
        <v>73</v>
      </c>
      <c r="E1041" s="4">
        <v>2</v>
      </c>
      <c r="F1041" s="4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4">
        <v>2</v>
      </c>
      <c r="L1041" s="4" t="s">
        <v>81</v>
      </c>
      <c r="M1041" s="4" t="s">
        <v>22</v>
      </c>
      <c r="N1041" s="4">
        <v>598.46</v>
      </c>
    </row>
    <row r="1042" spans="1:14" ht="15" customHeight="1" x14ac:dyDescent="0.2">
      <c r="A1042" s="4" t="s">
        <v>3753</v>
      </c>
      <c r="B1042" s="6">
        <v>45245</v>
      </c>
      <c r="C1042" s="4" t="s">
        <v>3754</v>
      </c>
      <c r="D1042" s="4" t="s">
        <v>32</v>
      </c>
      <c r="E1042" s="4">
        <v>1</v>
      </c>
      <c r="F1042" s="4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4">
        <v>5</v>
      </c>
      <c r="L1042" s="4" t="s">
        <v>37</v>
      </c>
      <c r="M1042" s="4" t="s">
        <v>76</v>
      </c>
      <c r="N1042" s="4">
        <v>536.07000000000005</v>
      </c>
    </row>
    <row r="1043" spans="1:14" ht="15" customHeight="1" x14ac:dyDescent="0.2">
      <c r="A1043" s="4" t="s">
        <v>3756</v>
      </c>
      <c r="B1043" s="6">
        <v>44968</v>
      </c>
      <c r="C1043" s="4" t="s">
        <v>3757</v>
      </c>
      <c r="D1043" s="4" t="s">
        <v>16</v>
      </c>
      <c r="E1043" s="4">
        <v>4</v>
      </c>
      <c r="F1043" s="4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4">
        <v>9</v>
      </c>
      <c r="L1043" s="4" t="s">
        <v>81</v>
      </c>
      <c r="M1043" s="4" t="s">
        <v>76</v>
      </c>
      <c r="N1043" s="4">
        <v>2235.6</v>
      </c>
    </row>
    <row r="1044" spans="1:14" ht="15" customHeight="1" x14ac:dyDescent="0.2">
      <c r="A1044" s="4" t="s">
        <v>3759</v>
      </c>
      <c r="B1044" s="6">
        <v>45635</v>
      </c>
      <c r="C1044" s="4" t="s">
        <v>3760</v>
      </c>
      <c r="D1044" s="4" t="s">
        <v>32</v>
      </c>
      <c r="E1044" s="4">
        <v>2</v>
      </c>
      <c r="F1044" s="4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4">
        <v>2</v>
      </c>
      <c r="L1044" s="4" t="s">
        <v>81</v>
      </c>
      <c r="M1044" s="4" t="s">
        <v>45</v>
      </c>
      <c r="N1044" s="4">
        <v>819.5</v>
      </c>
    </row>
    <row r="1045" spans="1:14" ht="15" customHeight="1" x14ac:dyDescent="0.2">
      <c r="A1045" s="4" t="s">
        <v>3762</v>
      </c>
      <c r="B1045" s="6">
        <v>45668</v>
      </c>
      <c r="C1045" s="4" t="s">
        <v>3763</v>
      </c>
      <c r="D1045" s="4" t="s">
        <v>32</v>
      </c>
      <c r="E1045" s="4">
        <v>2</v>
      </c>
      <c r="F1045" s="4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4">
        <v>5</v>
      </c>
      <c r="M1045" s="4" t="s">
        <v>22</v>
      </c>
      <c r="N1045" s="4">
        <v>359.92</v>
      </c>
    </row>
    <row r="1046" spans="1:14" ht="15" customHeight="1" x14ac:dyDescent="0.2">
      <c r="A1046" s="4" t="s">
        <v>3765</v>
      </c>
      <c r="B1046" s="6">
        <v>45830</v>
      </c>
      <c r="C1046" s="4" t="s">
        <v>3766</v>
      </c>
      <c r="D1046" s="4" t="s">
        <v>48</v>
      </c>
      <c r="E1046" s="4">
        <v>1</v>
      </c>
      <c r="F1046" s="4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4">
        <v>4</v>
      </c>
      <c r="L1046" s="4" t="s">
        <v>37</v>
      </c>
      <c r="M1046" s="4" t="s">
        <v>29</v>
      </c>
      <c r="N1046" s="4">
        <v>38.49</v>
      </c>
    </row>
    <row r="1047" spans="1:14" ht="15" customHeight="1" x14ac:dyDescent="0.2">
      <c r="A1047" s="4" t="s">
        <v>3769</v>
      </c>
      <c r="B1047" s="6">
        <v>45555</v>
      </c>
      <c r="C1047" s="4" t="s">
        <v>3770</v>
      </c>
      <c r="D1047" s="4" t="s">
        <v>58</v>
      </c>
      <c r="E1047" s="4">
        <v>5</v>
      </c>
      <c r="F1047" s="4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4">
        <v>7</v>
      </c>
      <c r="M1047" s="4" t="s">
        <v>38</v>
      </c>
      <c r="N1047" s="4">
        <v>1582</v>
      </c>
    </row>
    <row r="1048" spans="1:14" ht="15" customHeight="1" x14ac:dyDescent="0.2">
      <c r="A1048" s="4" t="s">
        <v>3773</v>
      </c>
      <c r="B1048" s="6">
        <v>45572</v>
      </c>
      <c r="C1048" s="4" t="s">
        <v>3774</v>
      </c>
      <c r="D1048" s="4" t="s">
        <v>32</v>
      </c>
      <c r="E1048" s="4">
        <v>3</v>
      </c>
      <c r="F1048" s="4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4">
        <v>4</v>
      </c>
      <c r="L1048" s="4" t="s">
        <v>81</v>
      </c>
      <c r="M1048" s="4" t="s">
        <v>22</v>
      </c>
      <c r="N1048" s="4">
        <v>1641.45</v>
      </c>
    </row>
    <row r="1049" spans="1:14" ht="15" customHeight="1" x14ac:dyDescent="0.2">
      <c r="A1049" s="4" t="s">
        <v>3777</v>
      </c>
      <c r="B1049" s="6">
        <v>45100</v>
      </c>
      <c r="C1049" s="4" t="s">
        <v>3778</v>
      </c>
      <c r="D1049" s="4" t="s">
        <v>41</v>
      </c>
      <c r="E1049" s="4">
        <v>4</v>
      </c>
      <c r="F1049" s="4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4">
        <v>6</v>
      </c>
      <c r="L1049" s="4" t="s">
        <v>81</v>
      </c>
      <c r="M1049" s="4" t="s">
        <v>29</v>
      </c>
      <c r="N1049" s="4">
        <v>2161.36</v>
      </c>
    </row>
    <row r="1050" spans="1:14" ht="15" customHeight="1" x14ac:dyDescent="0.2">
      <c r="A1050" s="4" t="s">
        <v>3781</v>
      </c>
      <c r="B1050" s="6">
        <v>45544</v>
      </c>
      <c r="C1050" s="4" t="s">
        <v>3782</v>
      </c>
      <c r="D1050" s="4" t="s">
        <v>16</v>
      </c>
      <c r="E1050" s="4">
        <v>4</v>
      </c>
      <c r="F1050" s="4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4">
        <v>9</v>
      </c>
      <c r="M1050" s="4" t="s">
        <v>76</v>
      </c>
      <c r="N1050" s="4">
        <v>294.60000000000002</v>
      </c>
    </row>
    <row r="1051" spans="1:14" ht="15" customHeight="1" x14ac:dyDescent="0.2">
      <c r="A1051" s="4" t="s">
        <v>3785</v>
      </c>
      <c r="B1051" s="6">
        <v>45491</v>
      </c>
      <c r="C1051" s="4" t="s">
        <v>3786</v>
      </c>
      <c r="D1051" s="4" t="s">
        <v>73</v>
      </c>
      <c r="E1051" s="4">
        <v>5</v>
      </c>
      <c r="F1051" s="4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4">
        <v>6</v>
      </c>
      <c r="M1051" s="4" t="s">
        <v>22</v>
      </c>
      <c r="N1051" s="4">
        <v>1959.3</v>
      </c>
    </row>
    <row r="1052" spans="1:14" ht="15" customHeight="1" x14ac:dyDescent="0.2">
      <c r="A1052" s="4" t="s">
        <v>3788</v>
      </c>
      <c r="B1052" s="6">
        <v>45158</v>
      </c>
      <c r="C1052" s="4" t="s">
        <v>3789</v>
      </c>
      <c r="D1052" s="4" t="s">
        <v>58</v>
      </c>
      <c r="E1052" s="4">
        <v>5</v>
      </c>
      <c r="F1052" s="4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4">
        <v>9</v>
      </c>
      <c r="M1052" s="4" t="s">
        <v>22</v>
      </c>
      <c r="N1052" s="4">
        <v>348.5</v>
      </c>
    </row>
    <row r="1053" spans="1:14" ht="15" customHeight="1" x14ac:dyDescent="0.2">
      <c r="A1053" s="4" t="s">
        <v>3791</v>
      </c>
      <c r="B1053" s="6">
        <v>45721</v>
      </c>
      <c r="C1053" s="4" t="s">
        <v>3792</v>
      </c>
      <c r="D1053" s="4" t="s">
        <v>16</v>
      </c>
      <c r="E1053" s="4">
        <v>5</v>
      </c>
      <c r="F1053" s="4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4">
        <v>5</v>
      </c>
      <c r="L1053" s="4" t="s">
        <v>37</v>
      </c>
      <c r="M1053" s="4" t="s">
        <v>45</v>
      </c>
      <c r="N1053" s="4">
        <v>132.15</v>
      </c>
    </row>
    <row r="1054" spans="1:14" ht="15" customHeight="1" x14ac:dyDescent="0.2">
      <c r="A1054" s="4" t="s">
        <v>3795</v>
      </c>
      <c r="B1054" s="6">
        <v>45180</v>
      </c>
      <c r="C1054" s="4" t="s">
        <v>3796</v>
      </c>
      <c r="D1054" s="4" t="s">
        <v>32</v>
      </c>
      <c r="E1054" s="4">
        <v>1</v>
      </c>
      <c r="F1054" s="4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4">
        <v>1</v>
      </c>
      <c r="L1054" s="4" t="s">
        <v>81</v>
      </c>
      <c r="M1054" s="4" t="s">
        <v>76</v>
      </c>
      <c r="N1054" s="4">
        <v>531.74</v>
      </c>
    </row>
    <row r="1055" spans="1:14" ht="15" customHeight="1" x14ac:dyDescent="0.2">
      <c r="A1055" s="4" t="s">
        <v>3799</v>
      </c>
      <c r="B1055" s="6">
        <v>45550</v>
      </c>
      <c r="C1055" s="4" t="s">
        <v>3800</v>
      </c>
      <c r="D1055" s="4" t="s">
        <v>25</v>
      </c>
      <c r="E1055" s="4">
        <v>2</v>
      </c>
      <c r="F1055" s="4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4">
        <v>2</v>
      </c>
      <c r="L1055" s="4" t="s">
        <v>21</v>
      </c>
      <c r="M1055" s="4" t="s">
        <v>22</v>
      </c>
      <c r="N1055" s="4">
        <v>993.24</v>
      </c>
    </row>
    <row r="1056" spans="1:14" ht="15" customHeight="1" x14ac:dyDescent="0.2">
      <c r="A1056" s="4" t="s">
        <v>3802</v>
      </c>
      <c r="B1056" s="6">
        <v>45259</v>
      </c>
      <c r="C1056" s="4" t="s">
        <v>3803</v>
      </c>
      <c r="D1056" s="4" t="s">
        <v>48</v>
      </c>
      <c r="E1056" s="4">
        <v>1</v>
      </c>
      <c r="F1056" s="4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4">
        <v>3</v>
      </c>
      <c r="L1056" s="4" t="s">
        <v>81</v>
      </c>
      <c r="M1056" s="4" t="s">
        <v>22</v>
      </c>
      <c r="N1056" s="4">
        <v>660.66</v>
      </c>
    </row>
    <row r="1057" spans="1:14" ht="15" customHeight="1" x14ac:dyDescent="0.2">
      <c r="A1057" s="4" t="s">
        <v>3805</v>
      </c>
      <c r="B1057" s="6">
        <v>45222</v>
      </c>
      <c r="C1057" s="4" t="s">
        <v>3806</v>
      </c>
      <c r="D1057" s="4" t="s">
        <v>16</v>
      </c>
      <c r="E1057" s="4">
        <v>4</v>
      </c>
      <c r="F1057" s="4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4">
        <v>9</v>
      </c>
      <c r="L1057" s="4" t="s">
        <v>81</v>
      </c>
      <c r="M1057" s="4" t="s">
        <v>38</v>
      </c>
      <c r="N1057" s="4">
        <v>1099.28</v>
      </c>
    </row>
    <row r="1058" spans="1:14" ht="15" customHeight="1" x14ac:dyDescent="0.2">
      <c r="A1058" s="4" t="s">
        <v>3808</v>
      </c>
      <c r="B1058" s="6">
        <v>45457</v>
      </c>
      <c r="C1058" s="4" t="s">
        <v>3809</v>
      </c>
      <c r="D1058" s="4" t="s">
        <v>25</v>
      </c>
      <c r="E1058" s="4">
        <v>2</v>
      </c>
      <c r="F1058" s="4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4">
        <v>6</v>
      </c>
      <c r="L1058" s="4" t="s">
        <v>21</v>
      </c>
      <c r="M1058" s="4" t="s">
        <v>29</v>
      </c>
      <c r="N1058" s="4">
        <v>972.7</v>
      </c>
    </row>
    <row r="1059" spans="1:14" ht="15" customHeight="1" x14ac:dyDescent="0.2">
      <c r="A1059" s="4" t="s">
        <v>3811</v>
      </c>
      <c r="B1059" s="6">
        <v>45559</v>
      </c>
      <c r="C1059" s="4" t="s">
        <v>3812</v>
      </c>
      <c r="D1059" s="4" t="s">
        <v>58</v>
      </c>
      <c r="E1059" s="4">
        <v>3</v>
      </c>
      <c r="F1059" s="4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4">
        <v>3</v>
      </c>
      <c r="L1059" s="4" t="s">
        <v>81</v>
      </c>
      <c r="M1059" s="4" t="s">
        <v>45</v>
      </c>
      <c r="N1059" s="4">
        <v>1286.6400000000001</v>
      </c>
    </row>
    <row r="1060" spans="1:14" ht="15" customHeight="1" x14ac:dyDescent="0.2">
      <c r="A1060" s="4" t="s">
        <v>3814</v>
      </c>
      <c r="B1060" s="6">
        <v>45177</v>
      </c>
      <c r="C1060" s="4" t="s">
        <v>3815</v>
      </c>
      <c r="D1060" s="4" t="s">
        <v>73</v>
      </c>
      <c r="E1060" s="4">
        <v>2</v>
      </c>
      <c r="F1060" s="4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4">
        <v>2</v>
      </c>
      <c r="L1060" s="4" t="s">
        <v>37</v>
      </c>
      <c r="M1060" s="4" t="s">
        <v>22</v>
      </c>
      <c r="N1060" s="4">
        <v>824.28</v>
      </c>
    </row>
    <row r="1061" spans="1:14" ht="15" customHeight="1" x14ac:dyDescent="0.2">
      <c r="A1061" s="4" t="s">
        <v>3817</v>
      </c>
      <c r="B1061" s="6">
        <v>45557</v>
      </c>
      <c r="C1061" s="4" t="s">
        <v>3818</v>
      </c>
      <c r="D1061" s="4" t="s">
        <v>73</v>
      </c>
      <c r="E1061" s="4">
        <v>1</v>
      </c>
      <c r="F1061" s="4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4">
        <v>3</v>
      </c>
      <c r="L1061" s="4" t="s">
        <v>81</v>
      </c>
      <c r="M1061" s="4" t="s">
        <v>22</v>
      </c>
      <c r="N1061" s="4">
        <v>265.64</v>
      </c>
    </row>
    <row r="1062" spans="1:14" ht="15" customHeight="1" x14ac:dyDescent="0.2">
      <c r="A1062" s="4" t="s">
        <v>3821</v>
      </c>
      <c r="B1062" s="6">
        <v>45419</v>
      </c>
      <c r="C1062" s="4" t="s">
        <v>3822</v>
      </c>
      <c r="D1062" s="4" t="s">
        <v>32</v>
      </c>
      <c r="E1062" s="4">
        <v>2</v>
      </c>
      <c r="F1062" s="4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4">
        <v>7</v>
      </c>
      <c r="L1062" s="4" t="s">
        <v>81</v>
      </c>
      <c r="M1062" s="4" t="s">
        <v>29</v>
      </c>
      <c r="N1062" s="4">
        <v>546.86</v>
      </c>
    </row>
    <row r="1063" spans="1:14" ht="15" customHeight="1" x14ac:dyDescent="0.2">
      <c r="A1063" s="4" t="s">
        <v>3824</v>
      </c>
      <c r="B1063" s="6">
        <v>45686</v>
      </c>
      <c r="C1063" s="4" t="s">
        <v>3825</v>
      </c>
      <c r="D1063" s="4" t="s">
        <v>58</v>
      </c>
      <c r="E1063" s="4">
        <v>5</v>
      </c>
      <c r="F1063" s="4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4">
        <v>8</v>
      </c>
      <c r="L1063" s="4" t="s">
        <v>37</v>
      </c>
      <c r="M1063" s="4" t="s">
        <v>76</v>
      </c>
      <c r="N1063" s="4">
        <v>658.5</v>
      </c>
    </row>
    <row r="1064" spans="1:14" ht="15" customHeight="1" x14ac:dyDescent="0.2">
      <c r="A1064" s="4" t="s">
        <v>3827</v>
      </c>
      <c r="B1064" s="6">
        <v>45161</v>
      </c>
      <c r="C1064" s="4" t="s">
        <v>3828</v>
      </c>
      <c r="D1064" s="4" t="s">
        <v>41</v>
      </c>
      <c r="E1064" s="4">
        <v>5</v>
      </c>
      <c r="F1064" s="4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4">
        <v>5</v>
      </c>
      <c r="M1064" s="4" t="s">
        <v>45</v>
      </c>
      <c r="N1064" s="4">
        <v>427.6</v>
      </c>
    </row>
    <row r="1065" spans="1:14" ht="15" customHeight="1" x14ac:dyDescent="0.2">
      <c r="A1065" s="4" t="s">
        <v>3830</v>
      </c>
      <c r="B1065" s="6">
        <v>45462</v>
      </c>
      <c r="C1065" s="4" t="s">
        <v>3831</v>
      </c>
      <c r="D1065" s="4" t="s">
        <v>73</v>
      </c>
      <c r="E1065" s="4">
        <v>2</v>
      </c>
      <c r="F1065" s="4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4">
        <v>5</v>
      </c>
      <c r="L1065" s="4" t="s">
        <v>37</v>
      </c>
      <c r="M1065" s="4" t="s">
        <v>29</v>
      </c>
      <c r="N1065" s="4">
        <v>641.36</v>
      </c>
    </row>
    <row r="1066" spans="1:14" ht="15" customHeight="1" x14ac:dyDescent="0.2">
      <c r="A1066" s="4" t="s">
        <v>3833</v>
      </c>
      <c r="B1066" s="6">
        <v>45700</v>
      </c>
      <c r="C1066" s="4" t="s">
        <v>3834</v>
      </c>
      <c r="D1066" s="4" t="s">
        <v>58</v>
      </c>
      <c r="E1066" s="4">
        <v>4</v>
      </c>
      <c r="F1066" s="4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4">
        <v>9</v>
      </c>
      <c r="L1066" s="4" t="s">
        <v>37</v>
      </c>
      <c r="M1066" s="4" t="s">
        <v>29</v>
      </c>
      <c r="N1066" s="4">
        <v>795.24</v>
      </c>
    </row>
    <row r="1067" spans="1:14" ht="15" customHeight="1" x14ac:dyDescent="0.2">
      <c r="A1067" s="4" t="s">
        <v>3836</v>
      </c>
      <c r="B1067" s="6">
        <v>45229</v>
      </c>
      <c r="C1067" s="4" t="s">
        <v>3837</v>
      </c>
      <c r="D1067" s="4" t="s">
        <v>48</v>
      </c>
      <c r="E1067" s="4">
        <v>5</v>
      </c>
      <c r="F1067" s="4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4">
        <v>7</v>
      </c>
      <c r="L1067" s="4" t="s">
        <v>21</v>
      </c>
      <c r="M1067" s="4" t="s">
        <v>29</v>
      </c>
      <c r="N1067" s="4">
        <v>3334</v>
      </c>
    </row>
    <row r="1068" spans="1:14" ht="15" customHeight="1" x14ac:dyDescent="0.2">
      <c r="A1068" s="4" t="s">
        <v>3839</v>
      </c>
      <c r="B1068" s="6">
        <v>45280</v>
      </c>
      <c r="C1068" s="4" t="s">
        <v>3840</v>
      </c>
      <c r="D1068" s="4" t="s">
        <v>73</v>
      </c>
      <c r="E1068" s="4">
        <v>1</v>
      </c>
      <c r="F1068" s="4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4">
        <v>5</v>
      </c>
      <c r="L1068" s="4" t="s">
        <v>21</v>
      </c>
      <c r="M1068" s="4" t="s">
        <v>22</v>
      </c>
      <c r="N1068" s="4">
        <v>355.09</v>
      </c>
    </row>
    <row r="1069" spans="1:14" ht="15" customHeight="1" x14ac:dyDescent="0.2">
      <c r="A1069" s="4" t="s">
        <v>3842</v>
      </c>
      <c r="B1069" s="6">
        <v>45083</v>
      </c>
      <c r="C1069" s="4" t="s">
        <v>3843</v>
      </c>
      <c r="D1069" s="4" t="s">
        <v>25</v>
      </c>
      <c r="E1069" s="4">
        <v>2</v>
      </c>
      <c r="F1069" s="4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4">
        <v>2</v>
      </c>
      <c r="M1069" s="4" t="s">
        <v>22</v>
      </c>
      <c r="N1069" s="4">
        <v>632.4</v>
      </c>
    </row>
    <row r="1070" spans="1:14" ht="15" customHeight="1" x14ac:dyDescent="0.2">
      <c r="A1070" s="4" t="s">
        <v>3845</v>
      </c>
      <c r="B1070" s="6">
        <v>45507</v>
      </c>
      <c r="C1070" s="4" t="s">
        <v>3846</v>
      </c>
      <c r="D1070" s="4" t="s">
        <v>58</v>
      </c>
      <c r="E1070" s="4">
        <v>1</v>
      </c>
      <c r="F1070" s="4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4">
        <v>2</v>
      </c>
      <c r="L1070" s="4" t="s">
        <v>21</v>
      </c>
      <c r="M1070" s="4" t="s">
        <v>29</v>
      </c>
      <c r="N1070" s="4">
        <v>133.38999999999999</v>
      </c>
    </row>
    <row r="1071" spans="1:14" ht="15" customHeight="1" x14ac:dyDescent="0.2">
      <c r="A1071" s="4" t="s">
        <v>3849</v>
      </c>
      <c r="B1071" s="6">
        <v>44982</v>
      </c>
      <c r="C1071" s="4" t="s">
        <v>3850</v>
      </c>
      <c r="D1071" s="4" t="s">
        <v>16</v>
      </c>
      <c r="E1071" s="4">
        <v>1</v>
      </c>
      <c r="F1071" s="4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4">
        <v>3</v>
      </c>
      <c r="M1071" s="4" t="s">
        <v>45</v>
      </c>
      <c r="N1071" s="4">
        <v>454.23</v>
      </c>
    </row>
    <row r="1072" spans="1:14" ht="15" customHeight="1" x14ac:dyDescent="0.2">
      <c r="A1072" s="4" t="s">
        <v>3852</v>
      </c>
      <c r="B1072" s="6">
        <v>45541</v>
      </c>
      <c r="C1072" s="4" t="s">
        <v>3853</v>
      </c>
      <c r="D1072" s="4" t="s">
        <v>73</v>
      </c>
      <c r="E1072" s="4">
        <v>4</v>
      </c>
      <c r="F1072" s="4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4">
        <v>6</v>
      </c>
      <c r="M1072" s="4" t="s">
        <v>38</v>
      </c>
      <c r="N1072" s="4">
        <v>1965.16</v>
      </c>
    </row>
    <row r="1073" spans="1:14" ht="15" customHeight="1" x14ac:dyDescent="0.2">
      <c r="A1073" s="4" t="s">
        <v>3855</v>
      </c>
      <c r="B1073" s="6">
        <v>45832</v>
      </c>
      <c r="C1073" s="4" t="s">
        <v>3856</v>
      </c>
      <c r="D1073" s="4" t="s">
        <v>25</v>
      </c>
      <c r="E1073" s="4">
        <v>2</v>
      </c>
      <c r="F1073" s="4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4">
        <v>2</v>
      </c>
      <c r="M1073" s="4" t="s">
        <v>76</v>
      </c>
      <c r="N1073" s="4">
        <v>510.28</v>
      </c>
    </row>
    <row r="1074" spans="1:14" ht="15" customHeight="1" x14ac:dyDescent="0.2">
      <c r="A1074" s="4" t="s">
        <v>3858</v>
      </c>
      <c r="B1074" s="6">
        <v>44983</v>
      </c>
      <c r="C1074" s="4" t="s">
        <v>3859</v>
      </c>
      <c r="D1074" s="4" t="s">
        <v>16</v>
      </c>
      <c r="E1074" s="4">
        <v>1</v>
      </c>
      <c r="F1074" s="4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4">
        <v>4</v>
      </c>
      <c r="L1074" s="4" t="s">
        <v>21</v>
      </c>
      <c r="M1074" s="4" t="s">
        <v>29</v>
      </c>
      <c r="N1074" s="4">
        <v>392.61</v>
      </c>
    </row>
    <row r="1075" spans="1:14" ht="15" customHeight="1" x14ac:dyDescent="0.2">
      <c r="A1075" s="4" t="s">
        <v>3861</v>
      </c>
      <c r="B1075" s="6">
        <v>45576</v>
      </c>
      <c r="C1075" s="4" t="s">
        <v>3862</v>
      </c>
      <c r="D1075" s="4" t="s">
        <v>32</v>
      </c>
      <c r="E1075" s="4">
        <v>4</v>
      </c>
      <c r="F1075" s="4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4">
        <v>4</v>
      </c>
      <c r="M1075" s="4" t="s">
        <v>45</v>
      </c>
      <c r="N1075" s="4">
        <v>1448.24</v>
      </c>
    </row>
    <row r="1076" spans="1:14" ht="15" customHeight="1" x14ac:dyDescent="0.2">
      <c r="A1076" s="4" t="s">
        <v>3864</v>
      </c>
      <c r="B1076" s="6">
        <v>45422</v>
      </c>
      <c r="C1076" s="4" t="s">
        <v>3865</v>
      </c>
      <c r="D1076" s="4" t="s">
        <v>25</v>
      </c>
      <c r="E1076" s="4">
        <v>1</v>
      </c>
      <c r="F1076" s="4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4">
        <v>4</v>
      </c>
      <c r="M1076" s="4" t="s">
        <v>76</v>
      </c>
      <c r="N1076" s="4">
        <v>222.73</v>
      </c>
    </row>
    <row r="1077" spans="1:14" ht="15" customHeight="1" x14ac:dyDescent="0.2">
      <c r="A1077" s="4" t="s">
        <v>3868</v>
      </c>
      <c r="B1077" s="6">
        <v>45535</v>
      </c>
      <c r="C1077" s="4" t="s">
        <v>3869</v>
      </c>
      <c r="D1077" s="4" t="s">
        <v>16</v>
      </c>
      <c r="E1077" s="4">
        <v>2</v>
      </c>
      <c r="F1077" s="4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4">
        <v>7</v>
      </c>
      <c r="L1077" s="4" t="s">
        <v>81</v>
      </c>
      <c r="M1077" s="4" t="s">
        <v>22</v>
      </c>
      <c r="N1077" s="4">
        <v>1105.26</v>
      </c>
    </row>
    <row r="1078" spans="1:14" ht="15" customHeight="1" x14ac:dyDescent="0.2">
      <c r="A1078" s="4" t="s">
        <v>3871</v>
      </c>
      <c r="B1078" s="6">
        <v>45054</v>
      </c>
      <c r="C1078" s="4" t="s">
        <v>3872</v>
      </c>
      <c r="D1078" s="4" t="s">
        <v>58</v>
      </c>
      <c r="E1078" s="4">
        <v>4</v>
      </c>
      <c r="F1078" s="4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4">
        <v>6</v>
      </c>
      <c r="M1078" s="4" t="s">
        <v>29</v>
      </c>
      <c r="N1078" s="4">
        <v>2746.44</v>
      </c>
    </row>
    <row r="1079" spans="1:14" ht="15" customHeight="1" x14ac:dyDescent="0.2">
      <c r="A1079" s="4" t="s">
        <v>3874</v>
      </c>
      <c r="B1079" s="6">
        <v>45723</v>
      </c>
      <c r="C1079" s="4" t="s">
        <v>3875</v>
      </c>
      <c r="D1079" s="4" t="s">
        <v>48</v>
      </c>
      <c r="E1079" s="4">
        <v>3</v>
      </c>
      <c r="F1079" s="4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4">
        <v>8</v>
      </c>
      <c r="L1079" s="4" t="s">
        <v>21</v>
      </c>
      <c r="M1079" s="4" t="s">
        <v>29</v>
      </c>
      <c r="N1079" s="4">
        <v>915.48</v>
      </c>
    </row>
    <row r="1080" spans="1:14" ht="15" customHeight="1" x14ac:dyDescent="0.2">
      <c r="A1080" s="4" t="s">
        <v>3877</v>
      </c>
      <c r="B1080" s="6">
        <v>45003</v>
      </c>
      <c r="C1080" s="4" t="s">
        <v>3878</v>
      </c>
      <c r="D1080" s="4" t="s">
        <v>73</v>
      </c>
      <c r="E1080" s="4">
        <v>1</v>
      </c>
      <c r="F1080" s="4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4">
        <v>4</v>
      </c>
      <c r="L1080" s="4" t="s">
        <v>81</v>
      </c>
      <c r="M1080" s="4" t="s">
        <v>38</v>
      </c>
      <c r="N1080" s="4">
        <v>41.09</v>
      </c>
    </row>
    <row r="1081" spans="1:14" ht="15" customHeight="1" x14ac:dyDescent="0.2">
      <c r="A1081" s="4" t="s">
        <v>3880</v>
      </c>
      <c r="B1081" s="6">
        <v>45463</v>
      </c>
      <c r="C1081" s="4" t="s">
        <v>3881</v>
      </c>
      <c r="D1081" s="4" t="s">
        <v>25</v>
      </c>
      <c r="E1081" s="4">
        <v>5</v>
      </c>
      <c r="F1081" s="4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4">
        <v>8</v>
      </c>
      <c r="M1081" s="4" t="s">
        <v>38</v>
      </c>
      <c r="N1081" s="4">
        <v>3170</v>
      </c>
    </row>
    <row r="1082" spans="1:14" ht="15" customHeight="1" x14ac:dyDescent="0.2">
      <c r="A1082" s="4" t="s">
        <v>3883</v>
      </c>
      <c r="B1082" s="6">
        <v>44946</v>
      </c>
      <c r="C1082" s="4" t="s">
        <v>3884</v>
      </c>
      <c r="D1082" s="4" t="s">
        <v>58</v>
      </c>
      <c r="E1082" s="4">
        <v>5</v>
      </c>
      <c r="F1082" s="4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4">
        <v>7</v>
      </c>
      <c r="M1082" s="4" t="s">
        <v>29</v>
      </c>
      <c r="N1082" s="4">
        <v>2323.6999999999998</v>
      </c>
    </row>
    <row r="1083" spans="1:14" ht="15" customHeight="1" x14ac:dyDescent="0.2">
      <c r="A1083" s="4" t="s">
        <v>3887</v>
      </c>
      <c r="B1083" s="6">
        <v>45037</v>
      </c>
      <c r="C1083" s="4" t="s">
        <v>3888</v>
      </c>
      <c r="D1083" s="4" t="s">
        <v>16</v>
      </c>
      <c r="E1083" s="4">
        <v>4</v>
      </c>
      <c r="F1083" s="4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4">
        <v>5</v>
      </c>
      <c r="L1083" s="4" t="s">
        <v>37</v>
      </c>
      <c r="M1083" s="4" t="s">
        <v>76</v>
      </c>
      <c r="N1083" s="4">
        <v>1702.4</v>
      </c>
    </row>
    <row r="1084" spans="1:14" ht="15" customHeight="1" x14ac:dyDescent="0.2">
      <c r="A1084" s="4" t="s">
        <v>3890</v>
      </c>
      <c r="B1084" s="6">
        <v>45205</v>
      </c>
      <c r="C1084" s="4" t="s">
        <v>3891</v>
      </c>
      <c r="D1084" s="4" t="s">
        <v>41</v>
      </c>
      <c r="E1084" s="4">
        <v>3</v>
      </c>
      <c r="F1084" s="4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4">
        <v>5</v>
      </c>
      <c r="L1084" s="4" t="s">
        <v>21</v>
      </c>
      <c r="M1084" s="4" t="s">
        <v>38</v>
      </c>
      <c r="N1084" s="4">
        <v>1719.66</v>
      </c>
    </row>
    <row r="1085" spans="1:14" ht="15" customHeight="1" x14ac:dyDescent="0.2">
      <c r="A1085" s="4" t="s">
        <v>3893</v>
      </c>
      <c r="B1085" s="6">
        <v>45482</v>
      </c>
      <c r="C1085" s="4" t="s">
        <v>3894</v>
      </c>
      <c r="D1085" s="4" t="s">
        <v>41</v>
      </c>
      <c r="E1085" s="4">
        <v>1</v>
      </c>
      <c r="F1085" s="4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4">
        <v>3</v>
      </c>
      <c r="L1085" s="4" t="s">
        <v>21</v>
      </c>
      <c r="M1085" s="4" t="s">
        <v>38</v>
      </c>
      <c r="N1085" s="4">
        <v>123.28</v>
      </c>
    </row>
    <row r="1086" spans="1:14" ht="15" customHeight="1" x14ac:dyDescent="0.2">
      <c r="A1086" s="4" t="s">
        <v>3896</v>
      </c>
      <c r="B1086" s="6">
        <v>44934</v>
      </c>
      <c r="C1086" s="4" t="s">
        <v>3897</v>
      </c>
      <c r="D1086" s="4" t="s">
        <v>25</v>
      </c>
      <c r="E1086" s="4">
        <v>1</v>
      </c>
      <c r="F1086" s="4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4">
        <v>1</v>
      </c>
      <c r="L1086" s="4" t="s">
        <v>81</v>
      </c>
      <c r="M1086" s="4" t="s">
        <v>22</v>
      </c>
      <c r="N1086" s="4">
        <v>70.819999999999993</v>
      </c>
    </row>
    <row r="1087" spans="1:14" ht="15" customHeight="1" x14ac:dyDescent="0.2">
      <c r="A1087" s="4" t="s">
        <v>3899</v>
      </c>
      <c r="B1087" s="6">
        <v>45067</v>
      </c>
      <c r="C1087" s="4" t="s">
        <v>3900</v>
      </c>
      <c r="D1087" s="4" t="s">
        <v>48</v>
      </c>
      <c r="E1087" s="4">
        <v>2</v>
      </c>
      <c r="F1087" s="4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4">
        <v>7</v>
      </c>
      <c r="L1087" s="4" t="s">
        <v>81</v>
      </c>
      <c r="M1087" s="4" t="s">
        <v>22</v>
      </c>
      <c r="N1087" s="4">
        <v>1293.3800000000001</v>
      </c>
    </row>
    <row r="1088" spans="1:14" ht="15" customHeight="1" x14ac:dyDescent="0.2">
      <c r="A1088" s="4" t="s">
        <v>3902</v>
      </c>
      <c r="B1088" s="6">
        <v>45283</v>
      </c>
      <c r="C1088" s="4" t="s">
        <v>3903</v>
      </c>
      <c r="D1088" s="4" t="s">
        <v>32</v>
      </c>
      <c r="E1088" s="4">
        <v>2</v>
      </c>
      <c r="F1088" s="4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4">
        <v>5</v>
      </c>
      <c r="L1088" s="4" t="s">
        <v>81</v>
      </c>
      <c r="M1088" s="4" t="s">
        <v>22</v>
      </c>
      <c r="N1088" s="4">
        <v>1026.8399999999999</v>
      </c>
    </row>
    <row r="1089" spans="1:14" ht="15" customHeight="1" x14ac:dyDescent="0.2">
      <c r="A1089" s="4" t="s">
        <v>3906</v>
      </c>
      <c r="B1089" s="6">
        <v>45739</v>
      </c>
      <c r="C1089" s="4" t="s">
        <v>3907</v>
      </c>
      <c r="D1089" s="4" t="s">
        <v>58</v>
      </c>
      <c r="E1089" s="4">
        <v>4</v>
      </c>
      <c r="F1089" s="4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4">
        <v>8</v>
      </c>
      <c r="L1089" s="4" t="s">
        <v>21</v>
      </c>
      <c r="M1089" s="4" t="s">
        <v>22</v>
      </c>
      <c r="N1089" s="4">
        <v>2772.28</v>
      </c>
    </row>
    <row r="1090" spans="1:14" ht="15" customHeight="1" x14ac:dyDescent="0.2">
      <c r="A1090" s="4" t="s">
        <v>3910</v>
      </c>
      <c r="B1090" s="6">
        <v>45260</v>
      </c>
      <c r="C1090" s="4" t="s">
        <v>3911</v>
      </c>
      <c r="D1090" s="4" t="s">
        <v>73</v>
      </c>
      <c r="E1090" s="4">
        <v>3</v>
      </c>
      <c r="F1090" s="4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4">
        <v>6</v>
      </c>
      <c r="L1090" s="4" t="s">
        <v>81</v>
      </c>
      <c r="M1090" s="4" t="s">
        <v>22</v>
      </c>
      <c r="N1090" s="4">
        <v>1474.29</v>
      </c>
    </row>
    <row r="1091" spans="1:14" ht="15" customHeight="1" x14ac:dyDescent="0.2">
      <c r="A1091" s="4" t="s">
        <v>3914</v>
      </c>
      <c r="B1091" s="6">
        <v>45731</v>
      </c>
      <c r="C1091" s="4" t="s">
        <v>3915</v>
      </c>
      <c r="D1091" s="4" t="s">
        <v>32</v>
      </c>
      <c r="E1091" s="4">
        <v>2</v>
      </c>
      <c r="F1091" s="4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4">
        <v>2</v>
      </c>
      <c r="M1091" s="4" t="s">
        <v>22</v>
      </c>
      <c r="N1091" s="4">
        <v>1199.48</v>
      </c>
    </row>
    <row r="1092" spans="1:14" ht="15" customHeight="1" x14ac:dyDescent="0.2">
      <c r="A1092" s="4" t="s">
        <v>3917</v>
      </c>
      <c r="B1092" s="6">
        <v>44982</v>
      </c>
      <c r="C1092" s="4" t="s">
        <v>3918</v>
      </c>
      <c r="D1092" s="4" t="s">
        <v>16</v>
      </c>
      <c r="E1092" s="4">
        <v>2</v>
      </c>
      <c r="F1092" s="4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4">
        <v>6</v>
      </c>
      <c r="M1092" s="4" t="s">
        <v>22</v>
      </c>
      <c r="N1092" s="4">
        <v>1300.5</v>
      </c>
    </row>
    <row r="1093" spans="1:14" ht="15" customHeight="1" x14ac:dyDescent="0.2">
      <c r="A1093" s="4" t="s">
        <v>3920</v>
      </c>
      <c r="B1093" s="6">
        <v>45573</v>
      </c>
      <c r="C1093" s="4" t="s">
        <v>3921</v>
      </c>
      <c r="D1093" s="4" t="s">
        <v>58</v>
      </c>
      <c r="E1093" s="4">
        <v>3</v>
      </c>
      <c r="F1093" s="4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4">
        <v>4</v>
      </c>
      <c r="M1093" s="4" t="s">
        <v>38</v>
      </c>
      <c r="N1093" s="4">
        <v>628.44000000000005</v>
      </c>
    </row>
    <row r="1094" spans="1:14" ht="15" customHeight="1" x14ac:dyDescent="0.2">
      <c r="A1094" s="4" t="s">
        <v>3923</v>
      </c>
      <c r="B1094" s="6">
        <v>45159</v>
      </c>
      <c r="C1094" s="4" t="s">
        <v>3924</v>
      </c>
      <c r="D1094" s="4" t="s">
        <v>58</v>
      </c>
      <c r="E1094" s="4">
        <v>5</v>
      </c>
      <c r="F1094" s="4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4">
        <v>6</v>
      </c>
      <c r="L1094" s="4" t="s">
        <v>81</v>
      </c>
      <c r="M1094" s="4" t="s">
        <v>38</v>
      </c>
      <c r="N1094" s="4">
        <v>1046</v>
      </c>
    </row>
    <row r="1095" spans="1:14" ht="15" customHeight="1" x14ac:dyDescent="0.2">
      <c r="A1095" s="4" t="s">
        <v>3926</v>
      </c>
      <c r="B1095" s="6">
        <v>45086</v>
      </c>
      <c r="C1095" s="4" t="s">
        <v>3927</v>
      </c>
      <c r="D1095" s="4" t="s">
        <v>25</v>
      </c>
      <c r="E1095" s="4">
        <v>4</v>
      </c>
      <c r="F1095" s="4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4">
        <v>9</v>
      </c>
      <c r="L1095" s="4" t="s">
        <v>37</v>
      </c>
      <c r="M1095" s="4" t="s">
        <v>22</v>
      </c>
      <c r="N1095" s="4">
        <v>789.44</v>
      </c>
    </row>
    <row r="1096" spans="1:14" ht="15" customHeight="1" x14ac:dyDescent="0.2">
      <c r="A1096" s="4" t="s">
        <v>3930</v>
      </c>
      <c r="B1096" s="6">
        <v>45105</v>
      </c>
      <c r="C1096" s="4" t="s">
        <v>3931</v>
      </c>
      <c r="D1096" s="4" t="s">
        <v>48</v>
      </c>
      <c r="E1096" s="4">
        <v>4</v>
      </c>
      <c r="F1096" s="4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4">
        <v>6</v>
      </c>
      <c r="L1096" s="4" t="s">
        <v>21</v>
      </c>
      <c r="M1096" s="4" t="s">
        <v>22</v>
      </c>
      <c r="N1096" s="4">
        <v>2595.64</v>
      </c>
    </row>
    <row r="1097" spans="1:14" ht="15" customHeight="1" x14ac:dyDescent="0.2">
      <c r="A1097" s="4" t="s">
        <v>3934</v>
      </c>
      <c r="B1097" s="6">
        <v>45405</v>
      </c>
      <c r="C1097" s="4" t="s">
        <v>3935</v>
      </c>
      <c r="D1097" s="4" t="s">
        <v>25</v>
      </c>
      <c r="E1097" s="4">
        <v>2</v>
      </c>
      <c r="F1097" s="4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4">
        <v>2</v>
      </c>
      <c r="L1097" s="4" t="s">
        <v>21</v>
      </c>
      <c r="M1097" s="4" t="s">
        <v>38</v>
      </c>
      <c r="N1097" s="4">
        <v>883.08</v>
      </c>
    </row>
    <row r="1098" spans="1:14" ht="15" customHeight="1" x14ac:dyDescent="0.2">
      <c r="A1098" s="4" t="s">
        <v>3938</v>
      </c>
      <c r="B1098" s="6">
        <v>45780</v>
      </c>
      <c r="C1098" s="4" t="s">
        <v>3939</v>
      </c>
      <c r="D1098" s="4" t="s">
        <v>32</v>
      </c>
      <c r="E1098" s="4">
        <v>2</v>
      </c>
      <c r="F1098" s="4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4">
        <v>2</v>
      </c>
      <c r="M1098" s="4" t="s">
        <v>45</v>
      </c>
      <c r="N1098" s="4">
        <v>929.84</v>
      </c>
    </row>
    <row r="1099" spans="1:14" ht="15" customHeight="1" x14ac:dyDescent="0.2">
      <c r="A1099" s="4" t="s">
        <v>3942</v>
      </c>
      <c r="B1099" s="6">
        <v>45652</v>
      </c>
      <c r="C1099" s="4" t="s">
        <v>3943</v>
      </c>
      <c r="D1099" s="4" t="s">
        <v>16</v>
      </c>
      <c r="E1099" s="4">
        <v>5</v>
      </c>
      <c r="F1099" s="4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4">
        <v>7</v>
      </c>
      <c r="L1099" s="4" t="s">
        <v>81</v>
      </c>
      <c r="M1099" s="4" t="s">
        <v>76</v>
      </c>
      <c r="N1099" s="4">
        <v>2532.25</v>
      </c>
    </row>
    <row r="1100" spans="1:14" ht="15" customHeight="1" x14ac:dyDescent="0.2">
      <c r="A1100" s="4" t="s">
        <v>3946</v>
      </c>
      <c r="B1100" s="6">
        <v>45094</v>
      </c>
      <c r="C1100" s="4" t="s">
        <v>3947</v>
      </c>
      <c r="D1100" s="4" t="s">
        <v>16</v>
      </c>
      <c r="E1100" s="4">
        <v>4</v>
      </c>
      <c r="F1100" s="4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4">
        <v>7</v>
      </c>
      <c r="M1100" s="4" t="s">
        <v>38</v>
      </c>
      <c r="N1100" s="4">
        <v>1023.44</v>
      </c>
    </row>
    <row r="1101" spans="1:14" ht="15" customHeight="1" x14ac:dyDescent="0.2">
      <c r="A1101" s="4" t="s">
        <v>3950</v>
      </c>
      <c r="B1101" s="6">
        <v>45554</v>
      </c>
      <c r="C1101" s="4" t="s">
        <v>3951</v>
      </c>
      <c r="D1101" s="4" t="s">
        <v>58</v>
      </c>
      <c r="E1101" s="4">
        <v>2</v>
      </c>
      <c r="F1101" s="4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4">
        <v>3</v>
      </c>
      <c r="L1101" s="4" t="s">
        <v>37</v>
      </c>
      <c r="M1101" s="4" t="s">
        <v>38</v>
      </c>
      <c r="N1101" s="4">
        <v>250.46</v>
      </c>
    </row>
    <row r="1102" spans="1:14" ht="15" customHeight="1" x14ac:dyDescent="0.2">
      <c r="A1102" s="4" t="s">
        <v>3953</v>
      </c>
      <c r="B1102" s="6">
        <v>45155</v>
      </c>
      <c r="C1102" s="4" t="s">
        <v>3954</v>
      </c>
      <c r="D1102" s="4" t="s">
        <v>58</v>
      </c>
      <c r="E1102" s="4">
        <v>5</v>
      </c>
      <c r="F1102" s="4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4">
        <v>6</v>
      </c>
      <c r="L1102" s="4" t="s">
        <v>81</v>
      </c>
      <c r="M1102" s="4" t="s">
        <v>22</v>
      </c>
      <c r="N1102" s="4">
        <v>190.55</v>
      </c>
    </row>
    <row r="1103" spans="1:14" ht="15" customHeight="1" x14ac:dyDescent="0.2">
      <c r="A1103" s="4" t="s">
        <v>3957</v>
      </c>
      <c r="B1103" s="6">
        <v>45816</v>
      </c>
      <c r="C1103" s="4" t="s">
        <v>3958</v>
      </c>
      <c r="D1103" s="4" t="s">
        <v>16</v>
      </c>
      <c r="E1103" s="4">
        <v>3</v>
      </c>
      <c r="F1103" s="4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4">
        <v>4</v>
      </c>
      <c r="L1103" s="4" t="s">
        <v>21</v>
      </c>
      <c r="M1103" s="4" t="s">
        <v>38</v>
      </c>
      <c r="N1103" s="4">
        <v>485.91</v>
      </c>
    </row>
    <row r="1104" spans="1:14" ht="15" customHeight="1" x14ac:dyDescent="0.2">
      <c r="A1104" s="4" t="s">
        <v>3960</v>
      </c>
      <c r="B1104" s="6">
        <v>45446</v>
      </c>
      <c r="C1104" s="4" t="s">
        <v>96</v>
      </c>
      <c r="D1104" s="4" t="s">
        <v>41</v>
      </c>
      <c r="E1104" s="4">
        <v>4</v>
      </c>
      <c r="F1104" s="4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4">
        <v>8</v>
      </c>
      <c r="M1104" s="4" t="s">
        <v>22</v>
      </c>
      <c r="N1104" s="4">
        <v>1388.68</v>
      </c>
    </row>
    <row r="1105" spans="1:14" ht="15" customHeight="1" x14ac:dyDescent="0.2">
      <c r="A1105" s="4" t="s">
        <v>3962</v>
      </c>
      <c r="B1105" s="6">
        <v>45040</v>
      </c>
      <c r="C1105" s="4" t="s">
        <v>3963</v>
      </c>
      <c r="D1105" s="4" t="s">
        <v>58</v>
      </c>
      <c r="E1105" s="4">
        <v>4</v>
      </c>
      <c r="F1105" s="4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4">
        <v>5</v>
      </c>
      <c r="M1105" s="4" t="s">
        <v>76</v>
      </c>
      <c r="N1105" s="4">
        <v>1105.28</v>
      </c>
    </row>
    <row r="1106" spans="1:14" ht="15" customHeight="1" x14ac:dyDescent="0.2">
      <c r="A1106" s="4" t="s">
        <v>3965</v>
      </c>
      <c r="B1106" s="6">
        <v>45498</v>
      </c>
      <c r="C1106" s="4" t="s">
        <v>3966</v>
      </c>
      <c r="D1106" s="4" t="s">
        <v>32</v>
      </c>
      <c r="E1106" s="4">
        <v>4</v>
      </c>
      <c r="F1106" s="4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4">
        <v>8</v>
      </c>
      <c r="M1106" s="4" t="s">
        <v>22</v>
      </c>
      <c r="N1106" s="4">
        <v>1259.04</v>
      </c>
    </row>
    <row r="1107" spans="1:14" ht="15" customHeight="1" x14ac:dyDescent="0.2">
      <c r="A1107" s="4" t="s">
        <v>3969</v>
      </c>
      <c r="B1107" s="6">
        <v>45299</v>
      </c>
      <c r="C1107" s="4" t="s">
        <v>3970</v>
      </c>
      <c r="D1107" s="4" t="s">
        <v>32</v>
      </c>
      <c r="E1107" s="4">
        <v>3</v>
      </c>
      <c r="F1107" s="4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4">
        <v>3</v>
      </c>
      <c r="L1107" s="4" t="s">
        <v>37</v>
      </c>
      <c r="M1107" s="4" t="s">
        <v>76</v>
      </c>
      <c r="N1107" s="4">
        <v>1427.07</v>
      </c>
    </row>
    <row r="1108" spans="1:14" ht="15" customHeight="1" x14ac:dyDescent="0.2">
      <c r="A1108" s="4" t="s">
        <v>3972</v>
      </c>
      <c r="B1108" s="6">
        <v>44997</v>
      </c>
      <c r="C1108" s="4" t="s">
        <v>3973</v>
      </c>
      <c r="D1108" s="4" t="s">
        <v>41</v>
      </c>
      <c r="E1108" s="4">
        <v>1</v>
      </c>
      <c r="F1108" s="4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4">
        <v>6</v>
      </c>
      <c r="L1108" s="4" t="s">
        <v>21</v>
      </c>
      <c r="M1108" s="4" t="s">
        <v>45</v>
      </c>
      <c r="N1108" s="4">
        <v>372.8</v>
      </c>
    </row>
    <row r="1109" spans="1:14" ht="15" customHeight="1" x14ac:dyDescent="0.2">
      <c r="A1109" s="4" t="s">
        <v>3975</v>
      </c>
      <c r="B1109" s="6">
        <v>45838</v>
      </c>
      <c r="C1109" s="4" t="s">
        <v>3976</v>
      </c>
      <c r="D1109" s="4" t="s">
        <v>32</v>
      </c>
      <c r="E1109" s="4">
        <v>2</v>
      </c>
      <c r="F1109" s="4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4">
        <v>4</v>
      </c>
      <c r="L1109" s="4" t="s">
        <v>21</v>
      </c>
      <c r="M1109" s="4" t="s">
        <v>76</v>
      </c>
      <c r="N1109" s="4">
        <v>126.42</v>
      </c>
    </row>
    <row r="1110" spans="1:14" ht="15" customHeight="1" x14ac:dyDescent="0.2">
      <c r="A1110" s="4" t="s">
        <v>3978</v>
      </c>
      <c r="B1110" s="6">
        <v>45005</v>
      </c>
      <c r="C1110" s="4" t="s">
        <v>3979</v>
      </c>
      <c r="D1110" s="4" t="s">
        <v>58</v>
      </c>
      <c r="E1110" s="4">
        <v>1</v>
      </c>
      <c r="F1110" s="4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4">
        <v>5</v>
      </c>
      <c r="L1110" s="4" t="s">
        <v>81</v>
      </c>
      <c r="M1110" s="4" t="s">
        <v>22</v>
      </c>
      <c r="N1110" s="4">
        <v>634.94000000000005</v>
      </c>
    </row>
    <row r="1111" spans="1:14" ht="15" customHeight="1" x14ac:dyDescent="0.2">
      <c r="A1111" s="4" t="s">
        <v>3982</v>
      </c>
      <c r="B1111" s="6">
        <v>45390</v>
      </c>
      <c r="C1111" s="4" t="s">
        <v>3983</v>
      </c>
      <c r="D1111" s="4" t="s">
        <v>48</v>
      </c>
      <c r="E1111" s="4">
        <v>4</v>
      </c>
      <c r="F1111" s="4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4">
        <v>7</v>
      </c>
      <c r="L1111" s="4" t="s">
        <v>21</v>
      </c>
      <c r="M1111" s="4" t="s">
        <v>22</v>
      </c>
      <c r="N1111" s="4">
        <v>309.88</v>
      </c>
    </row>
    <row r="1112" spans="1:14" ht="15" customHeight="1" x14ac:dyDescent="0.2">
      <c r="A1112" s="4" t="s">
        <v>3985</v>
      </c>
      <c r="B1112" s="6">
        <v>45347</v>
      </c>
      <c r="C1112" s="4" t="s">
        <v>3986</v>
      </c>
      <c r="D1112" s="4" t="s">
        <v>41</v>
      </c>
      <c r="E1112" s="4">
        <v>3</v>
      </c>
      <c r="F1112" s="4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4">
        <v>3</v>
      </c>
      <c r="L1112" s="4" t="s">
        <v>21</v>
      </c>
      <c r="M1112" s="4" t="s">
        <v>38</v>
      </c>
      <c r="N1112" s="4">
        <v>252.93</v>
      </c>
    </row>
    <row r="1113" spans="1:14" ht="15" customHeight="1" x14ac:dyDescent="0.2">
      <c r="A1113" s="4" t="s">
        <v>3988</v>
      </c>
      <c r="B1113" s="6">
        <v>45052</v>
      </c>
      <c r="C1113" s="4" t="s">
        <v>3989</v>
      </c>
      <c r="D1113" s="4" t="s">
        <v>16</v>
      </c>
      <c r="E1113" s="4">
        <v>4</v>
      </c>
      <c r="F1113" s="4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4">
        <v>9</v>
      </c>
      <c r="L1113" s="4" t="s">
        <v>37</v>
      </c>
      <c r="M1113" s="4" t="s">
        <v>22</v>
      </c>
      <c r="N1113" s="4">
        <v>937.8</v>
      </c>
    </row>
    <row r="1114" spans="1:14" ht="15" customHeight="1" x14ac:dyDescent="0.2">
      <c r="A1114" s="4" t="s">
        <v>3992</v>
      </c>
      <c r="B1114" s="6">
        <v>45212</v>
      </c>
      <c r="C1114" s="4" t="s">
        <v>3993</v>
      </c>
      <c r="D1114" s="4" t="s">
        <v>73</v>
      </c>
      <c r="E1114" s="4">
        <v>1</v>
      </c>
      <c r="F1114" s="4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4">
        <v>1</v>
      </c>
      <c r="L1114" s="4" t="s">
        <v>81</v>
      </c>
      <c r="M1114" s="4" t="s">
        <v>22</v>
      </c>
      <c r="N1114" s="4">
        <v>356.81</v>
      </c>
    </row>
    <row r="1115" spans="1:14" ht="15" customHeight="1" x14ac:dyDescent="0.2">
      <c r="A1115" s="4" t="s">
        <v>3995</v>
      </c>
      <c r="B1115" s="6">
        <v>45004</v>
      </c>
      <c r="C1115" s="4" t="s">
        <v>3996</v>
      </c>
      <c r="D1115" s="4" t="s">
        <v>73</v>
      </c>
      <c r="E1115" s="4">
        <v>4</v>
      </c>
      <c r="F1115" s="4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4">
        <v>8</v>
      </c>
      <c r="M1115" s="4" t="s">
        <v>76</v>
      </c>
      <c r="N1115" s="4">
        <v>839.96</v>
      </c>
    </row>
    <row r="1116" spans="1:14" ht="15" customHeight="1" x14ac:dyDescent="0.2">
      <c r="A1116" s="4" t="s">
        <v>3998</v>
      </c>
      <c r="B1116" s="6">
        <v>45001</v>
      </c>
      <c r="C1116" s="4" t="s">
        <v>3999</v>
      </c>
      <c r="D1116" s="4" t="s">
        <v>32</v>
      </c>
      <c r="E1116" s="4">
        <v>3</v>
      </c>
      <c r="F1116" s="4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4">
        <v>3</v>
      </c>
      <c r="M1116" s="4" t="s">
        <v>76</v>
      </c>
      <c r="N1116" s="4">
        <v>1979.64</v>
      </c>
    </row>
    <row r="1117" spans="1:14" ht="15" customHeight="1" x14ac:dyDescent="0.2">
      <c r="A1117" s="4" t="s">
        <v>4001</v>
      </c>
      <c r="B1117" s="6">
        <v>45828</v>
      </c>
      <c r="C1117" s="4" t="s">
        <v>4002</v>
      </c>
      <c r="D1117" s="4" t="s">
        <v>58</v>
      </c>
      <c r="E1117" s="4">
        <v>2</v>
      </c>
      <c r="F1117" s="4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4">
        <v>3</v>
      </c>
      <c r="M1117" s="4" t="s">
        <v>76</v>
      </c>
      <c r="N1117" s="4">
        <v>672.64</v>
      </c>
    </row>
    <row r="1118" spans="1:14" ht="15" customHeight="1" x14ac:dyDescent="0.2">
      <c r="A1118" s="4" t="s">
        <v>4004</v>
      </c>
      <c r="B1118" s="6">
        <v>45213</v>
      </c>
      <c r="C1118" s="4" t="s">
        <v>4005</v>
      </c>
      <c r="D1118" s="4" t="s">
        <v>48</v>
      </c>
      <c r="E1118" s="4">
        <v>2</v>
      </c>
      <c r="F1118" s="4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4">
        <v>7</v>
      </c>
      <c r="L1118" s="4" t="s">
        <v>81</v>
      </c>
      <c r="M1118" s="4" t="s">
        <v>45</v>
      </c>
      <c r="N1118" s="4">
        <v>1062.98</v>
      </c>
    </row>
    <row r="1119" spans="1:14" ht="15" customHeight="1" x14ac:dyDescent="0.2">
      <c r="A1119" s="4" t="s">
        <v>4007</v>
      </c>
      <c r="B1119" s="6">
        <v>45432</v>
      </c>
      <c r="C1119" s="4" t="s">
        <v>4008</v>
      </c>
      <c r="D1119" s="4" t="s">
        <v>41</v>
      </c>
      <c r="E1119" s="4">
        <v>3</v>
      </c>
      <c r="F1119" s="4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4">
        <v>8</v>
      </c>
      <c r="L1119" s="4" t="s">
        <v>81</v>
      </c>
      <c r="M1119" s="4" t="s">
        <v>76</v>
      </c>
      <c r="N1119" s="4">
        <v>1765.32</v>
      </c>
    </row>
    <row r="1120" spans="1:14" ht="15" customHeight="1" x14ac:dyDescent="0.2">
      <c r="A1120" s="4" t="s">
        <v>4010</v>
      </c>
      <c r="B1120" s="6">
        <v>45436</v>
      </c>
      <c r="C1120" s="4" t="s">
        <v>4011</v>
      </c>
      <c r="D1120" s="4" t="s">
        <v>25</v>
      </c>
      <c r="E1120" s="4">
        <v>3</v>
      </c>
      <c r="F1120" s="4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4">
        <v>4</v>
      </c>
      <c r="M1120" s="4" t="s">
        <v>38</v>
      </c>
      <c r="N1120" s="4">
        <v>754.44</v>
      </c>
    </row>
    <row r="1121" spans="1:14" ht="15" customHeight="1" x14ac:dyDescent="0.2">
      <c r="A1121" s="4" t="s">
        <v>4013</v>
      </c>
      <c r="B1121" s="6">
        <v>45620</v>
      </c>
      <c r="C1121" s="4" t="s">
        <v>4014</v>
      </c>
      <c r="D1121" s="4" t="s">
        <v>58</v>
      </c>
      <c r="E1121" s="4">
        <v>1</v>
      </c>
      <c r="F1121" s="4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4">
        <v>1</v>
      </c>
      <c r="L1121" s="4" t="s">
        <v>37</v>
      </c>
      <c r="M1121" s="4" t="s">
        <v>38</v>
      </c>
      <c r="N1121" s="4">
        <v>684.65</v>
      </c>
    </row>
    <row r="1122" spans="1:14" ht="15" customHeight="1" x14ac:dyDescent="0.2">
      <c r="A1122" s="4" t="s">
        <v>4016</v>
      </c>
      <c r="B1122" s="6">
        <v>45787</v>
      </c>
      <c r="C1122" s="4" t="s">
        <v>4017</v>
      </c>
      <c r="D1122" s="4" t="s">
        <v>32</v>
      </c>
      <c r="E1122" s="4">
        <v>1</v>
      </c>
      <c r="F1122" s="4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4">
        <v>3</v>
      </c>
      <c r="M1122" s="4" t="s">
        <v>45</v>
      </c>
      <c r="N1122" s="4">
        <v>195.86</v>
      </c>
    </row>
    <row r="1123" spans="1:14" ht="15" customHeight="1" x14ac:dyDescent="0.2">
      <c r="A1123" s="4" t="s">
        <v>4019</v>
      </c>
      <c r="B1123" s="6">
        <v>45074</v>
      </c>
      <c r="C1123" s="4" t="s">
        <v>4020</v>
      </c>
      <c r="D1123" s="4" t="s">
        <v>25</v>
      </c>
      <c r="E1123" s="4">
        <v>3</v>
      </c>
      <c r="F1123" s="4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4">
        <v>3</v>
      </c>
      <c r="L1123" s="4" t="s">
        <v>37</v>
      </c>
      <c r="M1123" s="4" t="s">
        <v>22</v>
      </c>
      <c r="N1123" s="4">
        <v>151.02000000000001</v>
      </c>
    </row>
    <row r="1124" spans="1:14" ht="15" customHeight="1" x14ac:dyDescent="0.2">
      <c r="A1124" s="4" t="s">
        <v>4022</v>
      </c>
      <c r="B1124" s="6">
        <v>45084</v>
      </c>
      <c r="C1124" s="4" t="s">
        <v>1065</v>
      </c>
      <c r="D1124" s="4" t="s">
        <v>16</v>
      </c>
      <c r="E1124" s="4">
        <v>5</v>
      </c>
      <c r="F1124" s="4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4">
        <v>8</v>
      </c>
      <c r="M1124" s="4" t="s">
        <v>45</v>
      </c>
      <c r="N1124" s="4">
        <v>3390.95</v>
      </c>
    </row>
    <row r="1125" spans="1:14" ht="15" customHeight="1" x14ac:dyDescent="0.2">
      <c r="A1125" s="4" t="s">
        <v>4024</v>
      </c>
      <c r="B1125" s="6">
        <v>45030</v>
      </c>
      <c r="C1125" s="4" t="s">
        <v>4025</v>
      </c>
      <c r="D1125" s="4" t="s">
        <v>32</v>
      </c>
      <c r="E1125" s="4">
        <v>3</v>
      </c>
      <c r="F1125" s="4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4">
        <v>6</v>
      </c>
      <c r="L1125" s="4" t="s">
        <v>81</v>
      </c>
      <c r="M1125" s="4" t="s">
        <v>29</v>
      </c>
      <c r="N1125" s="4">
        <v>1662.75</v>
      </c>
    </row>
    <row r="1126" spans="1:14" ht="15" customHeight="1" x14ac:dyDescent="0.2">
      <c r="A1126" s="4" t="s">
        <v>4028</v>
      </c>
      <c r="B1126" s="6">
        <v>45055</v>
      </c>
      <c r="C1126" s="4" t="s">
        <v>4029</v>
      </c>
      <c r="D1126" s="4" t="s">
        <v>41</v>
      </c>
      <c r="E1126" s="4">
        <v>4</v>
      </c>
      <c r="F1126" s="4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4">
        <v>5</v>
      </c>
      <c r="M1126" s="4" t="s">
        <v>22</v>
      </c>
      <c r="N1126" s="4">
        <v>2307.48</v>
      </c>
    </row>
    <row r="1127" spans="1:14" ht="15" customHeight="1" x14ac:dyDescent="0.2">
      <c r="A1127" s="4" t="s">
        <v>4032</v>
      </c>
      <c r="B1127" s="6">
        <v>45215</v>
      </c>
      <c r="C1127" s="4" t="s">
        <v>4033</v>
      </c>
      <c r="D1127" s="4" t="s">
        <v>73</v>
      </c>
      <c r="E1127" s="4">
        <v>4</v>
      </c>
      <c r="F1127" s="4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4">
        <v>4</v>
      </c>
      <c r="L1127" s="4" t="s">
        <v>37</v>
      </c>
      <c r="M1127" s="4" t="s">
        <v>29</v>
      </c>
      <c r="N1127" s="4">
        <v>1633.44</v>
      </c>
    </row>
    <row r="1128" spans="1:14" ht="15" customHeight="1" x14ac:dyDescent="0.2">
      <c r="A1128" s="4" t="s">
        <v>4035</v>
      </c>
      <c r="B1128" s="6">
        <v>45495</v>
      </c>
      <c r="C1128" s="4" t="s">
        <v>4036</v>
      </c>
      <c r="D1128" s="4" t="s">
        <v>25</v>
      </c>
      <c r="E1128" s="4">
        <v>5</v>
      </c>
      <c r="F1128" s="4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4">
        <v>7</v>
      </c>
      <c r="L1128" s="4" t="s">
        <v>21</v>
      </c>
      <c r="M1128" s="4" t="s">
        <v>76</v>
      </c>
      <c r="N1128" s="4">
        <v>950.55</v>
      </c>
    </row>
    <row r="1129" spans="1:14" ht="15" customHeight="1" x14ac:dyDescent="0.2">
      <c r="A1129" s="4" t="s">
        <v>4039</v>
      </c>
      <c r="B1129" s="6">
        <v>45731</v>
      </c>
      <c r="C1129" s="4" t="s">
        <v>4040</v>
      </c>
      <c r="D1129" s="4" t="s">
        <v>48</v>
      </c>
      <c r="E1129" s="4">
        <v>3</v>
      </c>
      <c r="F1129" s="4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4">
        <v>6</v>
      </c>
      <c r="L1129" s="4" t="s">
        <v>21</v>
      </c>
      <c r="M1129" s="4" t="s">
        <v>38</v>
      </c>
      <c r="N1129" s="4">
        <v>1808.25</v>
      </c>
    </row>
    <row r="1130" spans="1:14" ht="15" customHeight="1" x14ac:dyDescent="0.2">
      <c r="A1130" s="4" t="s">
        <v>4042</v>
      </c>
      <c r="B1130" s="6">
        <v>45155</v>
      </c>
      <c r="C1130" s="4" t="s">
        <v>4043</v>
      </c>
      <c r="D1130" s="4" t="s">
        <v>16</v>
      </c>
      <c r="E1130" s="4">
        <v>3</v>
      </c>
      <c r="F1130" s="4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4">
        <v>5</v>
      </c>
      <c r="L1130" s="4" t="s">
        <v>81</v>
      </c>
      <c r="M1130" s="4" t="s">
        <v>76</v>
      </c>
      <c r="N1130" s="4">
        <v>1940.37</v>
      </c>
    </row>
    <row r="1131" spans="1:14" ht="15" customHeight="1" x14ac:dyDescent="0.2">
      <c r="A1131" s="4" t="s">
        <v>4045</v>
      </c>
      <c r="B1131" s="6">
        <v>45088</v>
      </c>
      <c r="C1131" s="4" t="s">
        <v>4046</v>
      </c>
      <c r="D1131" s="4" t="s">
        <v>41</v>
      </c>
      <c r="E1131" s="4">
        <v>4</v>
      </c>
      <c r="F1131" s="4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4">
        <v>8</v>
      </c>
      <c r="L1131" s="4" t="s">
        <v>37</v>
      </c>
      <c r="M1131" s="4" t="s">
        <v>22</v>
      </c>
      <c r="N1131" s="4">
        <v>1674.84</v>
      </c>
    </row>
    <row r="1132" spans="1:14" ht="15" customHeight="1" x14ac:dyDescent="0.2">
      <c r="A1132" s="4" t="s">
        <v>4048</v>
      </c>
      <c r="B1132" s="6">
        <v>45704</v>
      </c>
      <c r="C1132" s="4" t="s">
        <v>4049</v>
      </c>
      <c r="D1132" s="4" t="s">
        <v>58</v>
      </c>
      <c r="E1132" s="4">
        <v>2</v>
      </c>
      <c r="F1132" s="4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4">
        <v>5</v>
      </c>
      <c r="L1132" s="4" t="s">
        <v>37</v>
      </c>
      <c r="M1132" s="4" t="s">
        <v>22</v>
      </c>
      <c r="N1132" s="4">
        <v>646.9</v>
      </c>
    </row>
    <row r="1133" spans="1:14" ht="15" customHeight="1" x14ac:dyDescent="0.2">
      <c r="A1133" s="4" t="s">
        <v>4051</v>
      </c>
      <c r="B1133" s="6">
        <v>45491</v>
      </c>
      <c r="C1133" s="4" t="s">
        <v>4052</v>
      </c>
      <c r="D1133" s="4" t="s">
        <v>25</v>
      </c>
      <c r="E1133" s="4">
        <v>1</v>
      </c>
      <c r="F1133" s="4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4">
        <v>3</v>
      </c>
      <c r="L1133" s="4" t="s">
        <v>81</v>
      </c>
      <c r="M1133" s="4" t="s">
        <v>45</v>
      </c>
      <c r="N1133" s="4">
        <v>694.5</v>
      </c>
    </row>
    <row r="1134" spans="1:14" ht="15" customHeight="1" x14ac:dyDescent="0.2">
      <c r="A1134" s="4" t="s">
        <v>4054</v>
      </c>
      <c r="B1134" s="6">
        <v>45628</v>
      </c>
      <c r="C1134" s="4" t="s">
        <v>4055</v>
      </c>
      <c r="D1134" s="4" t="s">
        <v>41</v>
      </c>
      <c r="E1134" s="4">
        <v>2</v>
      </c>
      <c r="F1134" s="4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4">
        <v>4</v>
      </c>
      <c r="L1134" s="4" t="s">
        <v>21</v>
      </c>
      <c r="M1134" s="4" t="s">
        <v>38</v>
      </c>
      <c r="N1134" s="4">
        <v>674.64</v>
      </c>
    </row>
    <row r="1135" spans="1:14" ht="15" customHeight="1" x14ac:dyDescent="0.2">
      <c r="A1135" s="4" t="s">
        <v>4057</v>
      </c>
      <c r="B1135" s="6">
        <v>45391</v>
      </c>
      <c r="C1135" s="4" t="s">
        <v>4058</v>
      </c>
      <c r="D1135" s="4" t="s">
        <v>48</v>
      </c>
      <c r="E1135" s="4">
        <v>2</v>
      </c>
      <c r="F1135" s="4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4">
        <v>5</v>
      </c>
      <c r="L1135" s="4" t="s">
        <v>81</v>
      </c>
      <c r="M1135" s="4" t="s">
        <v>45</v>
      </c>
      <c r="N1135" s="4">
        <v>935.82</v>
      </c>
    </row>
    <row r="1136" spans="1:14" ht="15" customHeight="1" x14ac:dyDescent="0.2">
      <c r="A1136" s="4" t="s">
        <v>4060</v>
      </c>
      <c r="B1136" s="6">
        <v>45451</v>
      </c>
      <c r="C1136" s="4" t="s">
        <v>4061</v>
      </c>
      <c r="D1136" s="4" t="s">
        <v>73</v>
      </c>
      <c r="E1136" s="4">
        <v>4</v>
      </c>
      <c r="F1136" s="4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4">
        <v>4</v>
      </c>
      <c r="L1136" s="4" t="s">
        <v>81</v>
      </c>
      <c r="M1136" s="4" t="s">
        <v>45</v>
      </c>
      <c r="N1136" s="4">
        <v>153.12</v>
      </c>
    </row>
    <row r="1137" spans="1:14" ht="15" customHeight="1" x14ac:dyDescent="0.2">
      <c r="A1137" s="4" t="s">
        <v>4064</v>
      </c>
      <c r="B1137" s="6">
        <v>45288</v>
      </c>
      <c r="C1137" s="4" t="s">
        <v>4065</v>
      </c>
      <c r="D1137" s="4" t="s">
        <v>48</v>
      </c>
      <c r="E1137" s="4">
        <v>2</v>
      </c>
      <c r="F1137" s="4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4">
        <v>2</v>
      </c>
      <c r="L1137" s="4" t="s">
        <v>21</v>
      </c>
      <c r="M1137" s="4" t="s">
        <v>76</v>
      </c>
      <c r="N1137" s="4">
        <v>146.82</v>
      </c>
    </row>
    <row r="1138" spans="1:14" ht="15" customHeight="1" x14ac:dyDescent="0.2">
      <c r="A1138" s="4" t="s">
        <v>4067</v>
      </c>
      <c r="B1138" s="6">
        <v>45193</v>
      </c>
      <c r="C1138" s="4" t="s">
        <v>4068</v>
      </c>
      <c r="D1138" s="4" t="s">
        <v>32</v>
      </c>
      <c r="E1138" s="4">
        <v>3</v>
      </c>
      <c r="F1138" s="4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4">
        <v>4</v>
      </c>
      <c r="L1138" s="4" t="s">
        <v>81</v>
      </c>
      <c r="M1138" s="4" t="s">
        <v>45</v>
      </c>
      <c r="N1138" s="4">
        <v>2004.99</v>
      </c>
    </row>
    <row r="1139" spans="1:14" ht="15" customHeight="1" x14ac:dyDescent="0.2">
      <c r="A1139" s="4" t="s">
        <v>4070</v>
      </c>
      <c r="B1139" s="6">
        <v>45502</v>
      </c>
      <c r="C1139" s="4" t="s">
        <v>4071</v>
      </c>
      <c r="D1139" s="4" t="s">
        <v>48</v>
      </c>
      <c r="E1139" s="4">
        <v>4</v>
      </c>
      <c r="F1139" s="4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4">
        <v>5</v>
      </c>
      <c r="L1139" s="4" t="s">
        <v>81</v>
      </c>
      <c r="M1139" s="4" t="s">
        <v>22</v>
      </c>
      <c r="N1139" s="4">
        <v>1640.84</v>
      </c>
    </row>
    <row r="1140" spans="1:14" ht="15" customHeight="1" x14ac:dyDescent="0.2">
      <c r="A1140" s="4" t="s">
        <v>4074</v>
      </c>
      <c r="B1140" s="6">
        <v>45278</v>
      </c>
      <c r="C1140" s="4" t="s">
        <v>4075</v>
      </c>
      <c r="D1140" s="4" t="s">
        <v>73</v>
      </c>
      <c r="E1140" s="4">
        <v>4</v>
      </c>
      <c r="F1140" s="4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4">
        <v>4</v>
      </c>
      <c r="M1140" s="4" t="s">
        <v>22</v>
      </c>
      <c r="N1140" s="4">
        <v>1177.6400000000001</v>
      </c>
    </row>
    <row r="1141" spans="1:14" ht="15" customHeight="1" x14ac:dyDescent="0.2">
      <c r="A1141" s="4" t="s">
        <v>4077</v>
      </c>
      <c r="B1141" s="6">
        <v>45717</v>
      </c>
      <c r="C1141" s="4" t="s">
        <v>3789</v>
      </c>
      <c r="D1141" s="4" t="s">
        <v>41</v>
      </c>
      <c r="E1141" s="4">
        <v>3</v>
      </c>
      <c r="F1141" s="4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4">
        <v>4</v>
      </c>
      <c r="L1141" s="4" t="s">
        <v>37</v>
      </c>
      <c r="M1141" s="4" t="s">
        <v>38</v>
      </c>
      <c r="N1141" s="4">
        <v>1505.46</v>
      </c>
    </row>
    <row r="1142" spans="1:14" ht="15" customHeight="1" x14ac:dyDescent="0.2">
      <c r="A1142" s="4" t="s">
        <v>4079</v>
      </c>
      <c r="B1142" s="6">
        <v>45467</v>
      </c>
      <c r="C1142" s="4" t="s">
        <v>4080</v>
      </c>
      <c r="D1142" s="4" t="s">
        <v>48</v>
      </c>
      <c r="E1142" s="4">
        <v>2</v>
      </c>
      <c r="F1142" s="4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4">
        <v>3</v>
      </c>
      <c r="M1142" s="4" t="s">
        <v>29</v>
      </c>
      <c r="N1142" s="4">
        <v>1105.6600000000001</v>
      </c>
    </row>
    <row r="1143" spans="1:14" ht="15" customHeight="1" x14ac:dyDescent="0.2">
      <c r="A1143" s="4" t="s">
        <v>4082</v>
      </c>
      <c r="B1143" s="6">
        <v>45704</v>
      </c>
      <c r="C1143" s="4" t="s">
        <v>4083</v>
      </c>
      <c r="D1143" s="4" t="s">
        <v>41</v>
      </c>
      <c r="E1143" s="4">
        <v>3</v>
      </c>
      <c r="F1143" s="4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4">
        <v>6</v>
      </c>
      <c r="M1143" s="4" t="s">
        <v>38</v>
      </c>
      <c r="N1143" s="4">
        <v>1495.98</v>
      </c>
    </row>
    <row r="1144" spans="1:14" ht="15" customHeight="1" x14ac:dyDescent="0.2">
      <c r="A1144" s="4" t="s">
        <v>4085</v>
      </c>
      <c r="B1144" s="6">
        <v>45527</v>
      </c>
      <c r="C1144" s="4" t="s">
        <v>4086</v>
      </c>
      <c r="D1144" s="4" t="s">
        <v>25</v>
      </c>
      <c r="E1144" s="4">
        <v>4</v>
      </c>
      <c r="F1144" s="4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4">
        <v>8</v>
      </c>
      <c r="M1144" s="4" t="s">
        <v>38</v>
      </c>
      <c r="N1144" s="4">
        <v>2780.4</v>
      </c>
    </row>
    <row r="1145" spans="1:14" ht="15" customHeight="1" x14ac:dyDescent="0.2">
      <c r="A1145" s="4" t="s">
        <v>4089</v>
      </c>
      <c r="B1145" s="6">
        <v>45019</v>
      </c>
      <c r="C1145" s="4" t="s">
        <v>4090</v>
      </c>
      <c r="D1145" s="4" t="s">
        <v>41</v>
      </c>
      <c r="E1145" s="4">
        <v>1</v>
      </c>
      <c r="F1145" s="4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4">
        <v>5</v>
      </c>
      <c r="M1145" s="4" t="s">
        <v>38</v>
      </c>
      <c r="N1145" s="4">
        <v>381.61</v>
      </c>
    </row>
    <row r="1146" spans="1:14" ht="15" customHeight="1" x14ac:dyDescent="0.2">
      <c r="A1146" s="4" t="s">
        <v>4093</v>
      </c>
      <c r="B1146" s="6">
        <v>44973</v>
      </c>
      <c r="C1146" s="4" t="s">
        <v>4094</v>
      </c>
      <c r="D1146" s="4" t="s">
        <v>73</v>
      </c>
      <c r="E1146" s="4">
        <v>5</v>
      </c>
      <c r="F1146" s="4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4">
        <v>9</v>
      </c>
      <c r="M1146" s="4" t="s">
        <v>45</v>
      </c>
      <c r="N1146" s="4">
        <v>2539.6999999999998</v>
      </c>
    </row>
    <row r="1147" spans="1:14" ht="15" customHeight="1" x14ac:dyDescent="0.2">
      <c r="A1147" s="4" t="s">
        <v>4097</v>
      </c>
      <c r="B1147" s="6">
        <v>45789</v>
      </c>
      <c r="C1147" s="4" t="s">
        <v>4098</v>
      </c>
      <c r="D1147" s="4" t="s">
        <v>73</v>
      </c>
      <c r="E1147" s="4">
        <v>3</v>
      </c>
      <c r="F1147" s="4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4">
        <v>6</v>
      </c>
      <c r="L1147" s="4" t="s">
        <v>37</v>
      </c>
      <c r="M1147" s="4" t="s">
        <v>45</v>
      </c>
      <c r="N1147" s="4">
        <v>1714.59</v>
      </c>
    </row>
    <row r="1148" spans="1:14" ht="15" customHeight="1" x14ac:dyDescent="0.2">
      <c r="A1148" s="4" t="s">
        <v>4100</v>
      </c>
      <c r="B1148" s="6">
        <v>45568</v>
      </c>
      <c r="C1148" s="4" t="s">
        <v>4101</v>
      </c>
      <c r="D1148" s="4" t="s">
        <v>16</v>
      </c>
      <c r="E1148" s="4">
        <v>5</v>
      </c>
      <c r="F1148" s="4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4">
        <v>5</v>
      </c>
      <c r="L1148" s="4" t="s">
        <v>21</v>
      </c>
      <c r="M1148" s="4" t="s">
        <v>22</v>
      </c>
      <c r="N1148" s="4">
        <v>2107.1999999999998</v>
      </c>
    </row>
    <row r="1149" spans="1:14" ht="15" customHeight="1" x14ac:dyDescent="0.2">
      <c r="A1149" s="4" t="s">
        <v>4103</v>
      </c>
      <c r="B1149" s="6">
        <v>45659</v>
      </c>
      <c r="C1149" s="4" t="s">
        <v>4104</v>
      </c>
      <c r="D1149" s="4" t="s">
        <v>41</v>
      </c>
      <c r="E1149" s="4">
        <v>2</v>
      </c>
      <c r="F1149" s="4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4">
        <v>2</v>
      </c>
      <c r="L1149" s="4" t="s">
        <v>37</v>
      </c>
      <c r="M1149" s="4" t="s">
        <v>38</v>
      </c>
      <c r="N1149" s="4">
        <v>1176.5999999999999</v>
      </c>
    </row>
    <row r="1150" spans="1:14" ht="15" customHeight="1" x14ac:dyDescent="0.2">
      <c r="A1150" s="4" t="s">
        <v>4107</v>
      </c>
      <c r="B1150" s="6">
        <v>45468</v>
      </c>
      <c r="C1150" s="4" t="s">
        <v>4108</v>
      </c>
      <c r="D1150" s="4" t="s">
        <v>25</v>
      </c>
      <c r="E1150" s="4">
        <v>1</v>
      </c>
      <c r="F1150" s="4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4">
        <v>2</v>
      </c>
      <c r="L1150" s="4" t="s">
        <v>21</v>
      </c>
      <c r="M1150" s="4" t="s">
        <v>38</v>
      </c>
      <c r="N1150" s="4">
        <v>355.15</v>
      </c>
    </row>
    <row r="1151" spans="1:14" ht="15" customHeight="1" x14ac:dyDescent="0.2">
      <c r="A1151" s="4" t="s">
        <v>4111</v>
      </c>
      <c r="B1151" s="6">
        <v>45498</v>
      </c>
      <c r="C1151" s="4" t="s">
        <v>4112</v>
      </c>
      <c r="D1151" s="4" t="s">
        <v>41</v>
      </c>
      <c r="E1151" s="4">
        <v>2</v>
      </c>
      <c r="F1151" s="4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4">
        <v>6</v>
      </c>
      <c r="L1151" s="4" t="s">
        <v>37</v>
      </c>
      <c r="M1151" s="4" t="s">
        <v>22</v>
      </c>
      <c r="N1151" s="4">
        <v>1390.58</v>
      </c>
    </row>
    <row r="1152" spans="1:14" ht="15" customHeight="1" x14ac:dyDescent="0.2">
      <c r="A1152" s="4" t="s">
        <v>4115</v>
      </c>
      <c r="B1152" s="6">
        <v>44977</v>
      </c>
      <c r="C1152" s="4" t="s">
        <v>4116</v>
      </c>
      <c r="D1152" s="4" t="s">
        <v>73</v>
      </c>
      <c r="E1152" s="4">
        <v>4</v>
      </c>
      <c r="F1152" s="4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4">
        <v>8</v>
      </c>
      <c r="L1152" s="4" t="s">
        <v>21</v>
      </c>
      <c r="M1152" s="4" t="s">
        <v>29</v>
      </c>
      <c r="N1152" s="4">
        <v>1210.5999999999999</v>
      </c>
    </row>
    <row r="1153" spans="1:14" ht="15" customHeight="1" x14ac:dyDescent="0.2">
      <c r="A1153" s="4" t="s">
        <v>4118</v>
      </c>
      <c r="B1153" s="6">
        <v>44955</v>
      </c>
      <c r="C1153" s="4" t="s">
        <v>4119</v>
      </c>
      <c r="D1153" s="4" t="s">
        <v>41</v>
      </c>
      <c r="E1153" s="4">
        <v>2</v>
      </c>
      <c r="F1153" s="4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4">
        <v>4</v>
      </c>
      <c r="M1153" s="4" t="s">
        <v>76</v>
      </c>
      <c r="N1153" s="4">
        <v>1216.08</v>
      </c>
    </row>
    <row r="1154" spans="1:14" ht="15" customHeight="1" x14ac:dyDescent="0.2">
      <c r="A1154" s="4" t="s">
        <v>4122</v>
      </c>
      <c r="B1154" s="6">
        <v>45239</v>
      </c>
      <c r="C1154" s="4" t="s">
        <v>4123</v>
      </c>
      <c r="D1154" s="4" t="s">
        <v>32</v>
      </c>
      <c r="E1154" s="4">
        <v>2</v>
      </c>
      <c r="F1154" s="4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4">
        <v>7</v>
      </c>
      <c r="M1154" s="4" t="s">
        <v>29</v>
      </c>
      <c r="N1154" s="4">
        <v>688.36</v>
      </c>
    </row>
    <row r="1155" spans="1:14" ht="15" customHeight="1" x14ac:dyDescent="0.2">
      <c r="A1155" s="4" t="s">
        <v>4125</v>
      </c>
      <c r="B1155" s="6">
        <v>45642</v>
      </c>
      <c r="C1155" s="4" t="s">
        <v>4126</v>
      </c>
      <c r="D1155" s="4" t="s">
        <v>16</v>
      </c>
      <c r="E1155" s="4">
        <v>4</v>
      </c>
      <c r="F1155" s="4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4">
        <v>4</v>
      </c>
      <c r="M1155" s="4" t="s">
        <v>22</v>
      </c>
      <c r="N1155" s="4">
        <v>2786.84</v>
      </c>
    </row>
    <row r="1156" spans="1:14" ht="15" customHeight="1" x14ac:dyDescent="0.2">
      <c r="A1156" s="4" t="s">
        <v>4129</v>
      </c>
      <c r="B1156" s="6">
        <v>45819</v>
      </c>
      <c r="C1156" s="4" t="s">
        <v>4130</v>
      </c>
      <c r="D1156" s="4" t="s">
        <v>16</v>
      </c>
      <c r="E1156" s="4">
        <v>3</v>
      </c>
      <c r="F1156" s="4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4">
        <v>8</v>
      </c>
      <c r="L1156" s="4" t="s">
        <v>21</v>
      </c>
      <c r="M1156" s="4" t="s">
        <v>22</v>
      </c>
      <c r="N1156" s="4">
        <v>595.89</v>
      </c>
    </row>
    <row r="1157" spans="1:14" ht="15" customHeight="1" x14ac:dyDescent="0.2">
      <c r="A1157" s="4" t="s">
        <v>4132</v>
      </c>
      <c r="B1157" s="6">
        <v>45151</v>
      </c>
      <c r="C1157" s="4" t="s">
        <v>4133</v>
      </c>
      <c r="D1157" s="4" t="s">
        <v>48</v>
      </c>
      <c r="E1157" s="4">
        <v>4</v>
      </c>
      <c r="F1157" s="4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4">
        <v>6</v>
      </c>
      <c r="L1157" s="4" t="s">
        <v>37</v>
      </c>
      <c r="M1157" s="4" t="s">
        <v>45</v>
      </c>
      <c r="N1157" s="4">
        <v>2138.2800000000002</v>
      </c>
    </row>
    <row r="1158" spans="1:14" ht="15" customHeight="1" x14ac:dyDescent="0.2">
      <c r="A1158" s="4" t="s">
        <v>4135</v>
      </c>
      <c r="B1158" s="6">
        <v>45126</v>
      </c>
      <c r="C1158" s="4" t="s">
        <v>4136</v>
      </c>
      <c r="D1158" s="4" t="s">
        <v>58</v>
      </c>
      <c r="E1158" s="4">
        <v>4</v>
      </c>
      <c r="F1158" s="4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4">
        <v>9</v>
      </c>
      <c r="M1158" s="4" t="s">
        <v>29</v>
      </c>
      <c r="N1158" s="4">
        <v>2763.12</v>
      </c>
    </row>
    <row r="1159" spans="1:14" ht="15" customHeight="1" x14ac:dyDescent="0.2">
      <c r="A1159" s="4" t="s">
        <v>4138</v>
      </c>
      <c r="B1159" s="6">
        <v>45441</v>
      </c>
      <c r="C1159" s="4" t="s">
        <v>4139</v>
      </c>
      <c r="D1159" s="4" t="s">
        <v>16</v>
      </c>
      <c r="E1159" s="4">
        <v>3</v>
      </c>
      <c r="F1159" s="4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4">
        <v>5</v>
      </c>
      <c r="L1159" s="4" t="s">
        <v>37</v>
      </c>
      <c r="M1159" s="4" t="s">
        <v>76</v>
      </c>
      <c r="N1159" s="4">
        <v>904.65</v>
      </c>
    </row>
    <row r="1160" spans="1:14" ht="15" customHeight="1" x14ac:dyDescent="0.2">
      <c r="A1160" s="4" t="s">
        <v>4141</v>
      </c>
      <c r="B1160" s="6">
        <v>45036</v>
      </c>
      <c r="C1160" s="4" t="s">
        <v>4142</v>
      </c>
      <c r="D1160" s="4" t="s">
        <v>16</v>
      </c>
      <c r="E1160" s="4">
        <v>4</v>
      </c>
      <c r="F1160" s="4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4">
        <v>4</v>
      </c>
      <c r="L1160" s="4" t="s">
        <v>21</v>
      </c>
      <c r="M1160" s="4" t="s">
        <v>29</v>
      </c>
      <c r="N1160" s="4">
        <v>109.68</v>
      </c>
    </row>
    <row r="1161" spans="1:14" ht="15" customHeight="1" x14ac:dyDescent="0.2">
      <c r="A1161" s="4" t="s">
        <v>4144</v>
      </c>
      <c r="B1161" s="6">
        <v>45345</v>
      </c>
      <c r="C1161" s="4" t="s">
        <v>4145</v>
      </c>
      <c r="D1161" s="4" t="s">
        <v>73</v>
      </c>
      <c r="E1161" s="4">
        <v>4</v>
      </c>
      <c r="F1161" s="4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4">
        <v>8</v>
      </c>
      <c r="M1161" s="4" t="s">
        <v>22</v>
      </c>
      <c r="N1161" s="4">
        <v>1866.8</v>
      </c>
    </row>
    <row r="1162" spans="1:14" ht="15" customHeight="1" x14ac:dyDescent="0.2">
      <c r="A1162" s="4" t="s">
        <v>4147</v>
      </c>
      <c r="B1162" s="6">
        <v>45539</v>
      </c>
      <c r="C1162" s="4" t="s">
        <v>4148</v>
      </c>
      <c r="D1162" s="4" t="s">
        <v>73</v>
      </c>
      <c r="E1162" s="4">
        <v>1</v>
      </c>
      <c r="F1162" s="4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4">
        <v>5</v>
      </c>
      <c r="L1162" s="4" t="s">
        <v>21</v>
      </c>
      <c r="M1162" s="4" t="s">
        <v>38</v>
      </c>
      <c r="N1162" s="4">
        <v>541.64</v>
      </c>
    </row>
    <row r="1163" spans="1:14" ht="15" customHeight="1" x14ac:dyDescent="0.2">
      <c r="A1163" s="4" t="s">
        <v>4150</v>
      </c>
      <c r="B1163" s="6">
        <v>45215</v>
      </c>
      <c r="C1163" s="4" t="s">
        <v>4151</v>
      </c>
      <c r="D1163" s="4" t="s">
        <v>25</v>
      </c>
      <c r="E1163" s="4">
        <v>1</v>
      </c>
      <c r="F1163" s="4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4">
        <v>6</v>
      </c>
      <c r="L1163" s="4" t="s">
        <v>81</v>
      </c>
      <c r="M1163" s="4" t="s">
        <v>38</v>
      </c>
      <c r="N1163" s="4">
        <v>11.39</v>
      </c>
    </row>
    <row r="1164" spans="1:14" ht="15" customHeight="1" x14ac:dyDescent="0.2">
      <c r="A1164" s="4" t="s">
        <v>4153</v>
      </c>
      <c r="B1164" s="6">
        <v>45727</v>
      </c>
      <c r="C1164" s="4" t="s">
        <v>4154</v>
      </c>
      <c r="D1164" s="4" t="s">
        <v>25</v>
      </c>
      <c r="E1164" s="4">
        <v>2</v>
      </c>
      <c r="F1164" s="4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4">
        <v>3</v>
      </c>
      <c r="L1164" s="4" t="s">
        <v>81</v>
      </c>
      <c r="M1164" s="4" t="s">
        <v>29</v>
      </c>
      <c r="N1164" s="4">
        <v>448.74</v>
      </c>
    </row>
    <row r="1165" spans="1:14" ht="15" customHeight="1" x14ac:dyDescent="0.2">
      <c r="A1165" s="4" t="s">
        <v>4157</v>
      </c>
      <c r="B1165" s="6">
        <v>45454</v>
      </c>
      <c r="C1165" s="4" t="s">
        <v>4158</v>
      </c>
      <c r="D1165" s="4" t="s">
        <v>58</v>
      </c>
      <c r="E1165" s="4">
        <v>3</v>
      </c>
      <c r="F1165" s="4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4">
        <v>7</v>
      </c>
      <c r="L1165" s="4" t="s">
        <v>81</v>
      </c>
      <c r="M1165" s="4" t="s">
        <v>22</v>
      </c>
      <c r="N1165" s="4">
        <v>918.87</v>
      </c>
    </row>
    <row r="1166" spans="1:14" ht="15" customHeight="1" x14ac:dyDescent="0.2">
      <c r="A1166" s="4" t="s">
        <v>4161</v>
      </c>
      <c r="B1166" s="6">
        <v>45299</v>
      </c>
      <c r="C1166" s="4" t="s">
        <v>4162</v>
      </c>
      <c r="D1166" s="4" t="s">
        <v>32</v>
      </c>
      <c r="E1166" s="4">
        <v>5</v>
      </c>
      <c r="F1166" s="4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4">
        <v>6</v>
      </c>
      <c r="L1166" s="4" t="s">
        <v>81</v>
      </c>
      <c r="M1166" s="4" t="s">
        <v>38</v>
      </c>
      <c r="N1166" s="4">
        <v>1577.85</v>
      </c>
    </row>
    <row r="1167" spans="1:14" ht="15" customHeight="1" x14ac:dyDescent="0.2">
      <c r="A1167" s="4" t="s">
        <v>4164</v>
      </c>
      <c r="B1167" s="6">
        <v>45121</v>
      </c>
      <c r="C1167" s="4" t="s">
        <v>4165</v>
      </c>
      <c r="D1167" s="4" t="s">
        <v>41</v>
      </c>
      <c r="E1167" s="4">
        <v>3</v>
      </c>
      <c r="F1167" s="4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4">
        <v>3</v>
      </c>
      <c r="M1167" s="4" t="s">
        <v>76</v>
      </c>
      <c r="N1167" s="4">
        <v>671.37</v>
      </c>
    </row>
    <row r="1168" spans="1:14" ht="15" customHeight="1" x14ac:dyDescent="0.2">
      <c r="A1168" s="4" t="s">
        <v>4168</v>
      </c>
      <c r="B1168" s="6">
        <v>45138</v>
      </c>
      <c r="C1168" s="4" t="s">
        <v>4169</v>
      </c>
      <c r="D1168" s="4" t="s">
        <v>41</v>
      </c>
      <c r="E1168" s="4">
        <v>3</v>
      </c>
      <c r="F1168" s="4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4">
        <v>4</v>
      </c>
      <c r="L1168" s="4" t="s">
        <v>81</v>
      </c>
      <c r="M1168" s="4" t="s">
        <v>38</v>
      </c>
      <c r="N1168" s="4">
        <v>973.41</v>
      </c>
    </row>
    <row r="1169" spans="1:14" ht="15" customHeight="1" x14ac:dyDescent="0.2">
      <c r="A1169" s="4" t="s">
        <v>4171</v>
      </c>
      <c r="B1169" s="6">
        <v>45216</v>
      </c>
      <c r="C1169" s="4" t="s">
        <v>4172</v>
      </c>
      <c r="D1169" s="4" t="s">
        <v>48</v>
      </c>
      <c r="E1169" s="4">
        <v>2</v>
      </c>
      <c r="F1169" s="4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4">
        <v>5</v>
      </c>
      <c r="L1169" s="4" t="s">
        <v>37</v>
      </c>
      <c r="M1169" s="4" t="s">
        <v>45</v>
      </c>
      <c r="N1169" s="4">
        <v>185.74</v>
      </c>
    </row>
    <row r="1170" spans="1:14" ht="15" customHeight="1" x14ac:dyDescent="0.2">
      <c r="A1170" s="4" t="s">
        <v>4174</v>
      </c>
      <c r="B1170" s="6">
        <v>45024</v>
      </c>
      <c r="C1170" s="4" t="s">
        <v>4175</v>
      </c>
      <c r="D1170" s="4" t="s">
        <v>58</v>
      </c>
      <c r="E1170" s="4">
        <v>2</v>
      </c>
      <c r="F1170" s="4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4">
        <v>6</v>
      </c>
      <c r="L1170" s="4" t="s">
        <v>81</v>
      </c>
      <c r="M1170" s="4" t="s">
        <v>76</v>
      </c>
      <c r="N1170" s="4">
        <v>662.84</v>
      </c>
    </row>
    <row r="1171" spans="1:14" ht="15" customHeight="1" x14ac:dyDescent="0.2">
      <c r="A1171" s="4" t="s">
        <v>4178</v>
      </c>
      <c r="B1171" s="6">
        <v>45649</v>
      </c>
      <c r="C1171" s="4" t="s">
        <v>4179</v>
      </c>
      <c r="D1171" s="4" t="s">
        <v>41</v>
      </c>
      <c r="E1171" s="4">
        <v>1</v>
      </c>
      <c r="F1171" s="4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4">
        <v>2</v>
      </c>
      <c r="L1171" s="4" t="s">
        <v>21</v>
      </c>
      <c r="M1171" s="4" t="s">
        <v>22</v>
      </c>
      <c r="N1171" s="4">
        <v>525.42999999999995</v>
      </c>
    </row>
    <row r="1172" spans="1:14" ht="15" customHeight="1" x14ac:dyDescent="0.2">
      <c r="A1172" s="4" t="s">
        <v>4182</v>
      </c>
      <c r="B1172" s="6">
        <v>45141</v>
      </c>
      <c r="C1172" s="4" t="s">
        <v>4183</v>
      </c>
      <c r="D1172" s="4" t="s">
        <v>48</v>
      </c>
      <c r="E1172" s="4">
        <v>2</v>
      </c>
      <c r="F1172" s="4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4">
        <v>7</v>
      </c>
      <c r="L1172" s="4" t="s">
        <v>37</v>
      </c>
      <c r="M1172" s="4" t="s">
        <v>38</v>
      </c>
      <c r="N1172" s="4">
        <v>1394.38</v>
      </c>
    </row>
    <row r="1173" spans="1:14" ht="15" customHeight="1" x14ac:dyDescent="0.2">
      <c r="A1173" s="4" t="s">
        <v>4185</v>
      </c>
      <c r="B1173" s="6">
        <v>45166</v>
      </c>
      <c r="C1173" s="4" t="s">
        <v>4186</v>
      </c>
      <c r="D1173" s="4" t="s">
        <v>25</v>
      </c>
      <c r="E1173" s="4">
        <v>4</v>
      </c>
      <c r="F1173" s="4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4">
        <v>7</v>
      </c>
      <c r="L1173" s="4" t="s">
        <v>21</v>
      </c>
      <c r="M1173" s="4" t="s">
        <v>45</v>
      </c>
      <c r="N1173" s="4">
        <v>2073.6</v>
      </c>
    </row>
    <row r="1174" spans="1:14" ht="15" customHeight="1" x14ac:dyDescent="0.2">
      <c r="A1174" s="4" t="s">
        <v>4189</v>
      </c>
      <c r="B1174" s="6">
        <v>45692</v>
      </c>
      <c r="C1174" s="4" t="s">
        <v>4190</v>
      </c>
      <c r="D1174" s="4" t="s">
        <v>73</v>
      </c>
      <c r="E1174" s="4">
        <v>3</v>
      </c>
      <c r="F1174" s="4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4">
        <v>8</v>
      </c>
      <c r="M1174" s="4" t="s">
        <v>22</v>
      </c>
      <c r="N1174" s="4">
        <v>395.88</v>
      </c>
    </row>
    <row r="1175" spans="1:14" ht="15" customHeight="1" x14ac:dyDescent="0.2">
      <c r="A1175" s="4" t="s">
        <v>4192</v>
      </c>
      <c r="B1175" s="6">
        <v>45569</v>
      </c>
      <c r="C1175" s="4" t="s">
        <v>4193</v>
      </c>
      <c r="D1175" s="4" t="s">
        <v>16</v>
      </c>
      <c r="E1175" s="4">
        <v>1</v>
      </c>
      <c r="F1175" s="4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4">
        <v>4</v>
      </c>
      <c r="L1175" s="4" t="s">
        <v>37</v>
      </c>
      <c r="M1175" s="4" t="s">
        <v>38</v>
      </c>
      <c r="N1175" s="4">
        <v>208.36</v>
      </c>
    </row>
    <row r="1176" spans="1:14" ht="15" customHeight="1" x14ac:dyDescent="0.2">
      <c r="A1176" s="4" t="s">
        <v>4195</v>
      </c>
      <c r="B1176" s="6">
        <v>45257</v>
      </c>
      <c r="C1176" s="4" t="s">
        <v>4196</v>
      </c>
      <c r="D1176" s="4" t="s">
        <v>48</v>
      </c>
      <c r="E1176" s="4">
        <v>3</v>
      </c>
      <c r="F1176" s="4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4">
        <v>5</v>
      </c>
      <c r="L1176" s="4" t="s">
        <v>81</v>
      </c>
      <c r="M1176" s="4" t="s">
        <v>38</v>
      </c>
      <c r="N1176" s="4">
        <v>667.02</v>
      </c>
    </row>
    <row r="1177" spans="1:14" ht="15" customHeight="1" x14ac:dyDescent="0.2">
      <c r="A1177" s="4" t="s">
        <v>4199</v>
      </c>
      <c r="B1177" s="6">
        <v>45545</v>
      </c>
      <c r="C1177" s="4" t="s">
        <v>4200</v>
      </c>
      <c r="D1177" s="4" t="s">
        <v>48</v>
      </c>
      <c r="E1177" s="4">
        <v>3</v>
      </c>
      <c r="F1177" s="4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4">
        <v>8</v>
      </c>
      <c r="L1177" s="4" t="s">
        <v>37</v>
      </c>
      <c r="M1177" s="4" t="s">
        <v>29</v>
      </c>
      <c r="N1177" s="4">
        <v>275.22000000000003</v>
      </c>
    </row>
    <row r="1178" spans="1:14" ht="15" customHeight="1" x14ac:dyDescent="0.2">
      <c r="A1178" s="4" t="s">
        <v>4202</v>
      </c>
      <c r="B1178" s="6">
        <v>45151</v>
      </c>
      <c r="C1178" s="4" t="s">
        <v>4203</v>
      </c>
      <c r="D1178" s="4" t="s">
        <v>32</v>
      </c>
      <c r="E1178" s="4">
        <v>2</v>
      </c>
      <c r="F1178" s="4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4">
        <v>2</v>
      </c>
      <c r="L1178" s="4" t="s">
        <v>81</v>
      </c>
      <c r="M1178" s="4" t="s">
        <v>38</v>
      </c>
      <c r="N1178" s="4">
        <v>427.66</v>
      </c>
    </row>
    <row r="1179" spans="1:14" ht="15" customHeight="1" x14ac:dyDescent="0.2">
      <c r="A1179" s="4" t="s">
        <v>4206</v>
      </c>
      <c r="B1179" s="6">
        <v>45043</v>
      </c>
      <c r="C1179" s="4" t="s">
        <v>4207</v>
      </c>
      <c r="D1179" s="4" t="s">
        <v>48</v>
      </c>
      <c r="E1179" s="4">
        <v>1</v>
      </c>
      <c r="F1179" s="4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4">
        <v>3</v>
      </c>
      <c r="L1179" s="4" t="s">
        <v>21</v>
      </c>
      <c r="M1179" s="4" t="s">
        <v>29</v>
      </c>
      <c r="N1179" s="4">
        <v>127.55</v>
      </c>
    </row>
    <row r="1180" spans="1:14" ht="15" customHeight="1" x14ac:dyDescent="0.2">
      <c r="A1180" s="4" t="s">
        <v>4209</v>
      </c>
      <c r="B1180" s="6">
        <v>45543</v>
      </c>
      <c r="C1180" s="4" t="s">
        <v>4210</v>
      </c>
      <c r="D1180" s="4" t="s">
        <v>16</v>
      </c>
      <c r="E1180" s="4">
        <v>1</v>
      </c>
      <c r="F1180" s="4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4">
        <v>4</v>
      </c>
      <c r="L1180" s="4" t="s">
        <v>37</v>
      </c>
      <c r="M1180" s="4" t="s">
        <v>76</v>
      </c>
      <c r="N1180" s="4">
        <v>70.239999999999995</v>
      </c>
    </row>
    <row r="1181" spans="1:14" ht="15" customHeight="1" x14ac:dyDescent="0.2">
      <c r="A1181" s="4" t="s">
        <v>4212</v>
      </c>
      <c r="B1181" s="6">
        <v>44934</v>
      </c>
      <c r="C1181" s="4" t="s">
        <v>4213</v>
      </c>
      <c r="D1181" s="4" t="s">
        <v>58</v>
      </c>
      <c r="E1181" s="4">
        <v>5</v>
      </c>
      <c r="F1181" s="4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4">
        <v>6</v>
      </c>
      <c r="L1181" s="4" t="s">
        <v>81</v>
      </c>
      <c r="M1181" s="4" t="s">
        <v>22</v>
      </c>
      <c r="N1181" s="4">
        <v>2592.75</v>
      </c>
    </row>
    <row r="1182" spans="1:14" ht="15" customHeight="1" x14ac:dyDescent="0.2">
      <c r="A1182" s="4" t="s">
        <v>4215</v>
      </c>
      <c r="B1182" s="6">
        <v>45230</v>
      </c>
      <c r="C1182" s="4" t="s">
        <v>4216</v>
      </c>
      <c r="D1182" s="4" t="s">
        <v>41</v>
      </c>
      <c r="E1182" s="4">
        <v>4</v>
      </c>
      <c r="F1182" s="4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4">
        <v>8</v>
      </c>
      <c r="L1182" s="4" t="s">
        <v>37</v>
      </c>
      <c r="M1182" s="4" t="s">
        <v>76</v>
      </c>
      <c r="N1182" s="4">
        <v>1193.44</v>
      </c>
    </row>
    <row r="1183" spans="1:14" ht="15" customHeight="1" x14ac:dyDescent="0.2">
      <c r="A1183" s="4" t="s">
        <v>4218</v>
      </c>
      <c r="B1183" s="6">
        <v>45134</v>
      </c>
      <c r="C1183" s="4" t="s">
        <v>4219</v>
      </c>
      <c r="D1183" s="4" t="s">
        <v>73</v>
      </c>
      <c r="E1183" s="4">
        <v>3</v>
      </c>
      <c r="F1183" s="4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4">
        <v>7</v>
      </c>
      <c r="L1183" s="4" t="s">
        <v>37</v>
      </c>
      <c r="M1183" s="4" t="s">
        <v>22</v>
      </c>
      <c r="N1183" s="4">
        <v>476.22</v>
      </c>
    </row>
    <row r="1184" spans="1:14" ht="15" customHeight="1" x14ac:dyDescent="0.2">
      <c r="A1184" s="4" t="s">
        <v>4221</v>
      </c>
      <c r="B1184" s="6">
        <v>45822</v>
      </c>
      <c r="C1184" s="4" t="s">
        <v>4222</v>
      </c>
      <c r="D1184" s="4" t="s">
        <v>41</v>
      </c>
      <c r="E1184" s="4">
        <v>2</v>
      </c>
      <c r="F1184" s="4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4">
        <v>3</v>
      </c>
      <c r="L1184" s="4" t="s">
        <v>21</v>
      </c>
      <c r="M1184" s="4" t="s">
        <v>76</v>
      </c>
      <c r="N1184" s="4">
        <v>840.58</v>
      </c>
    </row>
    <row r="1185" spans="1:14" ht="15" customHeight="1" x14ac:dyDescent="0.2">
      <c r="A1185" s="4" t="s">
        <v>4224</v>
      </c>
      <c r="B1185" s="6">
        <v>45021</v>
      </c>
      <c r="C1185" s="4" t="s">
        <v>4225</v>
      </c>
      <c r="D1185" s="4" t="s">
        <v>73</v>
      </c>
      <c r="E1185" s="4">
        <v>1</v>
      </c>
      <c r="F1185" s="4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4">
        <v>6</v>
      </c>
      <c r="L1185" s="4" t="s">
        <v>81</v>
      </c>
      <c r="M1185" s="4" t="s">
        <v>29</v>
      </c>
      <c r="N1185" s="4">
        <v>281.52</v>
      </c>
    </row>
    <row r="1186" spans="1:14" ht="15" customHeight="1" x14ac:dyDescent="0.2">
      <c r="A1186" s="4" t="s">
        <v>4227</v>
      </c>
      <c r="B1186" s="6">
        <v>45196</v>
      </c>
      <c r="C1186" s="4" t="s">
        <v>4228</v>
      </c>
      <c r="D1186" s="4" t="s">
        <v>58</v>
      </c>
      <c r="E1186" s="4">
        <v>1</v>
      </c>
      <c r="F1186" s="4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4">
        <v>4</v>
      </c>
      <c r="M1186" s="4" t="s">
        <v>76</v>
      </c>
      <c r="N1186" s="4">
        <v>204.08</v>
      </c>
    </row>
    <row r="1187" spans="1:14" ht="15" customHeight="1" x14ac:dyDescent="0.2">
      <c r="A1187" s="4" t="s">
        <v>4230</v>
      </c>
      <c r="B1187" s="6">
        <v>45481</v>
      </c>
      <c r="C1187" s="4" t="s">
        <v>4231</v>
      </c>
      <c r="D1187" s="4" t="s">
        <v>41</v>
      </c>
      <c r="E1187" s="4">
        <v>1</v>
      </c>
      <c r="F1187" s="4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4">
        <v>6</v>
      </c>
      <c r="L1187" s="4" t="s">
        <v>21</v>
      </c>
      <c r="M1187" s="4" t="s">
        <v>76</v>
      </c>
      <c r="N1187" s="4">
        <v>343.31</v>
      </c>
    </row>
    <row r="1188" spans="1:14" ht="15" customHeight="1" x14ac:dyDescent="0.2">
      <c r="A1188" s="4" t="s">
        <v>4234</v>
      </c>
      <c r="B1188" s="6">
        <v>45248</v>
      </c>
      <c r="C1188" s="4" t="s">
        <v>4235</v>
      </c>
      <c r="D1188" s="4" t="s">
        <v>16</v>
      </c>
      <c r="E1188" s="4">
        <v>1</v>
      </c>
      <c r="F1188" s="4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4">
        <v>6</v>
      </c>
      <c r="L1188" s="4" t="s">
        <v>81</v>
      </c>
      <c r="M1188" s="4" t="s">
        <v>45</v>
      </c>
      <c r="N1188" s="4">
        <v>163.32</v>
      </c>
    </row>
    <row r="1189" spans="1:14" ht="15" customHeight="1" x14ac:dyDescent="0.2">
      <c r="A1189" s="4" t="s">
        <v>4238</v>
      </c>
      <c r="B1189" s="6">
        <v>45364</v>
      </c>
      <c r="C1189" s="4" t="s">
        <v>4239</v>
      </c>
      <c r="D1189" s="4" t="s">
        <v>73</v>
      </c>
      <c r="E1189" s="4">
        <v>2</v>
      </c>
      <c r="F1189" s="4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4">
        <v>7</v>
      </c>
      <c r="L1189" s="4" t="s">
        <v>81</v>
      </c>
      <c r="M1189" s="4" t="s">
        <v>38</v>
      </c>
      <c r="N1189" s="4">
        <v>369.2</v>
      </c>
    </row>
    <row r="1190" spans="1:14" ht="15" customHeight="1" x14ac:dyDescent="0.2">
      <c r="A1190" s="4" t="s">
        <v>4241</v>
      </c>
      <c r="B1190" s="6">
        <v>45206</v>
      </c>
      <c r="C1190" s="4" t="s">
        <v>4242</v>
      </c>
      <c r="D1190" s="4" t="s">
        <v>48</v>
      </c>
      <c r="E1190" s="4">
        <v>2</v>
      </c>
      <c r="F1190" s="4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4">
        <v>5</v>
      </c>
      <c r="L1190" s="4" t="s">
        <v>81</v>
      </c>
      <c r="M1190" s="4" t="s">
        <v>45</v>
      </c>
      <c r="N1190" s="4">
        <v>742.58</v>
      </c>
    </row>
    <row r="1191" spans="1:14" ht="15" customHeight="1" x14ac:dyDescent="0.2">
      <c r="A1191" s="4" t="s">
        <v>4245</v>
      </c>
      <c r="B1191" s="6">
        <v>45521</v>
      </c>
      <c r="C1191" s="4" t="s">
        <v>4246</v>
      </c>
      <c r="D1191" s="4" t="s">
        <v>32</v>
      </c>
      <c r="E1191" s="4">
        <v>5</v>
      </c>
      <c r="F1191" s="4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4">
        <v>7</v>
      </c>
      <c r="M1191" s="4" t="s">
        <v>29</v>
      </c>
      <c r="N1191" s="4">
        <v>1946.1</v>
      </c>
    </row>
    <row r="1192" spans="1:14" ht="15" customHeight="1" x14ac:dyDescent="0.2">
      <c r="A1192" s="4" t="s">
        <v>4249</v>
      </c>
      <c r="B1192" s="6">
        <v>45816</v>
      </c>
      <c r="C1192" s="4" t="s">
        <v>4250</v>
      </c>
      <c r="D1192" s="4" t="s">
        <v>73</v>
      </c>
      <c r="E1192" s="4">
        <v>3</v>
      </c>
      <c r="F1192" s="4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4">
        <v>6</v>
      </c>
      <c r="L1192" s="4" t="s">
        <v>37</v>
      </c>
      <c r="M1192" s="4" t="s">
        <v>22</v>
      </c>
      <c r="N1192" s="4">
        <v>1849.17</v>
      </c>
    </row>
    <row r="1193" spans="1:14" ht="15" customHeight="1" x14ac:dyDescent="0.2">
      <c r="A1193" s="4" t="s">
        <v>4253</v>
      </c>
      <c r="B1193" s="6">
        <v>45698</v>
      </c>
      <c r="C1193" s="4" t="s">
        <v>4254</v>
      </c>
      <c r="D1193" s="4" t="s">
        <v>73</v>
      </c>
      <c r="E1193" s="4">
        <v>4</v>
      </c>
      <c r="F1193" s="4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4">
        <v>5</v>
      </c>
      <c r="L1193" s="4" t="s">
        <v>81</v>
      </c>
      <c r="M1193" s="4" t="s">
        <v>22</v>
      </c>
      <c r="N1193" s="4">
        <v>1505.72</v>
      </c>
    </row>
    <row r="1194" spans="1:14" ht="15" customHeight="1" x14ac:dyDescent="0.2">
      <c r="A1194" s="4" t="s">
        <v>4256</v>
      </c>
      <c r="B1194" s="6">
        <v>45350</v>
      </c>
      <c r="C1194" s="4" t="s">
        <v>4257</v>
      </c>
      <c r="D1194" s="4" t="s">
        <v>41</v>
      </c>
      <c r="E1194" s="4">
        <v>3</v>
      </c>
      <c r="F1194" s="4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4">
        <v>4</v>
      </c>
      <c r="M1194" s="4" t="s">
        <v>22</v>
      </c>
      <c r="N1194" s="4">
        <v>1298.55</v>
      </c>
    </row>
    <row r="1195" spans="1:14" ht="15" customHeight="1" x14ac:dyDescent="0.2">
      <c r="A1195" s="4" t="s">
        <v>4259</v>
      </c>
      <c r="B1195" s="6">
        <v>45824</v>
      </c>
      <c r="C1195" s="4" t="s">
        <v>4260</v>
      </c>
      <c r="D1195" s="4" t="s">
        <v>32</v>
      </c>
      <c r="E1195" s="4">
        <v>1</v>
      </c>
      <c r="F1195" s="4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4">
        <v>1</v>
      </c>
      <c r="L1195" s="4" t="s">
        <v>37</v>
      </c>
      <c r="M1195" s="4" t="s">
        <v>38</v>
      </c>
      <c r="N1195" s="4">
        <v>687.89</v>
      </c>
    </row>
    <row r="1196" spans="1:14" ht="15" customHeight="1" x14ac:dyDescent="0.2">
      <c r="A1196" s="4" t="s">
        <v>4262</v>
      </c>
      <c r="B1196" s="6">
        <v>45249</v>
      </c>
      <c r="C1196" s="4" t="s">
        <v>4263</v>
      </c>
      <c r="D1196" s="4" t="s">
        <v>48</v>
      </c>
      <c r="E1196" s="4">
        <v>3</v>
      </c>
      <c r="F1196" s="4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4">
        <v>4</v>
      </c>
      <c r="L1196" s="4" t="s">
        <v>37</v>
      </c>
      <c r="M1196" s="4" t="s">
        <v>38</v>
      </c>
      <c r="N1196" s="4">
        <v>568.32000000000005</v>
      </c>
    </row>
    <row r="1197" spans="1:14" ht="15" customHeight="1" x14ac:dyDescent="0.2">
      <c r="A1197" s="4" t="s">
        <v>4265</v>
      </c>
      <c r="B1197" s="6">
        <v>45463</v>
      </c>
      <c r="C1197" s="4" t="s">
        <v>4266</v>
      </c>
      <c r="D1197" s="4" t="s">
        <v>73</v>
      </c>
      <c r="E1197" s="4">
        <v>1</v>
      </c>
      <c r="F1197" s="4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4">
        <v>6</v>
      </c>
      <c r="L1197" s="4" t="s">
        <v>37</v>
      </c>
      <c r="M1197" s="4" t="s">
        <v>76</v>
      </c>
      <c r="N1197" s="4">
        <v>107.04</v>
      </c>
    </row>
    <row r="1198" spans="1:14" ht="15" customHeight="1" x14ac:dyDescent="0.2">
      <c r="A1198" s="4" t="s">
        <v>4269</v>
      </c>
      <c r="B1198" s="6">
        <v>45355</v>
      </c>
      <c r="C1198" s="4" t="s">
        <v>4270</v>
      </c>
      <c r="D1198" s="4" t="s">
        <v>16</v>
      </c>
      <c r="E1198" s="4">
        <v>2</v>
      </c>
      <c r="F1198" s="4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4">
        <v>5</v>
      </c>
      <c r="M1198" s="4" t="s">
        <v>45</v>
      </c>
      <c r="N1198" s="4">
        <v>1325.06</v>
      </c>
    </row>
    <row r="1199" spans="1:14" ht="15" customHeight="1" x14ac:dyDescent="0.2">
      <c r="A1199" s="4" t="s">
        <v>4272</v>
      </c>
      <c r="B1199" s="6">
        <v>45120</v>
      </c>
      <c r="C1199" s="4" t="s">
        <v>4273</v>
      </c>
      <c r="D1199" s="4" t="s">
        <v>32</v>
      </c>
      <c r="E1199" s="4">
        <v>2</v>
      </c>
      <c r="F1199" s="4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4">
        <v>2</v>
      </c>
      <c r="L1199" s="4" t="s">
        <v>37</v>
      </c>
      <c r="M1199" s="4" t="s">
        <v>22</v>
      </c>
      <c r="N1199" s="4">
        <v>873.68</v>
      </c>
    </row>
    <row r="1200" spans="1:14" ht="15" customHeight="1" x14ac:dyDescent="0.2">
      <c r="A1200" s="4" t="s">
        <v>4275</v>
      </c>
      <c r="B1200" s="6">
        <v>45526</v>
      </c>
      <c r="C1200" s="4" t="s">
        <v>4276</v>
      </c>
      <c r="D1200" s="4" t="s">
        <v>41</v>
      </c>
      <c r="E1200" s="4">
        <v>4</v>
      </c>
      <c r="F1200" s="4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4">
        <v>4</v>
      </c>
      <c r="L1200" s="4" t="s">
        <v>81</v>
      </c>
      <c r="M1200" s="4" t="s">
        <v>22</v>
      </c>
      <c r="N1200" s="4">
        <v>1050.08</v>
      </c>
    </row>
    <row r="1201" spans="1:14" ht="15" customHeight="1" x14ac:dyDescent="0.2">
      <c r="A1201" s="4" t="s">
        <v>4279</v>
      </c>
      <c r="B1201" s="6">
        <v>45088</v>
      </c>
      <c r="C1201" s="4" t="s">
        <v>4280</v>
      </c>
      <c r="D1201" s="4" t="s">
        <v>32</v>
      </c>
      <c r="E1201" s="4">
        <v>4</v>
      </c>
      <c r="F1201" s="4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4">
        <v>6</v>
      </c>
      <c r="L1201" s="4" t="s">
        <v>21</v>
      </c>
      <c r="M1201" s="4" t="s">
        <v>29</v>
      </c>
      <c r="N1201" s="4">
        <v>2242.3200000000002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2" width="11.97265625" style="4" customWidth="1"/>
    <col min="3" max="3" width="11.02734375" style="4" customWidth="1"/>
    <col min="4" max="5" width="9.01171875" style="4" customWidth="1"/>
    <col min="6" max="6" width="9.953125" style="4" customWidth="1"/>
    <col min="7" max="7" width="16.0078125" style="4" customWidth="1"/>
    <col min="8" max="8" width="13.046875" style="4" customWidth="1"/>
    <col min="9" max="9" width="11.02734375" style="4" customWidth="1"/>
    <col min="10" max="10" width="13.046875" style="4" customWidth="1"/>
    <col min="11" max="12" width="11.02734375" style="4" customWidth="1"/>
    <col min="13" max="13" width="13.98828125" style="4" customWidth="1"/>
    <col min="14" max="14" width="11.02734375" style="4" customWidth="1"/>
  </cols>
  <sheetData>
    <row r="1" spans="1:14" ht="1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5" customHeight="1" x14ac:dyDescent="0.2">
      <c r="A2" s="4" t="str">
        <f>'Raw Data'!A2</f>
        <v>ORD200000</v>
      </c>
      <c r="B2" s="6">
        <f>'Raw Data'!B2</f>
        <v>44930</v>
      </c>
      <c r="C2" s="4" t="str">
        <f>'Raw Data'!C2</f>
        <v>C72649</v>
      </c>
      <c r="D2" s="4" t="str">
        <f>'Raw Data'!D2</f>
        <v>Monitor</v>
      </c>
      <c r="E2" s="4">
        <f>'Raw Data'!E2</f>
        <v>5</v>
      </c>
      <c r="F2" s="4">
        <f>'Raw Data'!F2</f>
        <v>570.62</v>
      </c>
      <c r="G2" s="4" t="str">
        <f>'Raw Data'!G2</f>
        <v>928 Main St</v>
      </c>
      <c r="H2" s="4" t="str">
        <f>'Raw Data'!H2</f>
        <v>Debit Card</v>
      </c>
      <c r="I2" s="4" t="str">
        <f>'Raw Data'!I2</f>
        <v>Shipped</v>
      </c>
      <c r="J2" s="4" t="str">
        <f>'Raw Data'!J2</f>
        <v>TRK37947903</v>
      </c>
      <c r="K2" s="4">
        <f>'Raw Data'!K2</f>
        <v>7</v>
      </c>
      <c r="L2" s="4" t="str">
        <f>IF('Raw Data'!L2="","No Coupon",'Raw Data'!L2)</f>
        <v>SAVE10</v>
      </c>
      <c r="M2" s="4" t="str">
        <f>'Raw Data'!M2</f>
        <v>Instagram</v>
      </c>
      <c r="N2" s="4">
        <f>'Raw Data'!N2</f>
        <v>2853.1</v>
      </c>
    </row>
    <row r="3" spans="1:14" ht="15" customHeight="1" x14ac:dyDescent="0.2">
      <c r="A3" s="4" t="str">
        <f>'Raw Data'!A3</f>
        <v>ORD200001</v>
      </c>
      <c r="B3" s="6">
        <f>'Raw Data'!B3</f>
        <v>45527</v>
      </c>
      <c r="C3" s="4" t="str">
        <f>'Raw Data'!C3</f>
        <v>C75739</v>
      </c>
      <c r="D3" s="4" t="str">
        <f>'Raw Data'!D3</f>
        <v>Phone</v>
      </c>
      <c r="E3" s="4">
        <f>'Raw Data'!E3</f>
        <v>2</v>
      </c>
      <c r="F3" s="4">
        <f>'Raw Data'!F3</f>
        <v>151.35</v>
      </c>
      <c r="G3" s="4" t="str">
        <f>'Raw Data'!G3</f>
        <v>823 Main St</v>
      </c>
      <c r="H3" s="4" t="str">
        <f>'Raw Data'!H3</f>
        <v>Online</v>
      </c>
      <c r="I3" s="4" t="str">
        <f>'Raw Data'!I3</f>
        <v>Shipped</v>
      </c>
      <c r="J3" s="4" t="str">
        <f>'Raw Data'!J3</f>
        <v>TRK91186779</v>
      </c>
      <c r="K3" s="4">
        <f>'Raw Data'!K3</f>
        <v>3</v>
      </c>
      <c r="L3" s="4" t="str">
        <f>IF('Raw Data'!L3="","No Coupon",'Raw Data'!L3)</f>
        <v>SAVE10</v>
      </c>
      <c r="M3" s="4" t="str">
        <f>'Raw Data'!M3</f>
        <v>Referral</v>
      </c>
      <c r="N3" s="4">
        <f>'Raw Data'!N3</f>
        <v>302.7</v>
      </c>
    </row>
    <row r="4" spans="1:14" ht="15" customHeight="1" x14ac:dyDescent="0.2">
      <c r="A4" s="4" t="str">
        <f>'Raw Data'!A4</f>
        <v>ORD200002</v>
      </c>
      <c r="B4" s="6">
        <f>'Raw Data'!B4</f>
        <v>45349</v>
      </c>
      <c r="C4" s="4" t="str">
        <f>'Raw Data'!C4</f>
        <v>C81728</v>
      </c>
      <c r="D4" s="4" t="str">
        <f>'Raw Data'!D4</f>
        <v>Tablet</v>
      </c>
      <c r="E4" s="4">
        <f>'Raw Data'!E4</f>
        <v>5</v>
      </c>
      <c r="F4" s="4">
        <f>'Raw Data'!F4</f>
        <v>550.67999999999995</v>
      </c>
      <c r="G4" s="4" t="str">
        <f>'Raw Data'!G4</f>
        <v>512 Main St</v>
      </c>
      <c r="H4" s="4" t="str">
        <f>'Raw Data'!H4</f>
        <v>Credit Card</v>
      </c>
      <c r="I4" s="4" t="str">
        <f>'Raw Data'!I4</f>
        <v>Cancelled</v>
      </c>
      <c r="J4" s="4" t="str">
        <f>'Raw Data'!J4</f>
        <v>TRK42903982</v>
      </c>
      <c r="K4" s="4">
        <f>'Raw Data'!K4</f>
        <v>8</v>
      </c>
      <c r="L4" s="4" t="str">
        <f>IF('Raw Data'!L4="","No Coupon",'Raw Data'!L4)</f>
        <v>FREESHIP</v>
      </c>
      <c r="M4" s="4" t="str">
        <f>'Raw Data'!M4</f>
        <v>Email</v>
      </c>
      <c r="N4" s="4">
        <f>'Raw Data'!N4</f>
        <v>2753.4</v>
      </c>
    </row>
    <row r="5" spans="1:14" ht="15" customHeight="1" x14ac:dyDescent="0.2">
      <c r="A5" s="4" t="str">
        <f>'Raw Data'!A5</f>
        <v>ORD200003</v>
      </c>
      <c r="B5" s="6">
        <f>'Raw Data'!B5</f>
        <v>45214</v>
      </c>
      <c r="C5" s="4" t="str">
        <f>'Raw Data'!C5</f>
        <v>C33540</v>
      </c>
      <c r="D5" s="4" t="str">
        <f>'Raw Data'!D5</f>
        <v>Chair</v>
      </c>
      <c r="E5" s="4">
        <f>'Raw Data'!E5</f>
        <v>1</v>
      </c>
      <c r="F5" s="4">
        <f>'Raw Data'!F5</f>
        <v>273.19</v>
      </c>
      <c r="G5" s="4" t="str">
        <f>'Raw Data'!G5</f>
        <v>275 Main St</v>
      </c>
      <c r="H5" s="4" t="str">
        <f>'Raw Data'!H5</f>
        <v>Debit Card</v>
      </c>
      <c r="I5" s="4" t="str">
        <f>'Raw Data'!I5</f>
        <v>Returned</v>
      </c>
      <c r="J5" s="4" t="str">
        <f>'Raw Data'!J5</f>
        <v>TRK62788070</v>
      </c>
      <c r="K5" s="4">
        <f>'Raw Data'!K5</f>
        <v>5</v>
      </c>
      <c r="L5" s="4" t="str">
        <f>IF('Raw Data'!L5="","No Coupon",'Raw Data'!L5)</f>
        <v>SAVE10</v>
      </c>
      <c r="M5" s="4" t="str">
        <f>'Raw Data'!M5</f>
        <v>Facebook</v>
      </c>
      <c r="N5" s="4">
        <f>'Raw Data'!N5</f>
        <v>273.19</v>
      </c>
    </row>
    <row r="6" spans="1:14" ht="15" customHeight="1" x14ac:dyDescent="0.2">
      <c r="A6" s="4" t="str">
        <f>'Raw Data'!A6</f>
        <v>ORD200004</v>
      </c>
      <c r="B6" s="6">
        <f>'Raw Data'!B6</f>
        <v>45785</v>
      </c>
      <c r="C6" s="4" t="str">
        <f>'Raw Data'!C6</f>
        <v>C81840</v>
      </c>
      <c r="D6" s="4" t="str">
        <f>'Raw Data'!D6</f>
        <v>Printer</v>
      </c>
      <c r="E6" s="4">
        <f>'Raw Data'!E6</f>
        <v>4</v>
      </c>
      <c r="F6" s="4">
        <f>'Raw Data'!F6</f>
        <v>626.01</v>
      </c>
      <c r="G6" s="4" t="str">
        <f>'Raw Data'!G6</f>
        <v>668 Main St</v>
      </c>
      <c r="H6" s="4" t="str">
        <f>'Raw Data'!H6</f>
        <v>Online</v>
      </c>
      <c r="I6" s="4" t="str">
        <f>'Raw Data'!I6</f>
        <v>Delivered</v>
      </c>
      <c r="J6" s="4" t="str">
        <f>'Raw Data'!J6</f>
        <v>TRK29241424</v>
      </c>
      <c r="K6" s="4">
        <f>'Raw Data'!K6</f>
        <v>8</v>
      </c>
      <c r="L6" s="4" t="str">
        <f>IF('Raw Data'!L6="","No Coupon",'Raw Data'!L6)</f>
        <v>SAVE10</v>
      </c>
      <c r="M6" s="4" t="str">
        <f>'Raw Data'!M6</f>
        <v>Email</v>
      </c>
      <c r="N6" s="4">
        <f>'Raw Data'!N6</f>
        <v>2504.04</v>
      </c>
    </row>
    <row r="7" spans="1:14" ht="15" customHeight="1" x14ac:dyDescent="0.2">
      <c r="A7" s="4" t="str">
        <f>'Raw Data'!A7</f>
        <v>ORD200005</v>
      </c>
      <c r="B7" s="6">
        <f>'Raw Data'!B7</f>
        <v>45222</v>
      </c>
      <c r="C7" s="4" t="str">
        <f>'Raw Data'!C7</f>
        <v>C37249</v>
      </c>
      <c r="D7" s="4" t="str">
        <f>'Raw Data'!D7</f>
        <v>Phone</v>
      </c>
      <c r="E7" s="4">
        <f>'Raw Data'!E7</f>
        <v>2</v>
      </c>
      <c r="F7" s="4">
        <f>'Raw Data'!F7</f>
        <v>245.86</v>
      </c>
      <c r="G7" s="4" t="str">
        <f>'Raw Data'!G7</f>
        <v>934 Main St</v>
      </c>
      <c r="H7" s="4" t="str">
        <f>'Raw Data'!H7</f>
        <v>Credit Card</v>
      </c>
      <c r="I7" s="4" t="str">
        <f>'Raw Data'!I7</f>
        <v>Shipped</v>
      </c>
      <c r="J7" s="4" t="str">
        <f>'Raw Data'!J7</f>
        <v>TRK72976927</v>
      </c>
      <c r="K7" s="4">
        <f>'Raw Data'!K7</f>
        <v>4</v>
      </c>
      <c r="L7" s="4" t="str">
        <f>IF('Raw Data'!L7="","No Coupon",'Raw Data'!L7)</f>
        <v>SAVE10</v>
      </c>
      <c r="M7" s="4" t="str">
        <f>'Raw Data'!M7</f>
        <v>Instagram</v>
      </c>
      <c r="N7" s="4">
        <f>'Raw Data'!N7</f>
        <v>491.72</v>
      </c>
    </row>
    <row r="8" spans="1:14" ht="15" customHeight="1" x14ac:dyDescent="0.2">
      <c r="A8" s="4" t="str">
        <f>'Raw Data'!A8</f>
        <v>ORD200006</v>
      </c>
      <c r="B8" s="6">
        <f>'Raw Data'!B8</f>
        <v>45825</v>
      </c>
      <c r="C8" s="4" t="str">
        <f>'Raw Data'!C8</f>
        <v>C83492</v>
      </c>
      <c r="D8" s="4" t="str">
        <f>'Raw Data'!D8</f>
        <v>Laptop</v>
      </c>
      <c r="E8" s="4">
        <f>'Raw Data'!E8</f>
        <v>1</v>
      </c>
      <c r="F8" s="4">
        <f>'Raw Data'!F8</f>
        <v>664.42</v>
      </c>
      <c r="G8" s="4" t="str">
        <f>'Raw Data'!G8</f>
        <v>986 Main St</v>
      </c>
      <c r="H8" s="4" t="str">
        <f>'Raw Data'!H8</f>
        <v>Gift Card</v>
      </c>
      <c r="I8" s="4" t="str">
        <f>'Raw Data'!I8</f>
        <v>Returned</v>
      </c>
      <c r="J8" s="4" t="str">
        <f>'Raw Data'!J8</f>
        <v>TRK96417362</v>
      </c>
      <c r="K8" s="4">
        <f>'Raw Data'!K8</f>
        <v>6</v>
      </c>
      <c r="L8" s="4" t="str">
        <f>IF('Raw Data'!L8="","No Coupon",'Raw Data'!L8)</f>
        <v>SAVE10</v>
      </c>
      <c r="M8" s="4" t="str">
        <f>'Raw Data'!M8</f>
        <v>Facebook</v>
      </c>
      <c r="N8" s="4">
        <f>'Raw Data'!N8</f>
        <v>664.42</v>
      </c>
    </row>
    <row r="9" spans="1:14" ht="15" customHeight="1" x14ac:dyDescent="0.2">
      <c r="A9" s="4" t="str">
        <f>'Raw Data'!A9</f>
        <v>ORD200007</v>
      </c>
      <c r="B9" s="6">
        <f>'Raw Data'!B9</f>
        <v>45058</v>
      </c>
      <c r="C9" s="4" t="str">
        <f>'Raw Data'!C9</f>
        <v>C41460</v>
      </c>
      <c r="D9" s="4" t="str">
        <f>'Raw Data'!D9</f>
        <v>Monitor</v>
      </c>
      <c r="E9" s="4">
        <f>'Raw Data'!E9</f>
        <v>5</v>
      </c>
      <c r="F9" s="4">
        <f>'Raw Data'!F9</f>
        <v>149.55000000000001</v>
      </c>
      <c r="G9" s="4" t="str">
        <f>'Raw Data'!G9</f>
        <v>706 Main St</v>
      </c>
      <c r="H9" s="4" t="str">
        <f>'Raw Data'!H9</f>
        <v>Cash</v>
      </c>
      <c r="I9" s="4" t="str">
        <f>'Raw Data'!I9</f>
        <v>Shipped</v>
      </c>
      <c r="J9" s="4" t="str">
        <f>'Raw Data'!J9</f>
        <v>TRK78809193</v>
      </c>
      <c r="K9" s="4">
        <f>'Raw Data'!K9</f>
        <v>9</v>
      </c>
      <c r="L9" s="4" t="str">
        <f>IF('Raw Data'!L9="","No Coupon",'Raw Data'!L9)</f>
        <v>FREESHIP</v>
      </c>
      <c r="M9" s="4" t="str">
        <f>'Raw Data'!M9</f>
        <v>Facebook</v>
      </c>
      <c r="N9" s="4">
        <f>'Raw Data'!N9</f>
        <v>747.75</v>
      </c>
    </row>
    <row r="10" spans="1:14" ht="15" customHeight="1" x14ac:dyDescent="0.2">
      <c r="A10" s="4" t="str">
        <f>'Raw Data'!A10</f>
        <v>ORD200008</v>
      </c>
      <c r="B10" s="6">
        <f>'Raw Data'!B10</f>
        <v>45749</v>
      </c>
      <c r="C10" s="4" t="str">
        <f>'Raw Data'!C10</f>
        <v>C26817</v>
      </c>
      <c r="D10" s="4" t="str">
        <f>'Raw Data'!D10</f>
        <v>Phone</v>
      </c>
      <c r="E10" s="4">
        <f>'Raw Data'!E10</f>
        <v>2</v>
      </c>
      <c r="F10" s="4">
        <f>'Raw Data'!F10</f>
        <v>134.28</v>
      </c>
      <c r="G10" s="4" t="str">
        <f>'Raw Data'!G10</f>
        <v>904 Main St</v>
      </c>
      <c r="H10" s="4" t="str">
        <f>'Raw Data'!H10</f>
        <v>Gift Card</v>
      </c>
      <c r="I10" s="4" t="str">
        <f>'Raw Data'!I10</f>
        <v>Cancelled</v>
      </c>
      <c r="J10" s="4" t="str">
        <f>'Raw Data'!J10</f>
        <v>TRK61042692</v>
      </c>
      <c r="K10" s="4">
        <f>'Raw Data'!K10</f>
        <v>2</v>
      </c>
      <c r="L10" s="4" t="str">
        <f>IF('Raw Data'!L10="","No Coupon",'Raw Data'!L10)</f>
        <v>No Coupon</v>
      </c>
      <c r="M10" s="4" t="str">
        <f>'Raw Data'!M10</f>
        <v>Email</v>
      </c>
      <c r="N10" s="4">
        <f>'Raw Data'!N10</f>
        <v>268.56</v>
      </c>
    </row>
    <row r="11" spans="1:14" ht="15" customHeight="1" x14ac:dyDescent="0.2">
      <c r="A11" s="4" t="str">
        <f>'Raw Data'!A11</f>
        <v>ORD200009</v>
      </c>
      <c r="B11" s="6">
        <f>'Raw Data'!B11</f>
        <v>45251</v>
      </c>
      <c r="C11" s="4" t="str">
        <f>'Raw Data'!C11</f>
        <v>C31946</v>
      </c>
      <c r="D11" s="4" t="str">
        <f>'Raw Data'!D11</f>
        <v>Desk</v>
      </c>
      <c r="E11" s="4">
        <f>'Raw Data'!E11</f>
        <v>4</v>
      </c>
      <c r="F11" s="4">
        <f>'Raw Data'!F11</f>
        <v>509.38</v>
      </c>
      <c r="G11" s="4" t="str">
        <f>'Raw Data'!G11</f>
        <v>102 Main St</v>
      </c>
      <c r="H11" s="4" t="str">
        <f>'Raw Data'!H11</f>
        <v>Credit Card</v>
      </c>
      <c r="I11" s="4" t="str">
        <f>'Raw Data'!I11</f>
        <v>Shipped</v>
      </c>
      <c r="J11" s="4" t="str">
        <f>'Raw Data'!J11</f>
        <v>TRK33478363</v>
      </c>
      <c r="K11" s="4">
        <f>'Raw Data'!K11</f>
        <v>6</v>
      </c>
      <c r="L11" s="4" t="str">
        <f>IF('Raw Data'!L11="","No Coupon",'Raw Data'!L11)</f>
        <v>SAVE10</v>
      </c>
      <c r="M11" s="4" t="str">
        <f>'Raw Data'!M11</f>
        <v>Google</v>
      </c>
      <c r="N11" s="4">
        <f>'Raw Data'!N11</f>
        <v>2037.52</v>
      </c>
    </row>
    <row r="12" spans="1:14" ht="15" customHeight="1" x14ac:dyDescent="0.2">
      <c r="A12" s="4" t="str">
        <f>'Raw Data'!A12</f>
        <v>ORD200010</v>
      </c>
      <c r="B12" s="6">
        <f>'Raw Data'!B12</f>
        <v>45289</v>
      </c>
      <c r="C12" s="4" t="str">
        <f>'Raw Data'!C12</f>
        <v>C43443</v>
      </c>
      <c r="D12" s="4" t="str">
        <f>'Raw Data'!D12</f>
        <v>Tablet</v>
      </c>
      <c r="E12" s="4">
        <f>'Raw Data'!E12</f>
        <v>5</v>
      </c>
      <c r="F12" s="4">
        <f>'Raw Data'!F12</f>
        <v>625.97</v>
      </c>
      <c r="G12" s="4" t="str">
        <f>'Raw Data'!G12</f>
        <v>333 Main St</v>
      </c>
      <c r="H12" s="4" t="str">
        <f>'Raw Data'!H12</f>
        <v>Credit Card</v>
      </c>
      <c r="I12" s="4" t="str">
        <f>'Raw Data'!I12</f>
        <v>Returned</v>
      </c>
      <c r="J12" s="4" t="str">
        <f>'Raw Data'!J12</f>
        <v>TRK98859248</v>
      </c>
      <c r="K12" s="4">
        <f>'Raw Data'!K12</f>
        <v>9</v>
      </c>
      <c r="L12" s="4" t="str">
        <f>IF('Raw Data'!L12="","No Coupon",'Raw Data'!L12)</f>
        <v>WINTER15</v>
      </c>
      <c r="M12" s="4" t="str">
        <f>'Raw Data'!M12</f>
        <v>Instagram</v>
      </c>
      <c r="N12" s="4">
        <f>'Raw Data'!N12</f>
        <v>3129.85</v>
      </c>
    </row>
    <row r="13" spans="1:14" ht="15" customHeight="1" x14ac:dyDescent="0.2">
      <c r="A13" s="4" t="str">
        <f>'Raw Data'!A13</f>
        <v>ORD200011</v>
      </c>
      <c r="B13" s="6">
        <f>'Raw Data'!B13</f>
        <v>45339</v>
      </c>
      <c r="C13" s="4" t="str">
        <f>'Raw Data'!C13</f>
        <v>C93861</v>
      </c>
      <c r="D13" s="4" t="str">
        <f>'Raw Data'!D13</f>
        <v>Monitor</v>
      </c>
      <c r="E13" s="4">
        <f>'Raw Data'!E13</f>
        <v>3</v>
      </c>
      <c r="F13" s="4">
        <f>'Raw Data'!F13</f>
        <v>49.14</v>
      </c>
      <c r="G13" s="4" t="str">
        <f>'Raw Data'!G13</f>
        <v>831 Main St</v>
      </c>
      <c r="H13" s="4" t="str">
        <f>'Raw Data'!H13</f>
        <v>Online</v>
      </c>
      <c r="I13" s="4" t="str">
        <f>'Raw Data'!I13</f>
        <v>Returned</v>
      </c>
      <c r="J13" s="4" t="str">
        <f>'Raw Data'!J13</f>
        <v>TRK48234646</v>
      </c>
      <c r="K13" s="4">
        <f>'Raw Data'!K13</f>
        <v>7</v>
      </c>
      <c r="L13" s="4" t="str">
        <f>IF('Raw Data'!L13="","No Coupon",'Raw Data'!L13)</f>
        <v>SAVE10</v>
      </c>
      <c r="M13" s="4" t="str">
        <f>'Raw Data'!M13</f>
        <v>Email</v>
      </c>
      <c r="N13" s="4">
        <f>'Raw Data'!N13</f>
        <v>147.41999999999999</v>
      </c>
    </row>
    <row r="14" spans="1:14" ht="15" customHeight="1" x14ac:dyDescent="0.2">
      <c r="A14" s="4" t="str">
        <f>'Raw Data'!A14</f>
        <v>ORD200012</v>
      </c>
      <c r="B14" s="6">
        <f>'Raw Data'!B14</f>
        <v>45580</v>
      </c>
      <c r="C14" s="4" t="str">
        <f>'Raw Data'!C14</f>
        <v>C38785</v>
      </c>
      <c r="D14" s="4" t="str">
        <f>'Raw Data'!D14</f>
        <v>Monitor</v>
      </c>
      <c r="E14" s="4">
        <f>'Raw Data'!E14</f>
        <v>2</v>
      </c>
      <c r="F14" s="4">
        <f>'Raw Data'!F14</f>
        <v>180.5</v>
      </c>
      <c r="G14" s="4" t="str">
        <f>'Raw Data'!G14</f>
        <v>179 Main St</v>
      </c>
      <c r="H14" s="4" t="str">
        <f>'Raw Data'!H14</f>
        <v>Debit Card</v>
      </c>
      <c r="I14" s="4" t="str">
        <f>'Raw Data'!I14</f>
        <v>Pending</v>
      </c>
      <c r="J14" s="4" t="str">
        <f>'Raw Data'!J14</f>
        <v>TRK20419991</v>
      </c>
      <c r="K14" s="4">
        <f>'Raw Data'!K14</f>
        <v>6</v>
      </c>
      <c r="L14" s="4" t="str">
        <f>IF('Raw Data'!L14="","No Coupon",'Raw Data'!L14)</f>
        <v>FREESHIP</v>
      </c>
      <c r="M14" s="4" t="str">
        <f>'Raw Data'!M14</f>
        <v>Referral</v>
      </c>
      <c r="N14" s="4">
        <f>'Raw Data'!N14</f>
        <v>361</v>
      </c>
    </row>
    <row r="15" spans="1:14" ht="15" customHeight="1" x14ac:dyDescent="0.2">
      <c r="A15" s="4" t="str">
        <f>'Raw Data'!A15</f>
        <v>ORD200013</v>
      </c>
      <c r="B15" s="6">
        <f>'Raw Data'!B15</f>
        <v>45168</v>
      </c>
      <c r="C15" s="4" t="str">
        <f>'Raw Data'!C15</f>
        <v>C88348</v>
      </c>
      <c r="D15" s="4" t="str">
        <f>'Raw Data'!D15</f>
        <v>Laptop</v>
      </c>
      <c r="E15" s="4">
        <f>'Raw Data'!E15</f>
        <v>3</v>
      </c>
      <c r="F15" s="4">
        <f>'Raw Data'!F15</f>
        <v>201.49</v>
      </c>
      <c r="G15" s="4" t="str">
        <f>'Raw Data'!G15</f>
        <v>903 Main St</v>
      </c>
      <c r="H15" s="4" t="str">
        <f>'Raw Data'!H15</f>
        <v>Credit Card</v>
      </c>
      <c r="I15" s="4" t="str">
        <f>'Raw Data'!I15</f>
        <v>Returned</v>
      </c>
      <c r="J15" s="4" t="str">
        <f>'Raw Data'!J15</f>
        <v>TRK81913874</v>
      </c>
      <c r="K15" s="4">
        <f>'Raw Data'!K15</f>
        <v>4</v>
      </c>
      <c r="L15" s="4" t="str">
        <f>IF('Raw Data'!L15="","No Coupon",'Raw Data'!L15)</f>
        <v>FREESHIP</v>
      </c>
      <c r="M15" s="4" t="str">
        <f>'Raw Data'!M15</f>
        <v>Facebook</v>
      </c>
      <c r="N15" s="4">
        <f>'Raw Data'!N15</f>
        <v>604.47</v>
      </c>
    </row>
    <row r="16" spans="1:14" ht="15" customHeight="1" x14ac:dyDescent="0.2">
      <c r="A16" s="4" t="str">
        <f>'Raw Data'!A16</f>
        <v>ORD200014</v>
      </c>
      <c r="B16" s="6">
        <f>'Raw Data'!B16</f>
        <v>45012</v>
      </c>
      <c r="C16" s="4" t="str">
        <f>'Raw Data'!C16</f>
        <v>C98474</v>
      </c>
      <c r="D16" s="4" t="str">
        <f>'Raw Data'!D16</f>
        <v>Tablet</v>
      </c>
      <c r="E16" s="4">
        <f>'Raw Data'!E16</f>
        <v>2</v>
      </c>
      <c r="F16" s="4">
        <f>'Raw Data'!F16</f>
        <v>393.33</v>
      </c>
      <c r="G16" s="4" t="str">
        <f>'Raw Data'!G16</f>
        <v>980 Main St</v>
      </c>
      <c r="H16" s="4" t="str">
        <f>'Raw Data'!H16</f>
        <v>Debit Card</v>
      </c>
      <c r="I16" s="4" t="str">
        <f>'Raw Data'!I16</f>
        <v>Pending</v>
      </c>
      <c r="J16" s="4" t="str">
        <f>'Raw Data'!J16</f>
        <v>TRK79186539</v>
      </c>
      <c r="K16" s="4">
        <f>'Raw Data'!K16</f>
        <v>3</v>
      </c>
      <c r="L16" s="4" t="str">
        <f>IF('Raw Data'!L16="","No Coupon",'Raw Data'!L16)</f>
        <v>SAVE10</v>
      </c>
      <c r="M16" s="4" t="str">
        <f>'Raw Data'!M16</f>
        <v>Instagram</v>
      </c>
      <c r="N16" s="4">
        <f>'Raw Data'!N16</f>
        <v>786.66</v>
      </c>
    </row>
    <row r="17" spans="1:14" ht="15" customHeight="1" x14ac:dyDescent="0.2">
      <c r="A17" s="4" t="str">
        <f>'Raw Data'!A17</f>
        <v>ORD200015</v>
      </c>
      <c r="B17" s="6">
        <f>'Raw Data'!B17</f>
        <v>45124</v>
      </c>
      <c r="C17" s="4" t="str">
        <f>'Raw Data'!C17</f>
        <v>C39416</v>
      </c>
      <c r="D17" s="4" t="str">
        <f>'Raw Data'!D17</f>
        <v>Printer</v>
      </c>
      <c r="E17" s="4">
        <f>'Raw Data'!E17</f>
        <v>1</v>
      </c>
      <c r="F17" s="4">
        <f>'Raw Data'!F17</f>
        <v>473.96</v>
      </c>
      <c r="G17" s="4" t="str">
        <f>'Raw Data'!G17</f>
        <v>942 Main St</v>
      </c>
      <c r="H17" s="4" t="str">
        <f>'Raw Data'!H17</f>
        <v>Cash</v>
      </c>
      <c r="I17" s="4" t="str">
        <f>'Raw Data'!I17</f>
        <v>Delivered</v>
      </c>
      <c r="J17" s="4" t="str">
        <f>'Raw Data'!J17</f>
        <v>TRK54930938</v>
      </c>
      <c r="K17" s="4">
        <f>'Raw Data'!K17</f>
        <v>3</v>
      </c>
      <c r="L17" s="4" t="str">
        <f>IF('Raw Data'!L17="","No Coupon",'Raw Data'!L17)</f>
        <v>No Coupon</v>
      </c>
      <c r="M17" s="4" t="str">
        <f>'Raw Data'!M17</f>
        <v>Google</v>
      </c>
      <c r="N17" s="4">
        <f>'Raw Data'!N17</f>
        <v>473.96</v>
      </c>
    </row>
    <row r="18" spans="1:14" ht="15" customHeight="1" x14ac:dyDescent="0.2">
      <c r="A18" s="4" t="str">
        <f>'Raw Data'!A18</f>
        <v>ORD200016</v>
      </c>
      <c r="B18" s="6">
        <f>'Raw Data'!B18</f>
        <v>44950</v>
      </c>
      <c r="C18" s="4" t="str">
        <f>'Raw Data'!C18</f>
        <v>C28976</v>
      </c>
      <c r="D18" s="4" t="str">
        <f>'Raw Data'!D18</f>
        <v>Printer</v>
      </c>
      <c r="E18" s="4">
        <f>'Raw Data'!E18</f>
        <v>2</v>
      </c>
      <c r="F18" s="4">
        <f>'Raw Data'!F18</f>
        <v>533.80999999999995</v>
      </c>
      <c r="G18" s="4" t="str">
        <f>'Raw Data'!G18</f>
        <v>914 Main St</v>
      </c>
      <c r="H18" s="4" t="str">
        <f>'Raw Data'!H18</f>
        <v>Credit Card</v>
      </c>
      <c r="I18" s="4" t="str">
        <f>'Raw Data'!I18</f>
        <v>Pending</v>
      </c>
      <c r="J18" s="4" t="str">
        <f>'Raw Data'!J18</f>
        <v>TRK13194259</v>
      </c>
      <c r="K18" s="4">
        <f>'Raw Data'!K18</f>
        <v>3</v>
      </c>
      <c r="L18" s="4" t="str">
        <f>IF('Raw Data'!L18="","No Coupon",'Raw Data'!L18)</f>
        <v>FREESHIP</v>
      </c>
      <c r="M18" s="4" t="str">
        <f>'Raw Data'!M18</f>
        <v>Email</v>
      </c>
      <c r="N18" s="4">
        <f>'Raw Data'!N18</f>
        <v>1067.6199999999999</v>
      </c>
    </row>
    <row r="19" spans="1:14" ht="15" customHeight="1" x14ac:dyDescent="0.2">
      <c r="A19" s="4" t="str">
        <f>'Raw Data'!A19</f>
        <v>ORD200017</v>
      </c>
      <c r="B19" s="6">
        <f>'Raw Data'!B19</f>
        <v>45353</v>
      </c>
      <c r="C19" s="4" t="str">
        <f>'Raw Data'!C19</f>
        <v>C60672</v>
      </c>
      <c r="D19" s="4" t="str">
        <f>'Raw Data'!D19</f>
        <v>Tablet</v>
      </c>
      <c r="E19" s="4">
        <f>'Raw Data'!E19</f>
        <v>1</v>
      </c>
      <c r="F19" s="4">
        <f>'Raw Data'!F19</f>
        <v>423.4</v>
      </c>
      <c r="G19" s="4" t="str">
        <f>'Raw Data'!G19</f>
        <v>382 Main St</v>
      </c>
      <c r="H19" s="4" t="str">
        <f>'Raw Data'!H19</f>
        <v>Debit Card</v>
      </c>
      <c r="I19" s="4" t="str">
        <f>'Raw Data'!I19</f>
        <v>Shipped</v>
      </c>
      <c r="J19" s="4" t="str">
        <f>'Raw Data'!J19</f>
        <v>TRK11972116</v>
      </c>
      <c r="K19" s="4">
        <f>'Raw Data'!K19</f>
        <v>3</v>
      </c>
      <c r="L19" s="4" t="str">
        <f>IF('Raw Data'!L19="","No Coupon",'Raw Data'!L19)</f>
        <v>No Coupon</v>
      </c>
      <c r="M19" s="4" t="str">
        <f>'Raw Data'!M19</f>
        <v>Referral</v>
      </c>
      <c r="N19" s="4">
        <f>'Raw Data'!N19</f>
        <v>423.4</v>
      </c>
    </row>
    <row r="20" spans="1:14" ht="15" customHeight="1" x14ac:dyDescent="0.2">
      <c r="A20" s="4" t="str">
        <f>'Raw Data'!A20</f>
        <v>ORD200018</v>
      </c>
      <c r="B20" s="6">
        <f>'Raw Data'!B20</f>
        <v>45742</v>
      </c>
      <c r="C20" s="4" t="str">
        <f>'Raw Data'!C20</f>
        <v>C84329</v>
      </c>
      <c r="D20" s="4" t="str">
        <f>'Raw Data'!D20</f>
        <v>Desk</v>
      </c>
      <c r="E20" s="4">
        <f>'Raw Data'!E20</f>
        <v>1</v>
      </c>
      <c r="F20" s="4">
        <f>'Raw Data'!F20</f>
        <v>431.44</v>
      </c>
      <c r="G20" s="4" t="str">
        <f>'Raw Data'!G20</f>
        <v>891 Main St</v>
      </c>
      <c r="H20" s="4" t="str">
        <f>'Raw Data'!H20</f>
        <v>Gift Card</v>
      </c>
      <c r="I20" s="4" t="str">
        <f>'Raw Data'!I20</f>
        <v>Pending</v>
      </c>
      <c r="J20" s="4" t="str">
        <f>'Raw Data'!J20</f>
        <v>TRK65191045</v>
      </c>
      <c r="K20" s="4">
        <f>'Raw Data'!K20</f>
        <v>3</v>
      </c>
      <c r="L20" s="4" t="str">
        <f>IF('Raw Data'!L20="","No Coupon",'Raw Data'!L20)</f>
        <v>SAVE10</v>
      </c>
      <c r="M20" s="4" t="str">
        <f>'Raw Data'!M20</f>
        <v>Facebook</v>
      </c>
      <c r="N20" s="4">
        <f>'Raw Data'!N20</f>
        <v>431.44</v>
      </c>
    </row>
    <row r="21" spans="1:14" ht="15" customHeight="1" x14ac:dyDescent="0.2">
      <c r="A21" s="4" t="str">
        <f>'Raw Data'!A21</f>
        <v>ORD200019</v>
      </c>
      <c r="B21" s="6">
        <f>'Raw Data'!B21</f>
        <v>44949</v>
      </c>
      <c r="C21" s="4" t="str">
        <f>'Raw Data'!C21</f>
        <v>C14552</v>
      </c>
      <c r="D21" s="4" t="str">
        <f>'Raw Data'!D21</f>
        <v>Monitor</v>
      </c>
      <c r="E21" s="4">
        <f>'Raw Data'!E21</f>
        <v>5</v>
      </c>
      <c r="F21" s="4">
        <f>'Raw Data'!F21</f>
        <v>224</v>
      </c>
      <c r="G21" s="4" t="str">
        <f>'Raw Data'!G21</f>
        <v>273 Main St</v>
      </c>
      <c r="H21" s="4" t="str">
        <f>'Raw Data'!H21</f>
        <v>Cash</v>
      </c>
      <c r="I21" s="4" t="str">
        <f>'Raw Data'!I21</f>
        <v>Returned</v>
      </c>
      <c r="J21" s="4" t="str">
        <f>'Raw Data'!J21</f>
        <v>TRK59101365</v>
      </c>
      <c r="K21" s="4">
        <f>'Raw Data'!K21</f>
        <v>9</v>
      </c>
      <c r="L21" s="4" t="str">
        <f>IF('Raw Data'!L21="","No Coupon",'Raw Data'!L21)</f>
        <v>SAVE10</v>
      </c>
      <c r="M21" s="4" t="str">
        <f>'Raw Data'!M21</f>
        <v>Google</v>
      </c>
      <c r="N21" s="4">
        <f>'Raw Data'!N21</f>
        <v>1120</v>
      </c>
    </row>
    <row r="22" spans="1:14" ht="15" customHeight="1" x14ac:dyDescent="0.2">
      <c r="A22" s="4" t="str">
        <f>'Raw Data'!A22</f>
        <v>ORD200020</v>
      </c>
      <c r="B22" s="6">
        <f>'Raw Data'!B22</f>
        <v>45054</v>
      </c>
      <c r="C22" s="4" t="str">
        <f>'Raw Data'!C22</f>
        <v>C54829</v>
      </c>
      <c r="D22" s="4" t="str">
        <f>'Raw Data'!D22</f>
        <v>Chair</v>
      </c>
      <c r="E22" s="4">
        <f>'Raw Data'!E22</f>
        <v>5</v>
      </c>
      <c r="F22" s="4">
        <f>'Raw Data'!F22</f>
        <v>62.51</v>
      </c>
      <c r="G22" s="4" t="str">
        <f>'Raw Data'!G22</f>
        <v>587 Main St</v>
      </c>
      <c r="H22" s="4" t="str">
        <f>'Raw Data'!H22</f>
        <v>Cash</v>
      </c>
      <c r="I22" s="4" t="str">
        <f>'Raw Data'!I22</f>
        <v>Pending</v>
      </c>
      <c r="J22" s="4" t="str">
        <f>'Raw Data'!J22</f>
        <v>TRK16718651</v>
      </c>
      <c r="K22" s="4">
        <f>'Raw Data'!K22</f>
        <v>9</v>
      </c>
      <c r="L22" s="4" t="str">
        <f>IF('Raw Data'!L22="","No Coupon",'Raw Data'!L22)</f>
        <v>WINTER15</v>
      </c>
      <c r="M22" s="4" t="str">
        <f>'Raw Data'!M22</f>
        <v>Instagram</v>
      </c>
      <c r="N22" s="4">
        <f>'Raw Data'!N22</f>
        <v>312.55</v>
      </c>
    </row>
    <row r="23" spans="1:14" ht="15" customHeight="1" x14ac:dyDescent="0.2">
      <c r="A23" s="4" t="str">
        <f>'Raw Data'!A23</f>
        <v>ORD200021</v>
      </c>
      <c r="B23" s="6">
        <f>'Raw Data'!B23</f>
        <v>45613</v>
      </c>
      <c r="C23" s="4" t="str">
        <f>'Raw Data'!C23</f>
        <v>C99023</v>
      </c>
      <c r="D23" s="4" t="str">
        <f>'Raw Data'!D23</f>
        <v>Monitor</v>
      </c>
      <c r="E23" s="4">
        <f>'Raw Data'!E23</f>
        <v>4</v>
      </c>
      <c r="F23" s="4">
        <f>'Raw Data'!F23</f>
        <v>342.95</v>
      </c>
      <c r="G23" s="4" t="str">
        <f>'Raw Data'!G23</f>
        <v>569 Main St</v>
      </c>
      <c r="H23" s="4" t="str">
        <f>'Raw Data'!H23</f>
        <v>Cash</v>
      </c>
      <c r="I23" s="4" t="str">
        <f>'Raw Data'!I23</f>
        <v>Delivered</v>
      </c>
      <c r="J23" s="4" t="str">
        <f>'Raw Data'!J23</f>
        <v>TRK52646983</v>
      </c>
      <c r="K23" s="4">
        <f>'Raw Data'!K23</f>
        <v>6</v>
      </c>
      <c r="L23" s="4" t="str">
        <f>IF('Raw Data'!L23="","No Coupon",'Raw Data'!L23)</f>
        <v>No Coupon</v>
      </c>
      <c r="M23" s="4" t="str">
        <f>'Raw Data'!M23</f>
        <v>Google</v>
      </c>
      <c r="N23" s="4">
        <f>'Raw Data'!N23</f>
        <v>1371.8</v>
      </c>
    </row>
    <row r="24" spans="1:14" ht="15" customHeight="1" x14ac:dyDescent="0.2">
      <c r="A24" s="4" t="str">
        <f>'Raw Data'!A24</f>
        <v>ORD200022</v>
      </c>
      <c r="B24" s="6">
        <f>'Raw Data'!B24</f>
        <v>44955</v>
      </c>
      <c r="C24" s="4" t="str">
        <f>'Raw Data'!C24</f>
        <v>C34416</v>
      </c>
      <c r="D24" s="4" t="str">
        <f>'Raw Data'!D24</f>
        <v>Monitor</v>
      </c>
      <c r="E24" s="4">
        <f>'Raw Data'!E24</f>
        <v>2</v>
      </c>
      <c r="F24" s="4">
        <f>'Raw Data'!F24</f>
        <v>49.62</v>
      </c>
      <c r="G24" s="4" t="str">
        <f>'Raw Data'!G24</f>
        <v>633 Main St</v>
      </c>
      <c r="H24" s="4" t="str">
        <f>'Raw Data'!H24</f>
        <v>Online</v>
      </c>
      <c r="I24" s="4" t="str">
        <f>'Raw Data'!I24</f>
        <v>Pending</v>
      </c>
      <c r="J24" s="4" t="str">
        <f>'Raw Data'!J24</f>
        <v>TRK75937350</v>
      </c>
      <c r="K24" s="4">
        <f>'Raw Data'!K24</f>
        <v>2</v>
      </c>
      <c r="L24" s="4" t="str">
        <f>IF('Raw Data'!L24="","No Coupon",'Raw Data'!L24)</f>
        <v>SAVE10</v>
      </c>
      <c r="M24" s="4" t="str">
        <f>'Raw Data'!M24</f>
        <v>Google</v>
      </c>
      <c r="N24" s="4">
        <f>'Raw Data'!N24</f>
        <v>99.24</v>
      </c>
    </row>
    <row r="25" spans="1:14" ht="15" customHeight="1" x14ac:dyDescent="0.2">
      <c r="A25" s="4" t="str">
        <f>'Raw Data'!A25</f>
        <v>ORD200023</v>
      </c>
      <c r="B25" s="6">
        <f>'Raw Data'!B25</f>
        <v>45756</v>
      </c>
      <c r="C25" s="4" t="str">
        <f>'Raw Data'!C25</f>
        <v>C42372</v>
      </c>
      <c r="D25" s="4" t="str">
        <f>'Raw Data'!D25</f>
        <v>Phone</v>
      </c>
      <c r="E25" s="4">
        <f>'Raw Data'!E25</f>
        <v>4</v>
      </c>
      <c r="F25" s="4">
        <f>'Raw Data'!F25</f>
        <v>273.25</v>
      </c>
      <c r="G25" s="4" t="str">
        <f>'Raw Data'!G25</f>
        <v>755 Main St</v>
      </c>
      <c r="H25" s="4" t="str">
        <f>'Raw Data'!H25</f>
        <v>Debit Card</v>
      </c>
      <c r="I25" s="4" t="str">
        <f>'Raw Data'!I25</f>
        <v>Cancelled</v>
      </c>
      <c r="J25" s="4" t="str">
        <f>'Raw Data'!J25</f>
        <v>TRK36168083</v>
      </c>
      <c r="K25" s="4">
        <f>'Raw Data'!K25</f>
        <v>5</v>
      </c>
      <c r="L25" s="4" t="str">
        <f>IF('Raw Data'!L25="","No Coupon",'Raw Data'!L25)</f>
        <v>FREESHIP</v>
      </c>
      <c r="M25" s="4" t="str">
        <f>'Raw Data'!M25</f>
        <v>Referral</v>
      </c>
      <c r="N25" s="4">
        <f>'Raw Data'!N25</f>
        <v>1093</v>
      </c>
    </row>
    <row r="26" spans="1:14" ht="15" customHeight="1" x14ac:dyDescent="0.2">
      <c r="A26" s="4" t="str">
        <f>'Raw Data'!A26</f>
        <v>ORD200024</v>
      </c>
      <c r="B26" s="6">
        <f>'Raw Data'!B26</f>
        <v>45595</v>
      </c>
      <c r="C26" s="4" t="str">
        <f>'Raw Data'!C26</f>
        <v>C17470</v>
      </c>
      <c r="D26" s="4" t="str">
        <f>'Raw Data'!D26</f>
        <v>Laptop</v>
      </c>
      <c r="E26" s="4">
        <f>'Raw Data'!E26</f>
        <v>2</v>
      </c>
      <c r="F26" s="4">
        <f>'Raw Data'!F26</f>
        <v>230.95</v>
      </c>
      <c r="G26" s="4" t="str">
        <f>'Raw Data'!G26</f>
        <v>956 Main St</v>
      </c>
      <c r="H26" s="4" t="str">
        <f>'Raw Data'!H26</f>
        <v>Online</v>
      </c>
      <c r="I26" s="4" t="str">
        <f>'Raw Data'!I26</f>
        <v>Delivered</v>
      </c>
      <c r="J26" s="4" t="str">
        <f>'Raw Data'!J26</f>
        <v>TRK28775057</v>
      </c>
      <c r="K26" s="4">
        <f>'Raw Data'!K26</f>
        <v>3</v>
      </c>
      <c r="L26" s="4" t="str">
        <f>IF('Raw Data'!L26="","No Coupon",'Raw Data'!L26)</f>
        <v>WINTER15</v>
      </c>
      <c r="M26" s="4" t="str">
        <f>'Raw Data'!M26</f>
        <v>Referral</v>
      </c>
      <c r="N26" s="4">
        <f>'Raw Data'!N26</f>
        <v>461.9</v>
      </c>
    </row>
    <row r="27" spans="1:14" ht="15" customHeight="1" x14ac:dyDescent="0.2">
      <c r="A27" s="4" t="str">
        <f>'Raw Data'!A27</f>
        <v>ORD200025</v>
      </c>
      <c r="B27" s="6">
        <f>'Raw Data'!B27</f>
        <v>45497</v>
      </c>
      <c r="C27" s="4" t="str">
        <f>'Raw Data'!C27</f>
        <v>C42577</v>
      </c>
      <c r="D27" s="4" t="str">
        <f>'Raw Data'!D27</f>
        <v>Monitor</v>
      </c>
      <c r="E27" s="4">
        <f>'Raw Data'!E27</f>
        <v>1</v>
      </c>
      <c r="F27" s="4">
        <f>'Raw Data'!F27</f>
        <v>399.98</v>
      </c>
      <c r="G27" s="4" t="str">
        <f>'Raw Data'!G27</f>
        <v>709 Main St</v>
      </c>
      <c r="H27" s="4" t="str">
        <f>'Raw Data'!H27</f>
        <v>Debit Card</v>
      </c>
      <c r="I27" s="4" t="str">
        <f>'Raw Data'!I27</f>
        <v>Delivered</v>
      </c>
      <c r="J27" s="4" t="str">
        <f>'Raw Data'!J27</f>
        <v>TRK69423327</v>
      </c>
      <c r="K27" s="4">
        <f>'Raw Data'!K27</f>
        <v>3</v>
      </c>
      <c r="L27" s="4" t="str">
        <f>IF('Raw Data'!L27="","No Coupon",'Raw Data'!L27)</f>
        <v>WINTER15</v>
      </c>
      <c r="M27" s="4" t="str">
        <f>'Raw Data'!M27</f>
        <v>Email</v>
      </c>
      <c r="N27" s="4">
        <f>'Raw Data'!N27</f>
        <v>399.98</v>
      </c>
    </row>
    <row r="28" spans="1:14" ht="15" customHeight="1" x14ac:dyDescent="0.2">
      <c r="A28" s="4" t="str">
        <f>'Raw Data'!A28</f>
        <v>ORD200026</v>
      </c>
      <c r="B28" s="6">
        <f>'Raw Data'!B28</f>
        <v>45357</v>
      </c>
      <c r="C28" s="4" t="str">
        <f>'Raw Data'!C28</f>
        <v>C21944</v>
      </c>
      <c r="D28" s="4" t="str">
        <f>'Raw Data'!D28</f>
        <v>Laptop</v>
      </c>
      <c r="E28" s="4">
        <f>'Raw Data'!E28</f>
        <v>5</v>
      </c>
      <c r="F28" s="4">
        <f>'Raw Data'!F28</f>
        <v>59.55</v>
      </c>
      <c r="G28" s="4" t="str">
        <f>'Raw Data'!G28</f>
        <v>296 Main St</v>
      </c>
      <c r="H28" s="4" t="str">
        <f>'Raw Data'!H28</f>
        <v>Online</v>
      </c>
      <c r="I28" s="4" t="str">
        <f>'Raw Data'!I28</f>
        <v>Delivered</v>
      </c>
      <c r="J28" s="4" t="str">
        <f>'Raw Data'!J28</f>
        <v>TRK80276812</v>
      </c>
      <c r="K28" s="4">
        <f>'Raw Data'!K28</f>
        <v>6</v>
      </c>
      <c r="L28" s="4" t="str">
        <f>IF('Raw Data'!L28="","No Coupon",'Raw Data'!L28)</f>
        <v>No Coupon</v>
      </c>
      <c r="M28" s="4" t="str">
        <f>'Raw Data'!M28</f>
        <v>Referral</v>
      </c>
      <c r="N28" s="4">
        <f>'Raw Data'!N28</f>
        <v>297.75</v>
      </c>
    </row>
    <row r="29" spans="1:14" ht="15" customHeight="1" x14ac:dyDescent="0.2">
      <c r="A29" s="4" t="str">
        <f>'Raw Data'!A29</f>
        <v>ORD200027</v>
      </c>
      <c r="B29" s="6">
        <f>'Raw Data'!B29</f>
        <v>45344</v>
      </c>
      <c r="C29" s="4" t="str">
        <f>'Raw Data'!C29</f>
        <v>C97593</v>
      </c>
      <c r="D29" s="4" t="str">
        <f>'Raw Data'!D29</f>
        <v>Printer</v>
      </c>
      <c r="E29" s="4">
        <f>'Raw Data'!E29</f>
        <v>1</v>
      </c>
      <c r="F29" s="4">
        <f>'Raw Data'!F29</f>
        <v>472.74</v>
      </c>
      <c r="G29" s="4" t="str">
        <f>'Raw Data'!G29</f>
        <v>881 Main St</v>
      </c>
      <c r="H29" s="4" t="str">
        <f>'Raw Data'!H29</f>
        <v>Online</v>
      </c>
      <c r="I29" s="4" t="str">
        <f>'Raw Data'!I29</f>
        <v>Shipped</v>
      </c>
      <c r="J29" s="4" t="str">
        <f>'Raw Data'!J29</f>
        <v>TRK89117573</v>
      </c>
      <c r="K29" s="4">
        <f>'Raw Data'!K29</f>
        <v>6</v>
      </c>
      <c r="L29" s="4" t="str">
        <f>IF('Raw Data'!L29="","No Coupon",'Raw Data'!L29)</f>
        <v>WINTER15</v>
      </c>
      <c r="M29" s="4" t="str">
        <f>'Raw Data'!M29</f>
        <v>Google</v>
      </c>
      <c r="N29" s="4">
        <f>'Raw Data'!N29</f>
        <v>472.74</v>
      </c>
    </row>
    <row r="30" spans="1:14" ht="15" customHeight="1" x14ac:dyDescent="0.2">
      <c r="A30" s="4" t="str">
        <f>'Raw Data'!A30</f>
        <v>ORD200028</v>
      </c>
      <c r="B30" s="6">
        <f>'Raw Data'!B30</f>
        <v>45251</v>
      </c>
      <c r="C30" s="4" t="str">
        <f>'Raw Data'!C30</f>
        <v>C59823</v>
      </c>
      <c r="D30" s="4" t="str">
        <f>'Raw Data'!D30</f>
        <v>Phone</v>
      </c>
      <c r="E30" s="4">
        <f>'Raw Data'!E30</f>
        <v>4</v>
      </c>
      <c r="F30" s="4">
        <f>'Raw Data'!F30</f>
        <v>160.07</v>
      </c>
      <c r="G30" s="4" t="str">
        <f>'Raw Data'!G30</f>
        <v>568 Main St</v>
      </c>
      <c r="H30" s="4" t="str">
        <f>'Raw Data'!H30</f>
        <v>Online</v>
      </c>
      <c r="I30" s="4" t="str">
        <f>'Raw Data'!I30</f>
        <v>Pending</v>
      </c>
      <c r="J30" s="4" t="str">
        <f>'Raw Data'!J30</f>
        <v>TRK65895539</v>
      </c>
      <c r="K30" s="4">
        <f>'Raw Data'!K30</f>
        <v>5</v>
      </c>
      <c r="L30" s="4" t="str">
        <f>IF('Raw Data'!L30="","No Coupon",'Raw Data'!L30)</f>
        <v>No Coupon</v>
      </c>
      <c r="M30" s="4" t="str">
        <f>'Raw Data'!M30</f>
        <v>Email</v>
      </c>
      <c r="N30" s="4">
        <f>'Raw Data'!N30</f>
        <v>640.28</v>
      </c>
    </row>
    <row r="31" spans="1:14" ht="15" customHeight="1" x14ac:dyDescent="0.2">
      <c r="A31" s="4" t="str">
        <f>'Raw Data'!A31</f>
        <v>ORD200029</v>
      </c>
      <c r="B31" s="6">
        <f>'Raw Data'!B31</f>
        <v>45555</v>
      </c>
      <c r="C31" s="4" t="str">
        <f>'Raw Data'!C31</f>
        <v>C33260</v>
      </c>
      <c r="D31" s="4" t="str">
        <f>'Raw Data'!D31</f>
        <v>Desk</v>
      </c>
      <c r="E31" s="4">
        <f>'Raw Data'!E31</f>
        <v>3</v>
      </c>
      <c r="F31" s="4">
        <f>'Raw Data'!F31</f>
        <v>423.53</v>
      </c>
      <c r="G31" s="4" t="str">
        <f>'Raw Data'!G31</f>
        <v>930 Main St</v>
      </c>
      <c r="H31" s="4" t="str">
        <f>'Raw Data'!H31</f>
        <v>Credit Card</v>
      </c>
      <c r="I31" s="4" t="str">
        <f>'Raw Data'!I31</f>
        <v>Delivered</v>
      </c>
      <c r="J31" s="4" t="str">
        <f>'Raw Data'!J31</f>
        <v>TRK59744090</v>
      </c>
      <c r="K31" s="4">
        <f>'Raw Data'!K31</f>
        <v>6</v>
      </c>
      <c r="L31" s="4" t="str">
        <f>IF('Raw Data'!L31="","No Coupon",'Raw Data'!L31)</f>
        <v>SAVE10</v>
      </c>
      <c r="M31" s="4" t="str">
        <f>'Raw Data'!M31</f>
        <v>Referral</v>
      </c>
      <c r="N31" s="4">
        <f>'Raw Data'!N31</f>
        <v>1270.5899999999999</v>
      </c>
    </row>
    <row r="32" spans="1:14" ht="15" customHeight="1" x14ac:dyDescent="0.2">
      <c r="A32" s="4" t="str">
        <f>'Raw Data'!A32</f>
        <v>ORD200030</v>
      </c>
      <c r="B32" s="6">
        <f>'Raw Data'!B32</f>
        <v>45738</v>
      </c>
      <c r="C32" s="4" t="str">
        <f>'Raw Data'!C32</f>
        <v>C44267</v>
      </c>
      <c r="D32" s="4" t="str">
        <f>'Raw Data'!D32</f>
        <v>Monitor</v>
      </c>
      <c r="E32" s="4">
        <f>'Raw Data'!E32</f>
        <v>2</v>
      </c>
      <c r="F32" s="4">
        <f>'Raw Data'!F32</f>
        <v>426.7</v>
      </c>
      <c r="G32" s="4" t="str">
        <f>'Raw Data'!G32</f>
        <v>895 Main St</v>
      </c>
      <c r="H32" s="4" t="str">
        <f>'Raw Data'!H32</f>
        <v>Online</v>
      </c>
      <c r="I32" s="4" t="str">
        <f>'Raw Data'!I32</f>
        <v>Pending</v>
      </c>
      <c r="J32" s="4" t="str">
        <f>'Raw Data'!J32</f>
        <v>TRK54751444</v>
      </c>
      <c r="K32" s="4">
        <f>'Raw Data'!K32</f>
        <v>5</v>
      </c>
      <c r="L32" s="4" t="str">
        <f>IF('Raw Data'!L32="","No Coupon",'Raw Data'!L32)</f>
        <v>SAVE10</v>
      </c>
      <c r="M32" s="4" t="str">
        <f>'Raw Data'!M32</f>
        <v>Referral</v>
      </c>
      <c r="N32" s="4">
        <f>'Raw Data'!N32</f>
        <v>853.4</v>
      </c>
    </row>
    <row r="33" spans="1:14" ht="15" customHeight="1" x14ac:dyDescent="0.2">
      <c r="A33" s="4" t="str">
        <f>'Raw Data'!A33</f>
        <v>ORD200031</v>
      </c>
      <c r="B33" s="6">
        <f>'Raw Data'!B33</f>
        <v>45107</v>
      </c>
      <c r="C33" s="4" t="str">
        <f>'Raw Data'!C33</f>
        <v>C26445</v>
      </c>
      <c r="D33" s="4" t="str">
        <f>'Raw Data'!D33</f>
        <v>Chair</v>
      </c>
      <c r="E33" s="4">
        <f>'Raw Data'!E33</f>
        <v>3</v>
      </c>
      <c r="F33" s="4">
        <f>'Raw Data'!F33</f>
        <v>500.08</v>
      </c>
      <c r="G33" s="4" t="str">
        <f>'Raw Data'!G33</f>
        <v>996 Main St</v>
      </c>
      <c r="H33" s="4" t="str">
        <f>'Raw Data'!H33</f>
        <v>Debit Card</v>
      </c>
      <c r="I33" s="4" t="str">
        <f>'Raw Data'!I33</f>
        <v>Returned</v>
      </c>
      <c r="J33" s="4" t="str">
        <f>'Raw Data'!J33</f>
        <v>TRK31229981</v>
      </c>
      <c r="K33" s="4">
        <f>'Raw Data'!K33</f>
        <v>6</v>
      </c>
      <c r="L33" s="4" t="str">
        <f>IF('Raw Data'!L33="","No Coupon",'Raw Data'!L33)</f>
        <v>No Coupon</v>
      </c>
      <c r="M33" s="4" t="str">
        <f>'Raw Data'!M33</f>
        <v>Facebook</v>
      </c>
      <c r="N33" s="4">
        <f>'Raw Data'!N33</f>
        <v>1500.24</v>
      </c>
    </row>
    <row r="34" spans="1:14" ht="15" customHeight="1" x14ac:dyDescent="0.2">
      <c r="A34" s="4" t="str">
        <f>'Raw Data'!A34</f>
        <v>ORD200032</v>
      </c>
      <c r="B34" s="6">
        <f>'Raw Data'!B34</f>
        <v>45047</v>
      </c>
      <c r="C34" s="4" t="str">
        <f>'Raw Data'!C34</f>
        <v>C12388</v>
      </c>
      <c r="D34" s="4" t="str">
        <f>'Raw Data'!D34</f>
        <v>Tablet</v>
      </c>
      <c r="E34" s="4">
        <f>'Raw Data'!E34</f>
        <v>5</v>
      </c>
      <c r="F34" s="4">
        <f>'Raw Data'!F34</f>
        <v>536.72</v>
      </c>
      <c r="G34" s="4" t="str">
        <f>'Raw Data'!G34</f>
        <v>830 Main St</v>
      </c>
      <c r="H34" s="4" t="str">
        <f>'Raw Data'!H34</f>
        <v>Cash</v>
      </c>
      <c r="I34" s="4" t="str">
        <f>'Raw Data'!I34</f>
        <v>Delivered</v>
      </c>
      <c r="J34" s="4" t="str">
        <f>'Raw Data'!J34</f>
        <v>TRK99261395</v>
      </c>
      <c r="K34" s="4">
        <f>'Raw Data'!K34</f>
        <v>10</v>
      </c>
      <c r="L34" s="4" t="str">
        <f>IF('Raw Data'!L34="","No Coupon",'Raw Data'!L34)</f>
        <v>No Coupon</v>
      </c>
      <c r="M34" s="4" t="str">
        <f>'Raw Data'!M34</f>
        <v>Email</v>
      </c>
      <c r="N34" s="4">
        <f>'Raw Data'!N34</f>
        <v>2683.6</v>
      </c>
    </row>
    <row r="35" spans="1:14" ht="15" customHeight="1" x14ac:dyDescent="0.2">
      <c r="A35" s="4" t="str">
        <f>'Raw Data'!A35</f>
        <v>ORD200033</v>
      </c>
      <c r="B35" s="6">
        <f>'Raw Data'!B35</f>
        <v>45082</v>
      </c>
      <c r="C35" s="4" t="str">
        <f>'Raw Data'!C35</f>
        <v>C52184</v>
      </c>
      <c r="D35" s="4" t="str">
        <f>'Raw Data'!D35</f>
        <v>Chair</v>
      </c>
      <c r="E35" s="4">
        <f>'Raw Data'!E35</f>
        <v>1</v>
      </c>
      <c r="F35" s="4">
        <f>'Raw Data'!F35</f>
        <v>162.77000000000001</v>
      </c>
      <c r="G35" s="4" t="str">
        <f>'Raw Data'!G35</f>
        <v>912 Main St</v>
      </c>
      <c r="H35" s="4" t="str">
        <f>'Raw Data'!H35</f>
        <v>Online</v>
      </c>
      <c r="I35" s="4" t="str">
        <f>'Raw Data'!I35</f>
        <v>Cancelled</v>
      </c>
      <c r="J35" s="4" t="str">
        <f>'Raw Data'!J35</f>
        <v>TRK73312471</v>
      </c>
      <c r="K35" s="4">
        <f>'Raw Data'!K35</f>
        <v>4</v>
      </c>
      <c r="L35" s="4" t="str">
        <f>IF('Raw Data'!L35="","No Coupon",'Raw Data'!L35)</f>
        <v>WINTER15</v>
      </c>
      <c r="M35" s="4" t="str">
        <f>'Raw Data'!M35</f>
        <v>Facebook</v>
      </c>
      <c r="N35" s="4">
        <f>'Raw Data'!N35</f>
        <v>162.77000000000001</v>
      </c>
    </row>
    <row r="36" spans="1:14" ht="15" customHeight="1" x14ac:dyDescent="0.2">
      <c r="A36" s="4" t="str">
        <f>'Raw Data'!A36</f>
        <v>ORD200034</v>
      </c>
      <c r="B36" s="6">
        <f>'Raw Data'!B36</f>
        <v>44933</v>
      </c>
      <c r="C36" s="4" t="str">
        <f>'Raw Data'!C36</f>
        <v>C67195</v>
      </c>
      <c r="D36" s="4" t="str">
        <f>'Raw Data'!D36</f>
        <v>Chair</v>
      </c>
      <c r="E36" s="4">
        <f>'Raw Data'!E36</f>
        <v>4</v>
      </c>
      <c r="F36" s="4">
        <f>'Raw Data'!F36</f>
        <v>576.52</v>
      </c>
      <c r="G36" s="4" t="str">
        <f>'Raw Data'!G36</f>
        <v>926 Main St</v>
      </c>
      <c r="H36" s="4" t="str">
        <f>'Raw Data'!H36</f>
        <v>Credit Card</v>
      </c>
      <c r="I36" s="4" t="str">
        <f>'Raw Data'!I36</f>
        <v>Pending</v>
      </c>
      <c r="J36" s="4" t="str">
        <f>'Raw Data'!J36</f>
        <v>TRK55467915</v>
      </c>
      <c r="K36" s="4">
        <f>'Raw Data'!K36</f>
        <v>5</v>
      </c>
      <c r="L36" s="4" t="str">
        <f>IF('Raw Data'!L36="","No Coupon",'Raw Data'!L36)</f>
        <v>WINTER15</v>
      </c>
      <c r="M36" s="4" t="str">
        <f>'Raw Data'!M36</f>
        <v>Facebook</v>
      </c>
      <c r="N36" s="4">
        <f>'Raw Data'!N36</f>
        <v>2306.08</v>
      </c>
    </row>
    <row r="37" spans="1:14" ht="15" customHeight="1" x14ac:dyDescent="0.2">
      <c r="A37" s="4" t="str">
        <f>'Raw Data'!A37</f>
        <v>ORD200035</v>
      </c>
      <c r="B37" s="6">
        <f>'Raw Data'!B37</f>
        <v>45633</v>
      </c>
      <c r="C37" s="4" t="str">
        <f>'Raw Data'!C37</f>
        <v>C50304</v>
      </c>
      <c r="D37" s="4" t="str">
        <f>'Raw Data'!D37</f>
        <v>Monitor</v>
      </c>
      <c r="E37" s="4">
        <f>'Raw Data'!E37</f>
        <v>2</v>
      </c>
      <c r="F37" s="4">
        <f>'Raw Data'!F37</f>
        <v>465.15</v>
      </c>
      <c r="G37" s="4" t="str">
        <f>'Raw Data'!G37</f>
        <v>128 Main St</v>
      </c>
      <c r="H37" s="4" t="str">
        <f>'Raw Data'!H37</f>
        <v>Online</v>
      </c>
      <c r="I37" s="4" t="str">
        <f>'Raw Data'!I37</f>
        <v>Shipped</v>
      </c>
      <c r="J37" s="4" t="str">
        <f>'Raw Data'!J37</f>
        <v>TRK46850888</v>
      </c>
      <c r="K37" s="4">
        <f>'Raw Data'!K37</f>
        <v>2</v>
      </c>
      <c r="L37" s="4" t="str">
        <f>IF('Raw Data'!L37="","No Coupon",'Raw Data'!L37)</f>
        <v>SAVE10</v>
      </c>
      <c r="M37" s="4" t="str">
        <f>'Raw Data'!M37</f>
        <v>Facebook</v>
      </c>
      <c r="N37" s="4">
        <f>'Raw Data'!N37</f>
        <v>930.3</v>
      </c>
    </row>
    <row r="38" spans="1:14" ht="15" customHeight="1" x14ac:dyDescent="0.2">
      <c r="A38" s="4" t="str">
        <f>'Raw Data'!A38</f>
        <v>ORD200036</v>
      </c>
      <c r="B38" s="6">
        <f>'Raw Data'!B38</f>
        <v>45785</v>
      </c>
      <c r="C38" s="4" t="str">
        <f>'Raw Data'!C38</f>
        <v>C59337</v>
      </c>
      <c r="D38" s="4" t="str">
        <f>'Raw Data'!D38</f>
        <v>Laptop</v>
      </c>
      <c r="E38" s="4">
        <f>'Raw Data'!E38</f>
        <v>2</v>
      </c>
      <c r="F38" s="4">
        <f>'Raw Data'!F38</f>
        <v>534.42999999999995</v>
      </c>
      <c r="G38" s="4" t="str">
        <f>'Raw Data'!G38</f>
        <v>465 Main St</v>
      </c>
      <c r="H38" s="4" t="str">
        <f>'Raw Data'!H38</f>
        <v>Debit Card</v>
      </c>
      <c r="I38" s="4" t="str">
        <f>'Raw Data'!I38</f>
        <v>Pending</v>
      </c>
      <c r="J38" s="4" t="str">
        <f>'Raw Data'!J38</f>
        <v>TRK50961250</v>
      </c>
      <c r="K38" s="4">
        <f>'Raw Data'!K38</f>
        <v>5</v>
      </c>
      <c r="L38" s="4" t="str">
        <f>IF('Raw Data'!L38="","No Coupon",'Raw Data'!L38)</f>
        <v>No Coupon</v>
      </c>
      <c r="M38" s="4" t="str">
        <f>'Raw Data'!M38</f>
        <v>Facebook</v>
      </c>
      <c r="N38" s="4">
        <f>'Raw Data'!N38</f>
        <v>1068.8599999999999</v>
      </c>
    </row>
    <row r="39" spans="1:14" ht="15" customHeight="1" x14ac:dyDescent="0.2">
      <c r="A39" s="4" t="str">
        <f>'Raw Data'!A39</f>
        <v>ORD200037</v>
      </c>
      <c r="B39" s="6">
        <f>'Raw Data'!B39</f>
        <v>45579</v>
      </c>
      <c r="C39" s="4" t="str">
        <f>'Raw Data'!C39</f>
        <v>C10054</v>
      </c>
      <c r="D39" s="4" t="str">
        <f>'Raw Data'!D39</f>
        <v>Laptop</v>
      </c>
      <c r="E39" s="4">
        <f>'Raw Data'!E39</f>
        <v>2</v>
      </c>
      <c r="F39" s="4">
        <f>'Raw Data'!F39</f>
        <v>76.739999999999995</v>
      </c>
      <c r="G39" s="4" t="str">
        <f>'Raw Data'!G39</f>
        <v>409 Main St</v>
      </c>
      <c r="H39" s="4" t="str">
        <f>'Raw Data'!H39</f>
        <v>Cash</v>
      </c>
      <c r="I39" s="4" t="str">
        <f>'Raw Data'!I39</f>
        <v>Returned</v>
      </c>
      <c r="J39" s="4" t="str">
        <f>'Raw Data'!J39</f>
        <v>TRK94005261</v>
      </c>
      <c r="K39" s="4">
        <f>'Raw Data'!K39</f>
        <v>7</v>
      </c>
      <c r="L39" s="4" t="str">
        <f>IF('Raw Data'!L39="","No Coupon",'Raw Data'!L39)</f>
        <v>SAVE10</v>
      </c>
      <c r="M39" s="4" t="str">
        <f>'Raw Data'!M39</f>
        <v>Instagram</v>
      </c>
      <c r="N39" s="4">
        <f>'Raw Data'!N39</f>
        <v>153.47999999999999</v>
      </c>
    </row>
    <row r="40" spans="1:14" ht="15" customHeight="1" x14ac:dyDescent="0.2">
      <c r="A40" s="4" t="str">
        <f>'Raw Data'!A40</f>
        <v>ORD200038</v>
      </c>
      <c r="B40" s="6">
        <f>'Raw Data'!B40</f>
        <v>45645</v>
      </c>
      <c r="C40" s="4" t="str">
        <f>'Raw Data'!C40</f>
        <v>C15924</v>
      </c>
      <c r="D40" s="4" t="str">
        <f>'Raw Data'!D40</f>
        <v>Laptop</v>
      </c>
      <c r="E40" s="4">
        <f>'Raw Data'!E40</f>
        <v>1</v>
      </c>
      <c r="F40" s="4">
        <f>'Raw Data'!F40</f>
        <v>245.89</v>
      </c>
      <c r="G40" s="4" t="str">
        <f>'Raw Data'!G40</f>
        <v>549 Main St</v>
      </c>
      <c r="H40" s="4" t="str">
        <f>'Raw Data'!H40</f>
        <v>Debit Card</v>
      </c>
      <c r="I40" s="4" t="str">
        <f>'Raw Data'!I40</f>
        <v>Delivered</v>
      </c>
      <c r="J40" s="4" t="str">
        <f>'Raw Data'!J40</f>
        <v>TRK14835975</v>
      </c>
      <c r="K40" s="4">
        <f>'Raw Data'!K40</f>
        <v>3</v>
      </c>
      <c r="L40" s="4" t="str">
        <f>IF('Raw Data'!L40="","No Coupon",'Raw Data'!L40)</f>
        <v>SAVE10</v>
      </c>
      <c r="M40" s="4" t="str">
        <f>'Raw Data'!M40</f>
        <v>Google</v>
      </c>
      <c r="N40" s="4">
        <f>'Raw Data'!N40</f>
        <v>245.89</v>
      </c>
    </row>
    <row r="41" spans="1:14" ht="15" customHeight="1" x14ac:dyDescent="0.2">
      <c r="A41" s="4" t="str">
        <f>'Raw Data'!A41</f>
        <v>ORD200039</v>
      </c>
      <c r="B41" s="6">
        <f>'Raw Data'!B41</f>
        <v>45715</v>
      </c>
      <c r="C41" s="4" t="str">
        <f>'Raw Data'!C41</f>
        <v>C96664</v>
      </c>
      <c r="D41" s="4" t="str">
        <f>'Raw Data'!D41</f>
        <v>Printer</v>
      </c>
      <c r="E41" s="4">
        <f>'Raw Data'!E41</f>
        <v>3</v>
      </c>
      <c r="F41" s="4">
        <f>'Raw Data'!F41</f>
        <v>256.45999999999998</v>
      </c>
      <c r="G41" s="4" t="str">
        <f>'Raw Data'!G41</f>
        <v>666 Main St</v>
      </c>
      <c r="H41" s="4" t="str">
        <f>'Raw Data'!H41</f>
        <v>Credit Card</v>
      </c>
      <c r="I41" s="4" t="str">
        <f>'Raw Data'!I41</f>
        <v>Delivered</v>
      </c>
      <c r="J41" s="4" t="str">
        <f>'Raw Data'!J41</f>
        <v>TRK85508960</v>
      </c>
      <c r="K41" s="4">
        <f>'Raw Data'!K41</f>
        <v>4</v>
      </c>
      <c r="L41" s="4" t="str">
        <f>IF('Raw Data'!L41="","No Coupon",'Raw Data'!L41)</f>
        <v>SAVE10</v>
      </c>
      <c r="M41" s="4" t="str">
        <f>'Raw Data'!M41</f>
        <v>Referral</v>
      </c>
      <c r="N41" s="4">
        <f>'Raw Data'!N41</f>
        <v>769.38</v>
      </c>
    </row>
    <row r="42" spans="1:14" ht="15" customHeight="1" x14ac:dyDescent="0.2">
      <c r="A42" s="4" t="str">
        <f>'Raw Data'!A42</f>
        <v>ORD200040</v>
      </c>
      <c r="B42" s="6">
        <f>'Raw Data'!B42</f>
        <v>45158</v>
      </c>
      <c r="C42" s="4" t="str">
        <f>'Raw Data'!C42</f>
        <v>C84766</v>
      </c>
      <c r="D42" s="4" t="str">
        <f>'Raw Data'!D42</f>
        <v>Desk</v>
      </c>
      <c r="E42" s="4">
        <f>'Raw Data'!E42</f>
        <v>2</v>
      </c>
      <c r="F42" s="4">
        <f>'Raw Data'!F42</f>
        <v>344.02</v>
      </c>
      <c r="G42" s="4" t="str">
        <f>'Raw Data'!G42</f>
        <v>267 Main St</v>
      </c>
      <c r="H42" s="4" t="str">
        <f>'Raw Data'!H42</f>
        <v>Online</v>
      </c>
      <c r="I42" s="4" t="str">
        <f>'Raw Data'!I42</f>
        <v>Delivered</v>
      </c>
      <c r="J42" s="4" t="str">
        <f>'Raw Data'!J42</f>
        <v>TRK78967923</v>
      </c>
      <c r="K42" s="4">
        <f>'Raw Data'!K42</f>
        <v>4</v>
      </c>
      <c r="L42" s="4" t="str">
        <f>IF('Raw Data'!L42="","No Coupon",'Raw Data'!L42)</f>
        <v>FREESHIP</v>
      </c>
      <c r="M42" s="4" t="str">
        <f>'Raw Data'!M42</f>
        <v>Instagram</v>
      </c>
      <c r="N42" s="4">
        <f>'Raw Data'!N42</f>
        <v>688.04</v>
      </c>
    </row>
    <row r="43" spans="1:14" ht="15" customHeight="1" x14ac:dyDescent="0.2">
      <c r="A43" s="4" t="str">
        <f>'Raw Data'!A43</f>
        <v>ORD200041</v>
      </c>
      <c r="B43" s="6">
        <f>'Raw Data'!B43</f>
        <v>45265</v>
      </c>
      <c r="C43" s="4" t="str">
        <f>'Raw Data'!C43</f>
        <v>C20212</v>
      </c>
      <c r="D43" s="4" t="str">
        <f>'Raw Data'!D43</f>
        <v>Monitor</v>
      </c>
      <c r="E43" s="4">
        <f>'Raw Data'!E43</f>
        <v>3</v>
      </c>
      <c r="F43" s="4">
        <f>'Raw Data'!F43</f>
        <v>611.45000000000005</v>
      </c>
      <c r="G43" s="4" t="str">
        <f>'Raw Data'!G43</f>
        <v>657 Main St</v>
      </c>
      <c r="H43" s="4" t="str">
        <f>'Raw Data'!H43</f>
        <v>Gift Card</v>
      </c>
      <c r="I43" s="4" t="str">
        <f>'Raw Data'!I43</f>
        <v>Pending</v>
      </c>
      <c r="J43" s="4" t="str">
        <f>'Raw Data'!J43</f>
        <v>TRK69733327</v>
      </c>
      <c r="K43" s="4">
        <f>'Raw Data'!K43</f>
        <v>4</v>
      </c>
      <c r="L43" s="4" t="str">
        <f>IF('Raw Data'!L43="","No Coupon",'Raw Data'!L43)</f>
        <v>FREESHIP</v>
      </c>
      <c r="M43" s="4" t="str">
        <f>'Raw Data'!M43</f>
        <v>Instagram</v>
      </c>
      <c r="N43" s="4">
        <f>'Raw Data'!N43</f>
        <v>1834.35</v>
      </c>
    </row>
    <row r="44" spans="1:14" ht="15" customHeight="1" x14ac:dyDescent="0.2">
      <c r="A44" s="4" t="str">
        <f>'Raw Data'!A44</f>
        <v>ORD200042</v>
      </c>
      <c r="B44" s="6">
        <f>'Raw Data'!B44</f>
        <v>45418</v>
      </c>
      <c r="C44" s="4" t="str">
        <f>'Raw Data'!C44</f>
        <v>C28712</v>
      </c>
      <c r="D44" s="4" t="str">
        <f>'Raw Data'!D44</f>
        <v>Printer</v>
      </c>
      <c r="E44" s="4">
        <f>'Raw Data'!E44</f>
        <v>2</v>
      </c>
      <c r="F44" s="4">
        <f>'Raw Data'!F44</f>
        <v>151.66</v>
      </c>
      <c r="G44" s="4" t="str">
        <f>'Raw Data'!G44</f>
        <v>980 Main St</v>
      </c>
      <c r="H44" s="4" t="str">
        <f>'Raw Data'!H44</f>
        <v>Cash</v>
      </c>
      <c r="I44" s="4" t="str">
        <f>'Raw Data'!I44</f>
        <v>Cancelled</v>
      </c>
      <c r="J44" s="4" t="str">
        <f>'Raw Data'!J44</f>
        <v>TRK40772558</v>
      </c>
      <c r="K44" s="4">
        <f>'Raw Data'!K44</f>
        <v>6</v>
      </c>
      <c r="L44" s="4" t="str">
        <f>IF('Raw Data'!L44="","No Coupon",'Raw Data'!L44)</f>
        <v>No Coupon</v>
      </c>
      <c r="M44" s="4" t="str">
        <f>'Raw Data'!M44</f>
        <v>Instagram</v>
      </c>
      <c r="N44" s="4">
        <f>'Raw Data'!N44</f>
        <v>303.32</v>
      </c>
    </row>
    <row r="45" spans="1:14" ht="15" customHeight="1" x14ac:dyDescent="0.2">
      <c r="A45" s="4" t="str">
        <f>'Raw Data'!A45</f>
        <v>ORD200043</v>
      </c>
      <c r="B45" s="6">
        <f>'Raw Data'!B45</f>
        <v>45274</v>
      </c>
      <c r="C45" s="4" t="str">
        <f>'Raw Data'!C45</f>
        <v>C60572</v>
      </c>
      <c r="D45" s="4" t="str">
        <f>'Raw Data'!D45</f>
        <v>Chair</v>
      </c>
      <c r="E45" s="4">
        <f>'Raw Data'!E45</f>
        <v>3</v>
      </c>
      <c r="F45" s="4">
        <f>'Raw Data'!F45</f>
        <v>499.21</v>
      </c>
      <c r="G45" s="4" t="str">
        <f>'Raw Data'!G45</f>
        <v>871 Main St</v>
      </c>
      <c r="H45" s="4" t="str">
        <f>'Raw Data'!H45</f>
        <v>Online</v>
      </c>
      <c r="I45" s="4" t="str">
        <f>'Raw Data'!I45</f>
        <v>Cancelled</v>
      </c>
      <c r="J45" s="4" t="str">
        <f>'Raw Data'!J45</f>
        <v>TRK20351666</v>
      </c>
      <c r="K45" s="4">
        <f>'Raw Data'!K45</f>
        <v>8</v>
      </c>
      <c r="L45" s="4" t="str">
        <f>IF('Raw Data'!L45="","No Coupon",'Raw Data'!L45)</f>
        <v>No Coupon</v>
      </c>
      <c r="M45" s="4" t="str">
        <f>'Raw Data'!M45</f>
        <v>Instagram</v>
      </c>
      <c r="N45" s="4">
        <f>'Raw Data'!N45</f>
        <v>1497.63</v>
      </c>
    </row>
    <row r="46" spans="1:14" ht="15" customHeight="1" x14ac:dyDescent="0.2">
      <c r="A46" s="4" t="str">
        <f>'Raw Data'!A46</f>
        <v>ORD200044</v>
      </c>
      <c r="B46" s="6">
        <f>'Raw Data'!B46</f>
        <v>45768</v>
      </c>
      <c r="C46" s="4" t="str">
        <f>'Raw Data'!C46</f>
        <v>C73225</v>
      </c>
      <c r="D46" s="4" t="str">
        <f>'Raw Data'!D46</f>
        <v>Phone</v>
      </c>
      <c r="E46" s="4">
        <f>'Raw Data'!E46</f>
        <v>2</v>
      </c>
      <c r="F46" s="4">
        <f>'Raw Data'!F46</f>
        <v>550.17999999999995</v>
      </c>
      <c r="G46" s="4" t="str">
        <f>'Raw Data'!G46</f>
        <v>996 Main St</v>
      </c>
      <c r="H46" s="4" t="str">
        <f>'Raw Data'!H46</f>
        <v>Gift Card</v>
      </c>
      <c r="I46" s="4" t="str">
        <f>'Raw Data'!I46</f>
        <v>Returned</v>
      </c>
      <c r="J46" s="4" t="str">
        <f>'Raw Data'!J46</f>
        <v>TRK73848522</v>
      </c>
      <c r="K46" s="4">
        <f>'Raw Data'!K46</f>
        <v>3</v>
      </c>
      <c r="L46" s="4" t="str">
        <f>IF('Raw Data'!L46="","No Coupon",'Raw Data'!L46)</f>
        <v>FREESHIP</v>
      </c>
      <c r="M46" s="4" t="str">
        <f>'Raw Data'!M46</f>
        <v>Referral</v>
      </c>
      <c r="N46" s="4">
        <f>'Raw Data'!N46</f>
        <v>1100.3599999999999</v>
      </c>
    </row>
    <row r="47" spans="1:14" ht="15" customHeight="1" x14ac:dyDescent="0.2">
      <c r="A47" s="4" t="str">
        <f>'Raw Data'!A47</f>
        <v>ORD200045</v>
      </c>
      <c r="B47" s="6">
        <f>'Raw Data'!B47</f>
        <v>45332</v>
      </c>
      <c r="C47" s="4" t="str">
        <f>'Raw Data'!C47</f>
        <v>C17388</v>
      </c>
      <c r="D47" s="4" t="str">
        <f>'Raw Data'!D47</f>
        <v>Chair</v>
      </c>
      <c r="E47" s="4">
        <f>'Raw Data'!E47</f>
        <v>1</v>
      </c>
      <c r="F47" s="4">
        <f>'Raw Data'!F47</f>
        <v>317.25</v>
      </c>
      <c r="G47" s="4" t="str">
        <f>'Raw Data'!G47</f>
        <v>157 Main St</v>
      </c>
      <c r="H47" s="4" t="str">
        <f>'Raw Data'!H47</f>
        <v>Debit Card</v>
      </c>
      <c r="I47" s="4" t="str">
        <f>'Raw Data'!I47</f>
        <v>Returned</v>
      </c>
      <c r="J47" s="4" t="str">
        <f>'Raw Data'!J47</f>
        <v>TRK47077395</v>
      </c>
      <c r="K47" s="4">
        <f>'Raw Data'!K47</f>
        <v>1</v>
      </c>
      <c r="L47" s="4" t="str">
        <f>IF('Raw Data'!L47="","No Coupon",'Raw Data'!L47)</f>
        <v>SAVE10</v>
      </c>
      <c r="M47" s="4" t="str">
        <f>'Raw Data'!M47</f>
        <v>Facebook</v>
      </c>
      <c r="N47" s="4">
        <f>'Raw Data'!N47</f>
        <v>317.25</v>
      </c>
    </row>
    <row r="48" spans="1:14" ht="15" customHeight="1" x14ac:dyDescent="0.2">
      <c r="A48" s="4" t="str">
        <f>'Raw Data'!A48</f>
        <v>ORD200046</v>
      </c>
      <c r="B48" s="6">
        <f>'Raw Data'!B48</f>
        <v>45469</v>
      </c>
      <c r="C48" s="4" t="str">
        <f>'Raw Data'!C48</f>
        <v>C43212</v>
      </c>
      <c r="D48" s="4" t="str">
        <f>'Raw Data'!D48</f>
        <v>Monitor</v>
      </c>
      <c r="E48" s="4">
        <f>'Raw Data'!E48</f>
        <v>4</v>
      </c>
      <c r="F48" s="4">
        <f>'Raw Data'!F48</f>
        <v>550.14</v>
      </c>
      <c r="G48" s="4" t="str">
        <f>'Raw Data'!G48</f>
        <v>223 Main St</v>
      </c>
      <c r="H48" s="4" t="str">
        <f>'Raw Data'!H48</f>
        <v>Debit Card</v>
      </c>
      <c r="I48" s="4" t="str">
        <f>'Raw Data'!I48</f>
        <v>Pending</v>
      </c>
      <c r="J48" s="4" t="str">
        <f>'Raw Data'!J48</f>
        <v>TRK25100762</v>
      </c>
      <c r="K48" s="4">
        <f>'Raw Data'!K48</f>
        <v>4</v>
      </c>
      <c r="L48" s="4" t="str">
        <f>IF('Raw Data'!L48="","No Coupon",'Raw Data'!L48)</f>
        <v>FREESHIP</v>
      </c>
      <c r="M48" s="4" t="str">
        <f>'Raw Data'!M48</f>
        <v>Instagram</v>
      </c>
      <c r="N48" s="4">
        <f>'Raw Data'!N48</f>
        <v>2200.56</v>
      </c>
    </row>
    <row r="49" spans="1:14" ht="15" customHeight="1" x14ac:dyDescent="0.2">
      <c r="A49" s="4" t="str">
        <f>'Raw Data'!A49</f>
        <v>ORD200047</v>
      </c>
      <c r="B49" s="6">
        <f>'Raw Data'!B49</f>
        <v>45126</v>
      </c>
      <c r="C49" s="4" t="str">
        <f>'Raw Data'!C49</f>
        <v>C38134</v>
      </c>
      <c r="D49" s="4" t="str">
        <f>'Raw Data'!D49</f>
        <v>Desk</v>
      </c>
      <c r="E49" s="4">
        <f>'Raw Data'!E49</f>
        <v>2</v>
      </c>
      <c r="F49" s="4">
        <f>'Raw Data'!F49</f>
        <v>209.94</v>
      </c>
      <c r="G49" s="4" t="str">
        <f>'Raw Data'!G49</f>
        <v>323 Main St</v>
      </c>
      <c r="H49" s="4" t="str">
        <f>'Raw Data'!H49</f>
        <v>Credit Card</v>
      </c>
      <c r="I49" s="4" t="str">
        <f>'Raw Data'!I49</f>
        <v>Returned</v>
      </c>
      <c r="J49" s="4" t="str">
        <f>'Raw Data'!J49</f>
        <v>TRK42450754</v>
      </c>
      <c r="K49" s="4">
        <f>'Raw Data'!K49</f>
        <v>3</v>
      </c>
      <c r="L49" s="4" t="str">
        <f>IF('Raw Data'!L49="","No Coupon",'Raw Data'!L49)</f>
        <v>FREESHIP</v>
      </c>
      <c r="M49" s="4" t="str">
        <f>'Raw Data'!M49</f>
        <v>Email</v>
      </c>
      <c r="N49" s="4">
        <f>'Raw Data'!N49</f>
        <v>419.88</v>
      </c>
    </row>
    <row r="50" spans="1:14" ht="15" customHeight="1" x14ac:dyDescent="0.2">
      <c r="A50" s="4" t="str">
        <f>'Raw Data'!A50</f>
        <v>ORD200048</v>
      </c>
      <c r="B50" s="6">
        <f>'Raw Data'!B50</f>
        <v>45164</v>
      </c>
      <c r="C50" s="4" t="str">
        <f>'Raw Data'!C50</f>
        <v>C12408</v>
      </c>
      <c r="D50" s="4" t="str">
        <f>'Raw Data'!D50</f>
        <v>Monitor</v>
      </c>
      <c r="E50" s="4">
        <f>'Raw Data'!E50</f>
        <v>2</v>
      </c>
      <c r="F50" s="4">
        <f>'Raw Data'!F50</f>
        <v>80.77</v>
      </c>
      <c r="G50" s="4" t="str">
        <f>'Raw Data'!G50</f>
        <v>464 Main St</v>
      </c>
      <c r="H50" s="4" t="str">
        <f>'Raw Data'!H50</f>
        <v>Debit Card</v>
      </c>
      <c r="I50" s="4" t="str">
        <f>'Raw Data'!I50</f>
        <v>Shipped</v>
      </c>
      <c r="J50" s="4" t="str">
        <f>'Raw Data'!J50</f>
        <v>TRK38938858</v>
      </c>
      <c r="K50" s="4">
        <f>'Raw Data'!K50</f>
        <v>4</v>
      </c>
      <c r="L50" s="4" t="str">
        <f>IF('Raw Data'!L50="","No Coupon",'Raw Data'!L50)</f>
        <v>No Coupon</v>
      </c>
      <c r="M50" s="4" t="str">
        <f>'Raw Data'!M50</f>
        <v>Google</v>
      </c>
      <c r="N50" s="4">
        <f>'Raw Data'!N50</f>
        <v>161.54</v>
      </c>
    </row>
    <row r="51" spans="1:14" ht="15" customHeight="1" x14ac:dyDescent="0.2">
      <c r="A51" s="4" t="str">
        <f>'Raw Data'!A51</f>
        <v>ORD200049</v>
      </c>
      <c r="B51" s="6">
        <f>'Raw Data'!B51</f>
        <v>45206</v>
      </c>
      <c r="C51" s="4" t="str">
        <f>'Raw Data'!C51</f>
        <v>C11985</v>
      </c>
      <c r="D51" s="4" t="str">
        <f>'Raw Data'!D51</f>
        <v>Printer</v>
      </c>
      <c r="E51" s="4">
        <f>'Raw Data'!E51</f>
        <v>1</v>
      </c>
      <c r="F51" s="4">
        <f>'Raw Data'!F51</f>
        <v>30.44</v>
      </c>
      <c r="G51" s="4" t="str">
        <f>'Raw Data'!G51</f>
        <v>633 Main St</v>
      </c>
      <c r="H51" s="4" t="str">
        <f>'Raw Data'!H51</f>
        <v>Credit Card</v>
      </c>
      <c r="I51" s="4" t="str">
        <f>'Raw Data'!I51</f>
        <v>Shipped</v>
      </c>
      <c r="J51" s="4" t="str">
        <f>'Raw Data'!J51</f>
        <v>TRK53272402</v>
      </c>
      <c r="K51" s="4">
        <f>'Raw Data'!K51</f>
        <v>1</v>
      </c>
      <c r="L51" s="4" t="str">
        <f>IF('Raw Data'!L51="","No Coupon",'Raw Data'!L51)</f>
        <v>SAVE10</v>
      </c>
      <c r="M51" s="4" t="str">
        <f>'Raw Data'!M51</f>
        <v>Email</v>
      </c>
      <c r="N51" s="4">
        <f>'Raw Data'!N51</f>
        <v>30.44</v>
      </c>
    </row>
    <row r="52" spans="1:14" ht="15" customHeight="1" x14ac:dyDescent="0.2">
      <c r="A52" s="4" t="str">
        <f>'Raw Data'!A52</f>
        <v>ORD200050</v>
      </c>
      <c r="B52" s="6">
        <f>'Raw Data'!B52</f>
        <v>45138</v>
      </c>
      <c r="C52" s="4" t="str">
        <f>'Raw Data'!C52</f>
        <v>C96494</v>
      </c>
      <c r="D52" s="4" t="str">
        <f>'Raw Data'!D52</f>
        <v>Tablet</v>
      </c>
      <c r="E52" s="4">
        <f>'Raw Data'!E52</f>
        <v>1</v>
      </c>
      <c r="F52" s="4">
        <f>'Raw Data'!F52</f>
        <v>179.22</v>
      </c>
      <c r="G52" s="4" t="str">
        <f>'Raw Data'!G52</f>
        <v>446 Main St</v>
      </c>
      <c r="H52" s="4" t="str">
        <f>'Raw Data'!H52</f>
        <v>Online</v>
      </c>
      <c r="I52" s="4" t="str">
        <f>'Raw Data'!I52</f>
        <v>Cancelled</v>
      </c>
      <c r="J52" s="4" t="str">
        <f>'Raw Data'!J52</f>
        <v>TRK14675049</v>
      </c>
      <c r="K52" s="4">
        <f>'Raw Data'!K52</f>
        <v>6</v>
      </c>
      <c r="L52" s="4" t="str">
        <f>IF('Raw Data'!L52="","No Coupon",'Raw Data'!L52)</f>
        <v>FREESHIP</v>
      </c>
      <c r="M52" s="4" t="str">
        <f>'Raw Data'!M52</f>
        <v>Instagram</v>
      </c>
      <c r="N52" s="4">
        <f>'Raw Data'!N52</f>
        <v>179.22</v>
      </c>
    </row>
    <row r="53" spans="1:14" ht="15" customHeight="1" x14ac:dyDescent="0.2">
      <c r="A53" s="4" t="str">
        <f>'Raw Data'!A53</f>
        <v>ORD200051</v>
      </c>
      <c r="B53" s="6">
        <f>'Raw Data'!B53</f>
        <v>45656</v>
      </c>
      <c r="C53" s="4" t="str">
        <f>'Raw Data'!C53</f>
        <v>C36778</v>
      </c>
      <c r="D53" s="4" t="str">
        <f>'Raw Data'!D53</f>
        <v>Tablet</v>
      </c>
      <c r="E53" s="4">
        <f>'Raw Data'!E53</f>
        <v>1</v>
      </c>
      <c r="F53" s="4">
        <f>'Raw Data'!F53</f>
        <v>388.33</v>
      </c>
      <c r="G53" s="4" t="str">
        <f>'Raw Data'!G53</f>
        <v>434 Main St</v>
      </c>
      <c r="H53" s="4" t="str">
        <f>'Raw Data'!H53</f>
        <v>Cash</v>
      </c>
      <c r="I53" s="4" t="str">
        <f>'Raw Data'!I53</f>
        <v>Returned</v>
      </c>
      <c r="J53" s="4" t="str">
        <f>'Raw Data'!J53</f>
        <v>TRK67610289</v>
      </c>
      <c r="K53" s="4">
        <f>'Raw Data'!K53</f>
        <v>2</v>
      </c>
      <c r="L53" s="4" t="str">
        <f>IF('Raw Data'!L53="","No Coupon",'Raw Data'!L53)</f>
        <v>SAVE10</v>
      </c>
      <c r="M53" s="4" t="str">
        <f>'Raw Data'!M53</f>
        <v>Facebook</v>
      </c>
      <c r="N53" s="4">
        <f>'Raw Data'!N53</f>
        <v>388.33</v>
      </c>
    </row>
    <row r="54" spans="1:14" ht="15" customHeight="1" x14ac:dyDescent="0.2">
      <c r="A54" s="4" t="str">
        <f>'Raw Data'!A54</f>
        <v>ORD200052</v>
      </c>
      <c r="B54" s="6">
        <f>'Raw Data'!B54</f>
        <v>45543</v>
      </c>
      <c r="C54" s="4" t="str">
        <f>'Raw Data'!C54</f>
        <v>C30513</v>
      </c>
      <c r="D54" s="4" t="str">
        <f>'Raw Data'!D54</f>
        <v>Tablet</v>
      </c>
      <c r="E54" s="4">
        <f>'Raw Data'!E54</f>
        <v>1</v>
      </c>
      <c r="F54" s="4">
        <f>'Raw Data'!F54</f>
        <v>586.44000000000005</v>
      </c>
      <c r="G54" s="4" t="str">
        <f>'Raw Data'!G54</f>
        <v>232 Main St</v>
      </c>
      <c r="H54" s="4" t="str">
        <f>'Raw Data'!H54</f>
        <v>Online</v>
      </c>
      <c r="I54" s="4" t="str">
        <f>'Raw Data'!I54</f>
        <v>Returned</v>
      </c>
      <c r="J54" s="4" t="str">
        <f>'Raw Data'!J54</f>
        <v>TRK64320429</v>
      </c>
      <c r="K54" s="4">
        <f>'Raw Data'!K54</f>
        <v>5</v>
      </c>
      <c r="L54" s="4" t="str">
        <f>IF('Raw Data'!L54="","No Coupon",'Raw Data'!L54)</f>
        <v>SAVE10</v>
      </c>
      <c r="M54" s="4" t="str">
        <f>'Raw Data'!M54</f>
        <v>Facebook</v>
      </c>
      <c r="N54" s="4">
        <f>'Raw Data'!N54</f>
        <v>586.44000000000005</v>
      </c>
    </row>
    <row r="55" spans="1:14" ht="15" customHeight="1" x14ac:dyDescent="0.2">
      <c r="A55" s="4" t="str">
        <f>'Raw Data'!A55</f>
        <v>ORD200053</v>
      </c>
      <c r="B55" s="6">
        <f>'Raw Data'!B55</f>
        <v>45430</v>
      </c>
      <c r="C55" s="4" t="str">
        <f>'Raw Data'!C55</f>
        <v>C67551</v>
      </c>
      <c r="D55" s="4" t="str">
        <f>'Raw Data'!D55</f>
        <v>Phone</v>
      </c>
      <c r="E55" s="4">
        <f>'Raw Data'!E55</f>
        <v>4</v>
      </c>
      <c r="F55" s="4">
        <f>'Raw Data'!F55</f>
        <v>488.78</v>
      </c>
      <c r="G55" s="4" t="str">
        <f>'Raw Data'!G55</f>
        <v>512 Main St</v>
      </c>
      <c r="H55" s="4" t="str">
        <f>'Raw Data'!H55</f>
        <v>Online</v>
      </c>
      <c r="I55" s="4" t="str">
        <f>'Raw Data'!I55</f>
        <v>Returned</v>
      </c>
      <c r="J55" s="4" t="str">
        <f>'Raw Data'!J55</f>
        <v>TRK94992552</v>
      </c>
      <c r="K55" s="4">
        <f>'Raw Data'!K55</f>
        <v>5</v>
      </c>
      <c r="L55" s="4" t="str">
        <f>IF('Raw Data'!L55="","No Coupon",'Raw Data'!L55)</f>
        <v>FREESHIP</v>
      </c>
      <c r="M55" s="4" t="str">
        <f>'Raw Data'!M55</f>
        <v>Google</v>
      </c>
      <c r="N55" s="4">
        <f>'Raw Data'!N55</f>
        <v>1955.12</v>
      </c>
    </row>
    <row r="56" spans="1:14" ht="15" customHeight="1" x14ac:dyDescent="0.2">
      <c r="A56" s="4" t="str">
        <f>'Raw Data'!A56</f>
        <v>ORD200054</v>
      </c>
      <c r="B56" s="6">
        <f>'Raw Data'!B56</f>
        <v>45743</v>
      </c>
      <c r="C56" s="4" t="str">
        <f>'Raw Data'!C56</f>
        <v>C48120</v>
      </c>
      <c r="D56" s="4" t="str">
        <f>'Raw Data'!D56</f>
        <v>Chair</v>
      </c>
      <c r="E56" s="4">
        <f>'Raw Data'!E56</f>
        <v>1</v>
      </c>
      <c r="F56" s="4">
        <f>'Raw Data'!F56</f>
        <v>280.25</v>
      </c>
      <c r="G56" s="4" t="str">
        <f>'Raw Data'!G56</f>
        <v>623 Main St</v>
      </c>
      <c r="H56" s="4" t="str">
        <f>'Raw Data'!H56</f>
        <v>Online</v>
      </c>
      <c r="I56" s="4" t="str">
        <f>'Raw Data'!I56</f>
        <v>Pending</v>
      </c>
      <c r="J56" s="4" t="str">
        <f>'Raw Data'!J56</f>
        <v>TRK11014449</v>
      </c>
      <c r="K56" s="4">
        <f>'Raw Data'!K56</f>
        <v>5</v>
      </c>
      <c r="L56" s="4" t="str">
        <f>IF('Raw Data'!L56="","No Coupon",'Raw Data'!L56)</f>
        <v>WINTER15</v>
      </c>
      <c r="M56" s="4" t="str">
        <f>'Raw Data'!M56</f>
        <v>Email</v>
      </c>
      <c r="N56" s="4">
        <f>'Raw Data'!N56</f>
        <v>280.25</v>
      </c>
    </row>
    <row r="57" spans="1:14" ht="15" customHeight="1" x14ac:dyDescent="0.2">
      <c r="A57" s="4" t="str">
        <f>'Raw Data'!A57</f>
        <v>ORD200055</v>
      </c>
      <c r="B57" s="6">
        <f>'Raw Data'!B57</f>
        <v>45832</v>
      </c>
      <c r="C57" s="4" t="str">
        <f>'Raw Data'!C57</f>
        <v>C95984</v>
      </c>
      <c r="D57" s="4" t="str">
        <f>'Raw Data'!D57</f>
        <v>Printer</v>
      </c>
      <c r="E57" s="4">
        <f>'Raw Data'!E57</f>
        <v>3</v>
      </c>
      <c r="F57" s="4">
        <f>'Raw Data'!F57</f>
        <v>344.4</v>
      </c>
      <c r="G57" s="4" t="str">
        <f>'Raw Data'!G57</f>
        <v>565 Main St</v>
      </c>
      <c r="H57" s="4" t="str">
        <f>'Raw Data'!H57</f>
        <v>Online</v>
      </c>
      <c r="I57" s="4" t="str">
        <f>'Raw Data'!I57</f>
        <v>Cancelled</v>
      </c>
      <c r="J57" s="4" t="str">
        <f>'Raw Data'!J57</f>
        <v>TRK67434829</v>
      </c>
      <c r="K57" s="4">
        <f>'Raw Data'!K57</f>
        <v>3</v>
      </c>
      <c r="L57" s="4" t="str">
        <f>IF('Raw Data'!L57="","No Coupon",'Raw Data'!L57)</f>
        <v>No Coupon</v>
      </c>
      <c r="M57" s="4" t="str">
        <f>'Raw Data'!M57</f>
        <v>Facebook</v>
      </c>
      <c r="N57" s="4">
        <f>'Raw Data'!N57</f>
        <v>1033.2</v>
      </c>
    </row>
    <row r="58" spans="1:14" ht="15" customHeight="1" x14ac:dyDescent="0.2">
      <c r="A58" s="4" t="str">
        <f>'Raw Data'!A58</f>
        <v>ORD200056</v>
      </c>
      <c r="B58" s="6">
        <f>'Raw Data'!B58</f>
        <v>45067</v>
      </c>
      <c r="C58" s="4" t="str">
        <f>'Raw Data'!C58</f>
        <v>C54298</v>
      </c>
      <c r="D58" s="4" t="str">
        <f>'Raw Data'!D58</f>
        <v>Tablet</v>
      </c>
      <c r="E58" s="4">
        <f>'Raw Data'!E58</f>
        <v>3</v>
      </c>
      <c r="F58" s="4">
        <f>'Raw Data'!F58</f>
        <v>479.21</v>
      </c>
      <c r="G58" s="4" t="str">
        <f>'Raw Data'!G58</f>
        <v>566 Main St</v>
      </c>
      <c r="H58" s="4" t="str">
        <f>'Raw Data'!H58</f>
        <v>Cash</v>
      </c>
      <c r="I58" s="4" t="str">
        <f>'Raw Data'!I58</f>
        <v>Cancelled</v>
      </c>
      <c r="J58" s="4" t="str">
        <f>'Raw Data'!J58</f>
        <v>TRK62902341</v>
      </c>
      <c r="K58" s="4">
        <f>'Raw Data'!K58</f>
        <v>5</v>
      </c>
      <c r="L58" s="4" t="str">
        <f>IF('Raw Data'!L58="","No Coupon",'Raw Data'!L58)</f>
        <v>WINTER15</v>
      </c>
      <c r="M58" s="4" t="str">
        <f>'Raw Data'!M58</f>
        <v>Referral</v>
      </c>
      <c r="N58" s="4">
        <f>'Raw Data'!N58</f>
        <v>1437.63</v>
      </c>
    </row>
    <row r="59" spans="1:14" ht="15" customHeight="1" x14ac:dyDescent="0.2">
      <c r="A59" s="4" t="str">
        <f>'Raw Data'!A59</f>
        <v>ORD200057</v>
      </c>
      <c r="B59" s="6">
        <f>'Raw Data'!B59</f>
        <v>44948</v>
      </c>
      <c r="C59" s="4" t="str">
        <f>'Raw Data'!C59</f>
        <v>C88036</v>
      </c>
      <c r="D59" s="4" t="str">
        <f>'Raw Data'!D59</f>
        <v>Printer</v>
      </c>
      <c r="E59" s="4">
        <f>'Raw Data'!E59</f>
        <v>5</v>
      </c>
      <c r="F59" s="4">
        <f>'Raw Data'!F59</f>
        <v>314.27</v>
      </c>
      <c r="G59" s="4" t="str">
        <f>'Raw Data'!G59</f>
        <v>842 Main St</v>
      </c>
      <c r="H59" s="4" t="str">
        <f>'Raw Data'!H59</f>
        <v>Cash</v>
      </c>
      <c r="I59" s="4" t="str">
        <f>'Raw Data'!I59</f>
        <v>Returned</v>
      </c>
      <c r="J59" s="4" t="str">
        <f>'Raw Data'!J59</f>
        <v>TRK52470128</v>
      </c>
      <c r="K59" s="4">
        <f>'Raw Data'!K59</f>
        <v>6</v>
      </c>
      <c r="L59" s="4" t="str">
        <f>IF('Raw Data'!L59="","No Coupon",'Raw Data'!L59)</f>
        <v>SAVE10</v>
      </c>
      <c r="M59" s="4" t="str">
        <f>'Raw Data'!M59</f>
        <v>Instagram</v>
      </c>
      <c r="N59" s="4">
        <f>'Raw Data'!N59</f>
        <v>1571.35</v>
      </c>
    </row>
    <row r="60" spans="1:14" ht="15" customHeight="1" x14ac:dyDescent="0.2">
      <c r="A60" s="4" t="str">
        <f>'Raw Data'!A60</f>
        <v>ORD200058</v>
      </c>
      <c r="B60" s="6">
        <f>'Raw Data'!B60</f>
        <v>44941</v>
      </c>
      <c r="C60" s="4" t="str">
        <f>'Raw Data'!C60</f>
        <v>C60190</v>
      </c>
      <c r="D60" s="4" t="str">
        <f>'Raw Data'!D60</f>
        <v>Phone</v>
      </c>
      <c r="E60" s="4">
        <f>'Raw Data'!E60</f>
        <v>4</v>
      </c>
      <c r="F60" s="4">
        <f>'Raw Data'!F60</f>
        <v>474.69</v>
      </c>
      <c r="G60" s="4" t="str">
        <f>'Raw Data'!G60</f>
        <v>202 Main St</v>
      </c>
      <c r="H60" s="4" t="str">
        <f>'Raw Data'!H60</f>
        <v>Gift Card</v>
      </c>
      <c r="I60" s="4" t="str">
        <f>'Raw Data'!I60</f>
        <v>Cancelled</v>
      </c>
      <c r="J60" s="4" t="str">
        <f>'Raw Data'!J60</f>
        <v>TRK70857868</v>
      </c>
      <c r="K60" s="4">
        <f>'Raw Data'!K60</f>
        <v>6</v>
      </c>
      <c r="L60" s="4" t="str">
        <f>IF('Raw Data'!L60="","No Coupon",'Raw Data'!L60)</f>
        <v>SAVE10</v>
      </c>
      <c r="M60" s="4" t="str">
        <f>'Raw Data'!M60</f>
        <v>Google</v>
      </c>
      <c r="N60" s="4">
        <f>'Raw Data'!N60</f>
        <v>1898.76</v>
      </c>
    </row>
    <row r="61" spans="1:14" ht="15" customHeight="1" x14ac:dyDescent="0.2">
      <c r="A61" s="4" t="str">
        <f>'Raw Data'!A61</f>
        <v>ORD200059</v>
      </c>
      <c r="B61" s="6">
        <f>'Raw Data'!B61</f>
        <v>45546</v>
      </c>
      <c r="C61" s="4" t="str">
        <f>'Raw Data'!C61</f>
        <v>C97603</v>
      </c>
      <c r="D61" s="4" t="str">
        <f>'Raw Data'!D61</f>
        <v>Chair</v>
      </c>
      <c r="E61" s="4">
        <f>'Raw Data'!E61</f>
        <v>4</v>
      </c>
      <c r="F61" s="4">
        <f>'Raw Data'!F61</f>
        <v>593.27</v>
      </c>
      <c r="G61" s="4" t="str">
        <f>'Raw Data'!G61</f>
        <v>811 Main St</v>
      </c>
      <c r="H61" s="4" t="str">
        <f>'Raw Data'!H61</f>
        <v>Online</v>
      </c>
      <c r="I61" s="4" t="str">
        <f>'Raw Data'!I61</f>
        <v>Shipped</v>
      </c>
      <c r="J61" s="4" t="str">
        <f>'Raw Data'!J61</f>
        <v>TRK47055028</v>
      </c>
      <c r="K61" s="4">
        <f>'Raw Data'!K61</f>
        <v>5</v>
      </c>
      <c r="L61" s="4" t="str">
        <f>IF('Raw Data'!L61="","No Coupon",'Raw Data'!L61)</f>
        <v>No Coupon</v>
      </c>
      <c r="M61" s="4" t="str">
        <f>'Raw Data'!M61</f>
        <v>Facebook</v>
      </c>
      <c r="N61" s="4">
        <f>'Raw Data'!N61</f>
        <v>2373.08</v>
      </c>
    </row>
    <row r="62" spans="1:14" ht="15" customHeight="1" x14ac:dyDescent="0.2">
      <c r="A62" s="4" t="str">
        <f>'Raw Data'!A62</f>
        <v>ORD200060</v>
      </c>
      <c r="B62" s="6">
        <f>'Raw Data'!B62</f>
        <v>45525</v>
      </c>
      <c r="C62" s="4" t="str">
        <f>'Raw Data'!C62</f>
        <v>C39256</v>
      </c>
      <c r="D62" s="4" t="str">
        <f>'Raw Data'!D62</f>
        <v>Desk</v>
      </c>
      <c r="E62" s="4">
        <f>'Raw Data'!E62</f>
        <v>1</v>
      </c>
      <c r="F62" s="4">
        <f>'Raw Data'!F62</f>
        <v>417.1</v>
      </c>
      <c r="G62" s="4" t="str">
        <f>'Raw Data'!G62</f>
        <v>634 Main St</v>
      </c>
      <c r="H62" s="4" t="str">
        <f>'Raw Data'!H62</f>
        <v>Debit Card</v>
      </c>
      <c r="I62" s="4" t="str">
        <f>'Raw Data'!I62</f>
        <v>Returned</v>
      </c>
      <c r="J62" s="4" t="str">
        <f>'Raw Data'!J62</f>
        <v>TRK23412025</v>
      </c>
      <c r="K62" s="4">
        <f>'Raw Data'!K62</f>
        <v>3</v>
      </c>
      <c r="L62" s="4" t="str">
        <f>IF('Raw Data'!L62="","No Coupon",'Raw Data'!L62)</f>
        <v>FREESHIP</v>
      </c>
      <c r="M62" s="4" t="str">
        <f>'Raw Data'!M62</f>
        <v>Referral</v>
      </c>
      <c r="N62" s="4">
        <f>'Raw Data'!N62</f>
        <v>417.1</v>
      </c>
    </row>
    <row r="63" spans="1:14" ht="15" customHeight="1" x14ac:dyDescent="0.2">
      <c r="A63" s="4" t="str">
        <f>'Raw Data'!A63</f>
        <v>ORD200061</v>
      </c>
      <c r="B63" s="6">
        <f>'Raw Data'!B63</f>
        <v>45375</v>
      </c>
      <c r="C63" s="4" t="str">
        <f>'Raw Data'!C63</f>
        <v>C61618</v>
      </c>
      <c r="D63" s="4" t="str">
        <f>'Raw Data'!D63</f>
        <v>Desk</v>
      </c>
      <c r="E63" s="4">
        <f>'Raw Data'!E63</f>
        <v>4</v>
      </c>
      <c r="F63" s="4">
        <f>'Raw Data'!F63</f>
        <v>122.2</v>
      </c>
      <c r="G63" s="4" t="str">
        <f>'Raw Data'!G63</f>
        <v>104 Main St</v>
      </c>
      <c r="H63" s="4" t="str">
        <f>'Raw Data'!H63</f>
        <v>Cash</v>
      </c>
      <c r="I63" s="4" t="str">
        <f>'Raw Data'!I63</f>
        <v>Delivered</v>
      </c>
      <c r="J63" s="4" t="str">
        <f>'Raw Data'!J63</f>
        <v>TRK43458485</v>
      </c>
      <c r="K63" s="4">
        <f>'Raw Data'!K63</f>
        <v>7</v>
      </c>
      <c r="L63" s="4" t="str">
        <f>IF('Raw Data'!L63="","No Coupon",'Raw Data'!L63)</f>
        <v>FREESHIP</v>
      </c>
      <c r="M63" s="4" t="str">
        <f>'Raw Data'!M63</f>
        <v>Facebook</v>
      </c>
      <c r="N63" s="4">
        <f>'Raw Data'!N63</f>
        <v>488.8</v>
      </c>
    </row>
    <row r="64" spans="1:14" ht="15" customHeight="1" x14ac:dyDescent="0.2">
      <c r="A64" s="4" t="str">
        <f>'Raw Data'!A64</f>
        <v>ORD200062</v>
      </c>
      <c r="B64" s="6">
        <f>'Raw Data'!B64</f>
        <v>45160</v>
      </c>
      <c r="C64" s="4" t="str">
        <f>'Raw Data'!C64</f>
        <v>C36497</v>
      </c>
      <c r="D64" s="4" t="str">
        <f>'Raw Data'!D64</f>
        <v>Desk</v>
      </c>
      <c r="E64" s="4">
        <f>'Raw Data'!E64</f>
        <v>2</v>
      </c>
      <c r="F64" s="4">
        <f>'Raw Data'!F64</f>
        <v>43.15</v>
      </c>
      <c r="G64" s="4" t="str">
        <f>'Raw Data'!G64</f>
        <v>691 Main St</v>
      </c>
      <c r="H64" s="4" t="str">
        <f>'Raw Data'!H64</f>
        <v>Debit Card</v>
      </c>
      <c r="I64" s="4" t="str">
        <f>'Raw Data'!I64</f>
        <v>Pending</v>
      </c>
      <c r="J64" s="4" t="str">
        <f>'Raw Data'!J64</f>
        <v>TRK12102911</v>
      </c>
      <c r="K64" s="4">
        <f>'Raw Data'!K64</f>
        <v>3</v>
      </c>
      <c r="L64" s="4" t="str">
        <f>IF('Raw Data'!L64="","No Coupon",'Raw Data'!L64)</f>
        <v>WINTER15</v>
      </c>
      <c r="M64" s="4" t="str">
        <f>'Raw Data'!M64</f>
        <v>Email</v>
      </c>
      <c r="N64" s="4">
        <f>'Raw Data'!N64</f>
        <v>86.3</v>
      </c>
    </row>
    <row r="65" spans="1:14" ht="15" customHeight="1" x14ac:dyDescent="0.2">
      <c r="A65" s="4" t="str">
        <f>'Raw Data'!A65</f>
        <v>ORD200063</v>
      </c>
      <c r="B65" s="6">
        <f>'Raw Data'!B65</f>
        <v>45690</v>
      </c>
      <c r="C65" s="4" t="str">
        <f>'Raw Data'!C65</f>
        <v>C96695</v>
      </c>
      <c r="D65" s="4" t="str">
        <f>'Raw Data'!D65</f>
        <v>Chair</v>
      </c>
      <c r="E65" s="4">
        <f>'Raw Data'!E65</f>
        <v>1</v>
      </c>
      <c r="F65" s="4">
        <f>'Raw Data'!F65</f>
        <v>564.86</v>
      </c>
      <c r="G65" s="4" t="str">
        <f>'Raw Data'!G65</f>
        <v>813 Main St</v>
      </c>
      <c r="H65" s="4" t="str">
        <f>'Raw Data'!H65</f>
        <v>Debit Card</v>
      </c>
      <c r="I65" s="4" t="str">
        <f>'Raw Data'!I65</f>
        <v>Shipped</v>
      </c>
      <c r="J65" s="4" t="str">
        <f>'Raw Data'!J65</f>
        <v>TRK64283851</v>
      </c>
      <c r="K65" s="4">
        <f>'Raw Data'!K65</f>
        <v>6</v>
      </c>
      <c r="L65" s="4" t="str">
        <f>IF('Raw Data'!L65="","No Coupon",'Raw Data'!L65)</f>
        <v>WINTER15</v>
      </c>
      <c r="M65" s="4" t="str">
        <f>'Raw Data'!M65</f>
        <v>Referral</v>
      </c>
      <c r="N65" s="4">
        <f>'Raw Data'!N65</f>
        <v>564.86</v>
      </c>
    </row>
    <row r="66" spans="1:14" ht="15" customHeight="1" x14ac:dyDescent="0.2">
      <c r="A66" s="4" t="str">
        <f>'Raw Data'!A66</f>
        <v>ORD200064</v>
      </c>
      <c r="B66" s="6">
        <f>'Raw Data'!B66</f>
        <v>45833</v>
      </c>
      <c r="C66" s="4" t="str">
        <f>'Raw Data'!C66</f>
        <v>C49720</v>
      </c>
      <c r="D66" s="4" t="str">
        <f>'Raw Data'!D66</f>
        <v>Printer</v>
      </c>
      <c r="E66" s="4">
        <f>'Raw Data'!E66</f>
        <v>3</v>
      </c>
      <c r="F66" s="4">
        <f>'Raw Data'!F66</f>
        <v>130.61000000000001</v>
      </c>
      <c r="G66" s="4" t="str">
        <f>'Raw Data'!G66</f>
        <v>752 Main St</v>
      </c>
      <c r="H66" s="4" t="str">
        <f>'Raw Data'!H66</f>
        <v>Debit Card</v>
      </c>
      <c r="I66" s="4" t="str">
        <f>'Raw Data'!I66</f>
        <v>Cancelled</v>
      </c>
      <c r="J66" s="4" t="str">
        <f>'Raw Data'!J66</f>
        <v>TRK55785217</v>
      </c>
      <c r="K66" s="4">
        <f>'Raw Data'!K66</f>
        <v>4</v>
      </c>
      <c r="L66" s="4" t="str">
        <f>IF('Raw Data'!L66="","No Coupon",'Raw Data'!L66)</f>
        <v>FREESHIP</v>
      </c>
      <c r="M66" s="4" t="str">
        <f>'Raw Data'!M66</f>
        <v>Facebook</v>
      </c>
      <c r="N66" s="4">
        <f>'Raw Data'!N66</f>
        <v>391.83</v>
      </c>
    </row>
    <row r="67" spans="1:14" ht="15" customHeight="1" x14ac:dyDescent="0.2">
      <c r="A67" s="4" t="str">
        <f>'Raw Data'!A67</f>
        <v>ORD200065</v>
      </c>
      <c r="B67" s="6">
        <f>'Raw Data'!B67</f>
        <v>45290</v>
      </c>
      <c r="C67" s="4" t="str">
        <f>'Raw Data'!C67</f>
        <v>C97735</v>
      </c>
      <c r="D67" s="4" t="str">
        <f>'Raw Data'!D67</f>
        <v>Monitor</v>
      </c>
      <c r="E67" s="4">
        <f>'Raw Data'!E67</f>
        <v>5</v>
      </c>
      <c r="F67" s="4">
        <f>'Raw Data'!F67</f>
        <v>81.7</v>
      </c>
      <c r="G67" s="4" t="str">
        <f>'Raw Data'!G67</f>
        <v>385 Main St</v>
      </c>
      <c r="H67" s="4" t="str">
        <f>'Raw Data'!H67</f>
        <v>Credit Card</v>
      </c>
      <c r="I67" s="4" t="str">
        <f>'Raw Data'!I67</f>
        <v>Delivered</v>
      </c>
      <c r="J67" s="4" t="str">
        <f>'Raw Data'!J67</f>
        <v>TRK13743703</v>
      </c>
      <c r="K67" s="4">
        <f>'Raw Data'!K67</f>
        <v>6</v>
      </c>
      <c r="L67" s="4" t="str">
        <f>IF('Raw Data'!L67="","No Coupon",'Raw Data'!L67)</f>
        <v>No Coupon</v>
      </c>
      <c r="M67" s="4" t="str">
        <f>'Raw Data'!M67</f>
        <v>Instagram</v>
      </c>
      <c r="N67" s="4">
        <f>'Raw Data'!N67</f>
        <v>408.5</v>
      </c>
    </row>
    <row r="68" spans="1:14" ht="15" customHeight="1" x14ac:dyDescent="0.2">
      <c r="A68" s="4" t="str">
        <f>'Raw Data'!A68</f>
        <v>ORD200066</v>
      </c>
      <c r="B68" s="6">
        <f>'Raw Data'!B68</f>
        <v>45611</v>
      </c>
      <c r="C68" s="4" t="str">
        <f>'Raw Data'!C68</f>
        <v>C18104</v>
      </c>
      <c r="D68" s="4" t="str">
        <f>'Raw Data'!D68</f>
        <v>Chair</v>
      </c>
      <c r="E68" s="4">
        <f>'Raw Data'!E68</f>
        <v>5</v>
      </c>
      <c r="F68" s="4">
        <f>'Raw Data'!F68</f>
        <v>127.18</v>
      </c>
      <c r="G68" s="4" t="str">
        <f>'Raw Data'!G68</f>
        <v>715 Main St</v>
      </c>
      <c r="H68" s="4" t="str">
        <f>'Raw Data'!H68</f>
        <v>Cash</v>
      </c>
      <c r="I68" s="4" t="str">
        <f>'Raw Data'!I68</f>
        <v>Cancelled</v>
      </c>
      <c r="J68" s="4" t="str">
        <f>'Raw Data'!J68</f>
        <v>TRK15488568</v>
      </c>
      <c r="K68" s="4">
        <f>'Raw Data'!K68</f>
        <v>9</v>
      </c>
      <c r="L68" s="4" t="str">
        <f>IF('Raw Data'!L68="","No Coupon",'Raw Data'!L68)</f>
        <v>SAVE10</v>
      </c>
      <c r="M68" s="4" t="str">
        <f>'Raw Data'!M68</f>
        <v>Referral</v>
      </c>
      <c r="N68" s="4">
        <f>'Raw Data'!N68</f>
        <v>635.9</v>
      </c>
    </row>
    <row r="69" spans="1:14" ht="15" customHeight="1" x14ac:dyDescent="0.2">
      <c r="A69" s="4" t="str">
        <f>'Raw Data'!A69</f>
        <v>ORD200067</v>
      </c>
      <c r="B69" s="6">
        <f>'Raw Data'!B69</f>
        <v>45635</v>
      </c>
      <c r="C69" s="4" t="str">
        <f>'Raw Data'!C69</f>
        <v>C25587</v>
      </c>
      <c r="D69" s="4" t="str">
        <f>'Raw Data'!D69</f>
        <v>Printer</v>
      </c>
      <c r="E69" s="4">
        <f>'Raw Data'!E69</f>
        <v>4</v>
      </c>
      <c r="F69" s="4">
        <f>'Raw Data'!F69</f>
        <v>12.1</v>
      </c>
      <c r="G69" s="4" t="str">
        <f>'Raw Data'!G69</f>
        <v>440 Main St</v>
      </c>
      <c r="H69" s="4" t="str">
        <f>'Raw Data'!H69</f>
        <v>Debit Card</v>
      </c>
      <c r="I69" s="4" t="str">
        <f>'Raw Data'!I69</f>
        <v>Cancelled</v>
      </c>
      <c r="J69" s="4" t="str">
        <f>'Raw Data'!J69</f>
        <v>TRK55105323</v>
      </c>
      <c r="K69" s="4">
        <f>'Raw Data'!K69</f>
        <v>8</v>
      </c>
      <c r="L69" s="4" t="str">
        <f>IF('Raw Data'!L69="","No Coupon",'Raw Data'!L69)</f>
        <v>No Coupon</v>
      </c>
      <c r="M69" s="4" t="str">
        <f>'Raw Data'!M69</f>
        <v>Google</v>
      </c>
      <c r="N69" s="4">
        <f>'Raw Data'!N69</f>
        <v>48.4</v>
      </c>
    </row>
    <row r="70" spans="1:14" ht="15" customHeight="1" x14ac:dyDescent="0.2">
      <c r="A70" s="4" t="str">
        <f>'Raw Data'!A70</f>
        <v>ORD200068</v>
      </c>
      <c r="B70" s="6">
        <f>'Raw Data'!B70</f>
        <v>45271</v>
      </c>
      <c r="C70" s="4" t="str">
        <f>'Raw Data'!C70</f>
        <v>C41598</v>
      </c>
      <c r="D70" s="4" t="str">
        <f>'Raw Data'!D70</f>
        <v>Chair</v>
      </c>
      <c r="E70" s="4">
        <f>'Raw Data'!E70</f>
        <v>3</v>
      </c>
      <c r="F70" s="4">
        <f>'Raw Data'!F70</f>
        <v>490.92</v>
      </c>
      <c r="G70" s="4" t="str">
        <f>'Raw Data'!G70</f>
        <v>709 Main St</v>
      </c>
      <c r="H70" s="4" t="str">
        <f>'Raw Data'!H70</f>
        <v>Credit Card</v>
      </c>
      <c r="I70" s="4" t="str">
        <f>'Raw Data'!I70</f>
        <v>Pending</v>
      </c>
      <c r="J70" s="4" t="str">
        <f>'Raw Data'!J70</f>
        <v>TRK81665940</v>
      </c>
      <c r="K70" s="4">
        <f>'Raw Data'!K70</f>
        <v>5</v>
      </c>
      <c r="L70" s="4" t="str">
        <f>IF('Raw Data'!L70="","No Coupon",'Raw Data'!L70)</f>
        <v>FREESHIP</v>
      </c>
      <c r="M70" s="4" t="str">
        <f>'Raw Data'!M70</f>
        <v>Email</v>
      </c>
      <c r="N70" s="4">
        <f>'Raw Data'!N70</f>
        <v>1472.76</v>
      </c>
    </row>
    <row r="71" spans="1:14" ht="15" customHeight="1" x14ac:dyDescent="0.2">
      <c r="A71" s="4" t="str">
        <f>'Raw Data'!A71</f>
        <v>ORD200069</v>
      </c>
      <c r="B71" s="6">
        <f>'Raw Data'!B71</f>
        <v>45057</v>
      </c>
      <c r="C71" s="4" t="str">
        <f>'Raw Data'!C71</f>
        <v>C43338</v>
      </c>
      <c r="D71" s="4" t="str">
        <f>'Raw Data'!D71</f>
        <v>Monitor</v>
      </c>
      <c r="E71" s="4">
        <f>'Raw Data'!E71</f>
        <v>3</v>
      </c>
      <c r="F71" s="4">
        <f>'Raw Data'!F71</f>
        <v>478.65</v>
      </c>
      <c r="G71" s="4" t="str">
        <f>'Raw Data'!G71</f>
        <v>552 Main St</v>
      </c>
      <c r="H71" s="4" t="str">
        <f>'Raw Data'!H71</f>
        <v>Online</v>
      </c>
      <c r="I71" s="4" t="str">
        <f>'Raw Data'!I71</f>
        <v>Shipped</v>
      </c>
      <c r="J71" s="4" t="str">
        <f>'Raw Data'!J71</f>
        <v>TRK35241775</v>
      </c>
      <c r="K71" s="4">
        <f>'Raw Data'!K71</f>
        <v>4</v>
      </c>
      <c r="L71" s="4" t="str">
        <f>IF('Raw Data'!L71="","No Coupon",'Raw Data'!L71)</f>
        <v>No Coupon</v>
      </c>
      <c r="M71" s="4" t="str">
        <f>'Raw Data'!M71</f>
        <v>Referral</v>
      </c>
      <c r="N71" s="4">
        <f>'Raw Data'!N71</f>
        <v>1435.95</v>
      </c>
    </row>
    <row r="72" spans="1:14" ht="15" customHeight="1" x14ac:dyDescent="0.2">
      <c r="A72" s="4" t="str">
        <f>'Raw Data'!A72</f>
        <v>ORD200070</v>
      </c>
      <c r="B72" s="6">
        <f>'Raw Data'!B72</f>
        <v>45072</v>
      </c>
      <c r="C72" s="4" t="str">
        <f>'Raw Data'!C72</f>
        <v>C25123</v>
      </c>
      <c r="D72" s="4" t="str">
        <f>'Raw Data'!D72</f>
        <v>Desk</v>
      </c>
      <c r="E72" s="4">
        <f>'Raw Data'!E72</f>
        <v>1</v>
      </c>
      <c r="F72" s="4">
        <f>'Raw Data'!F72</f>
        <v>629.21</v>
      </c>
      <c r="G72" s="4" t="str">
        <f>'Raw Data'!G72</f>
        <v>384 Main St</v>
      </c>
      <c r="H72" s="4" t="str">
        <f>'Raw Data'!H72</f>
        <v>Gift Card</v>
      </c>
      <c r="I72" s="4" t="str">
        <f>'Raw Data'!I72</f>
        <v>Pending</v>
      </c>
      <c r="J72" s="4" t="str">
        <f>'Raw Data'!J72</f>
        <v>TRK27812282</v>
      </c>
      <c r="K72" s="4">
        <f>'Raw Data'!K72</f>
        <v>2</v>
      </c>
      <c r="L72" s="4" t="str">
        <f>IF('Raw Data'!L72="","No Coupon",'Raw Data'!L72)</f>
        <v>FREESHIP</v>
      </c>
      <c r="M72" s="4" t="str">
        <f>'Raw Data'!M72</f>
        <v>Instagram</v>
      </c>
      <c r="N72" s="4">
        <f>'Raw Data'!N72</f>
        <v>629.21</v>
      </c>
    </row>
    <row r="73" spans="1:14" ht="15" customHeight="1" x14ac:dyDescent="0.2">
      <c r="A73" s="4" t="str">
        <f>'Raw Data'!A73</f>
        <v>ORD200071</v>
      </c>
      <c r="B73" s="6">
        <f>'Raw Data'!B73</f>
        <v>45818</v>
      </c>
      <c r="C73" s="4" t="str">
        <f>'Raw Data'!C73</f>
        <v>C37454</v>
      </c>
      <c r="D73" s="4" t="str">
        <f>'Raw Data'!D73</f>
        <v>Monitor</v>
      </c>
      <c r="E73" s="4">
        <f>'Raw Data'!E73</f>
        <v>3</v>
      </c>
      <c r="F73" s="4">
        <f>'Raw Data'!F73</f>
        <v>434.45</v>
      </c>
      <c r="G73" s="4" t="str">
        <f>'Raw Data'!G73</f>
        <v>923 Main St</v>
      </c>
      <c r="H73" s="4" t="str">
        <f>'Raw Data'!H73</f>
        <v>Credit Card</v>
      </c>
      <c r="I73" s="4" t="str">
        <f>'Raw Data'!I73</f>
        <v>Pending</v>
      </c>
      <c r="J73" s="4" t="str">
        <f>'Raw Data'!J73</f>
        <v>TRK28252730</v>
      </c>
      <c r="K73" s="4">
        <f>'Raw Data'!K73</f>
        <v>4</v>
      </c>
      <c r="L73" s="4" t="str">
        <f>IF('Raw Data'!L73="","No Coupon",'Raw Data'!L73)</f>
        <v>No Coupon</v>
      </c>
      <c r="M73" s="4" t="str">
        <f>'Raw Data'!M73</f>
        <v>Referral</v>
      </c>
      <c r="N73" s="4">
        <f>'Raw Data'!N73</f>
        <v>1303.3499999999999</v>
      </c>
    </row>
    <row r="74" spans="1:14" ht="15" customHeight="1" x14ac:dyDescent="0.2">
      <c r="A74" s="4" t="str">
        <f>'Raw Data'!A74</f>
        <v>ORD200072</v>
      </c>
      <c r="B74" s="6">
        <f>'Raw Data'!B74</f>
        <v>45648</v>
      </c>
      <c r="C74" s="4" t="str">
        <f>'Raw Data'!C74</f>
        <v>C19451</v>
      </c>
      <c r="D74" s="4" t="str">
        <f>'Raw Data'!D74</f>
        <v>Tablet</v>
      </c>
      <c r="E74" s="4">
        <f>'Raw Data'!E74</f>
        <v>4</v>
      </c>
      <c r="F74" s="4">
        <f>'Raw Data'!F74</f>
        <v>589.44000000000005</v>
      </c>
      <c r="G74" s="4" t="str">
        <f>'Raw Data'!G74</f>
        <v>942 Main St</v>
      </c>
      <c r="H74" s="4" t="str">
        <f>'Raw Data'!H74</f>
        <v>Gift Card</v>
      </c>
      <c r="I74" s="4" t="str">
        <f>'Raw Data'!I74</f>
        <v>Returned</v>
      </c>
      <c r="J74" s="4" t="str">
        <f>'Raw Data'!J74</f>
        <v>TRK87787793</v>
      </c>
      <c r="K74" s="4">
        <f>'Raw Data'!K74</f>
        <v>5</v>
      </c>
      <c r="L74" s="4" t="str">
        <f>IF('Raw Data'!L74="","No Coupon",'Raw Data'!L74)</f>
        <v>No Coupon</v>
      </c>
      <c r="M74" s="4" t="str">
        <f>'Raw Data'!M74</f>
        <v>Facebook</v>
      </c>
      <c r="N74" s="4">
        <f>'Raw Data'!N74</f>
        <v>2357.7600000000002</v>
      </c>
    </row>
    <row r="75" spans="1:14" ht="15" customHeight="1" x14ac:dyDescent="0.2">
      <c r="A75" s="4" t="str">
        <f>'Raw Data'!A75</f>
        <v>ORD200073</v>
      </c>
      <c r="B75" s="6">
        <f>'Raw Data'!B75</f>
        <v>45049</v>
      </c>
      <c r="C75" s="4" t="str">
        <f>'Raw Data'!C75</f>
        <v>C17269</v>
      </c>
      <c r="D75" s="4" t="str">
        <f>'Raw Data'!D75</f>
        <v>Monitor</v>
      </c>
      <c r="E75" s="4">
        <f>'Raw Data'!E75</f>
        <v>4</v>
      </c>
      <c r="F75" s="4">
        <f>'Raw Data'!F75</f>
        <v>433.45</v>
      </c>
      <c r="G75" s="4" t="str">
        <f>'Raw Data'!G75</f>
        <v>129 Main St</v>
      </c>
      <c r="H75" s="4" t="str">
        <f>'Raw Data'!H75</f>
        <v>Gift Card</v>
      </c>
      <c r="I75" s="4" t="str">
        <f>'Raw Data'!I75</f>
        <v>Cancelled</v>
      </c>
      <c r="J75" s="4" t="str">
        <f>'Raw Data'!J75</f>
        <v>TRK79608389</v>
      </c>
      <c r="K75" s="4">
        <f>'Raw Data'!K75</f>
        <v>4</v>
      </c>
      <c r="L75" s="4" t="str">
        <f>IF('Raw Data'!L75="","No Coupon",'Raw Data'!L75)</f>
        <v>No Coupon</v>
      </c>
      <c r="M75" s="4" t="str">
        <f>'Raw Data'!M75</f>
        <v>Facebook</v>
      </c>
      <c r="N75" s="4">
        <f>'Raw Data'!N75</f>
        <v>1733.8</v>
      </c>
    </row>
    <row r="76" spans="1:14" ht="15" customHeight="1" x14ac:dyDescent="0.2">
      <c r="A76" s="4" t="str">
        <f>'Raw Data'!A76</f>
        <v>ORD200074</v>
      </c>
      <c r="B76" s="6">
        <f>'Raw Data'!B76</f>
        <v>45101</v>
      </c>
      <c r="C76" s="4" t="str">
        <f>'Raw Data'!C76</f>
        <v>C25382</v>
      </c>
      <c r="D76" s="4" t="str">
        <f>'Raw Data'!D76</f>
        <v>Phone</v>
      </c>
      <c r="E76" s="4">
        <f>'Raw Data'!E76</f>
        <v>5</v>
      </c>
      <c r="F76" s="4">
        <f>'Raw Data'!F76</f>
        <v>90.87</v>
      </c>
      <c r="G76" s="4" t="str">
        <f>'Raw Data'!G76</f>
        <v>622 Main St</v>
      </c>
      <c r="H76" s="4" t="str">
        <f>'Raw Data'!H76</f>
        <v>Cash</v>
      </c>
      <c r="I76" s="4" t="str">
        <f>'Raw Data'!I76</f>
        <v>Pending</v>
      </c>
      <c r="J76" s="4" t="str">
        <f>'Raw Data'!J76</f>
        <v>TRK64691287</v>
      </c>
      <c r="K76" s="4">
        <f>'Raw Data'!K76</f>
        <v>5</v>
      </c>
      <c r="L76" s="4" t="str">
        <f>IF('Raw Data'!L76="","No Coupon",'Raw Data'!L76)</f>
        <v>No Coupon</v>
      </c>
      <c r="M76" s="4" t="str">
        <f>'Raw Data'!M76</f>
        <v>Instagram</v>
      </c>
      <c r="N76" s="4">
        <f>'Raw Data'!N76</f>
        <v>454.35</v>
      </c>
    </row>
    <row r="77" spans="1:14" ht="15" customHeight="1" x14ac:dyDescent="0.2">
      <c r="A77" s="4" t="str">
        <f>'Raw Data'!A77</f>
        <v>ORD200075</v>
      </c>
      <c r="B77" s="6">
        <f>'Raw Data'!B77</f>
        <v>45195</v>
      </c>
      <c r="C77" s="4" t="str">
        <f>'Raw Data'!C77</f>
        <v>C80651</v>
      </c>
      <c r="D77" s="4" t="str">
        <f>'Raw Data'!D77</f>
        <v>Tablet</v>
      </c>
      <c r="E77" s="4">
        <f>'Raw Data'!E77</f>
        <v>3</v>
      </c>
      <c r="F77" s="4">
        <f>'Raw Data'!F77</f>
        <v>398.17</v>
      </c>
      <c r="G77" s="4" t="str">
        <f>'Raw Data'!G77</f>
        <v>917 Main St</v>
      </c>
      <c r="H77" s="4" t="str">
        <f>'Raw Data'!H77</f>
        <v>Debit Card</v>
      </c>
      <c r="I77" s="4" t="str">
        <f>'Raw Data'!I77</f>
        <v>Delivered</v>
      </c>
      <c r="J77" s="4" t="str">
        <f>'Raw Data'!J77</f>
        <v>TRK14846720</v>
      </c>
      <c r="K77" s="4">
        <f>'Raw Data'!K77</f>
        <v>5</v>
      </c>
      <c r="L77" s="4" t="str">
        <f>IF('Raw Data'!L77="","No Coupon",'Raw Data'!L77)</f>
        <v>SAVE10</v>
      </c>
      <c r="M77" s="4" t="str">
        <f>'Raw Data'!M77</f>
        <v>Email</v>
      </c>
      <c r="N77" s="4">
        <f>'Raw Data'!N77</f>
        <v>1194.51</v>
      </c>
    </row>
    <row r="78" spans="1:14" ht="15" customHeight="1" x14ac:dyDescent="0.2">
      <c r="A78" s="4" t="str">
        <f>'Raw Data'!A78</f>
        <v>ORD200076</v>
      </c>
      <c r="B78" s="6">
        <f>'Raw Data'!B78</f>
        <v>45382</v>
      </c>
      <c r="C78" s="4" t="str">
        <f>'Raw Data'!C78</f>
        <v>C58638</v>
      </c>
      <c r="D78" s="4" t="str">
        <f>'Raw Data'!D78</f>
        <v>Laptop</v>
      </c>
      <c r="E78" s="4">
        <f>'Raw Data'!E78</f>
        <v>4</v>
      </c>
      <c r="F78" s="4">
        <f>'Raw Data'!F78</f>
        <v>382.88</v>
      </c>
      <c r="G78" s="4" t="str">
        <f>'Raw Data'!G78</f>
        <v>239 Main St</v>
      </c>
      <c r="H78" s="4" t="str">
        <f>'Raw Data'!H78</f>
        <v>Cash</v>
      </c>
      <c r="I78" s="4" t="str">
        <f>'Raw Data'!I78</f>
        <v>Cancelled</v>
      </c>
      <c r="J78" s="4" t="str">
        <f>'Raw Data'!J78</f>
        <v>TRK38224871</v>
      </c>
      <c r="K78" s="4">
        <f>'Raw Data'!K78</f>
        <v>6</v>
      </c>
      <c r="L78" s="4" t="str">
        <f>IF('Raw Data'!L78="","No Coupon",'Raw Data'!L78)</f>
        <v>WINTER15</v>
      </c>
      <c r="M78" s="4" t="str">
        <f>'Raw Data'!M78</f>
        <v>Email</v>
      </c>
      <c r="N78" s="4">
        <f>'Raw Data'!N78</f>
        <v>1531.52</v>
      </c>
    </row>
    <row r="79" spans="1:14" ht="15" customHeight="1" x14ac:dyDescent="0.2">
      <c r="A79" s="4" t="str">
        <f>'Raw Data'!A79</f>
        <v>ORD200077</v>
      </c>
      <c r="B79" s="6">
        <f>'Raw Data'!B79</f>
        <v>45436</v>
      </c>
      <c r="C79" s="4" t="str">
        <f>'Raw Data'!C79</f>
        <v>C50121</v>
      </c>
      <c r="D79" s="4" t="str">
        <f>'Raw Data'!D79</f>
        <v>Phone</v>
      </c>
      <c r="E79" s="4">
        <f>'Raw Data'!E79</f>
        <v>1</v>
      </c>
      <c r="F79" s="4">
        <f>'Raw Data'!F79</f>
        <v>583.17999999999995</v>
      </c>
      <c r="G79" s="4" t="str">
        <f>'Raw Data'!G79</f>
        <v>348 Main St</v>
      </c>
      <c r="H79" s="4" t="str">
        <f>'Raw Data'!H79</f>
        <v>Credit Card</v>
      </c>
      <c r="I79" s="4" t="str">
        <f>'Raw Data'!I79</f>
        <v>Returned</v>
      </c>
      <c r="J79" s="4" t="str">
        <f>'Raw Data'!J79</f>
        <v>TRK79810059</v>
      </c>
      <c r="K79" s="4">
        <f>'Raw Data'!K79</f>
        <v>5</v>
      </c>
      <c r="L79" s="4" t="str">
        <f>IF('Raw Data'!L79="","No Coupon",'Raw Data'!L79)</f>
        <v>No Coupon</v>
      </c>
      <c r="M79" s="4" t="str">
        <f>'Raw Data'!M79</f>
        <v>Google</v>
      </c>
      <c r="N79" s="4">
        <f>'Raw Data'!N79</f>
        <v>583.17999999999995</v>
      </c>
    </row>
    <row r="80" spans="1:14" ht="15" customHeight="1" x14ac:dyDescent="0.2">
      <c r="A80" s="4" t="str">
        <f>'Raw Data'!A80</f>
        <v>ORD200078</v>
      </c>
      <c r="B80" s="6">
        <f>'Raw Data'!B80</f>
        <v>45510</v>
      </c>
      <c r="C80" s="4" t="str">
        <f>'Raw Data'!C80</f>
        <v>C32029</v>
      </c>
      <c r="D80" s="4" t="str">
        <f>'Raw Data'!D80</f>
        <v>Printer</v>
      </c>
      <c r="E80" s="4">
        <f>'Raw Data'!E80</f>
        <v>4</v>
      </c>
      <c r="F80" s="4">
        <f>'Raw Data'!F80</f>
        <v>175.36</v>
      </c>
      <c r="G80" s="4" t="str">
        <f>'Raw Data'!G80</f>
        <v>146 Main St</v>
      </c>
      <c r="H80" s="4" t="str">
        <f>'Raw Data'!H80</f>
        <v>Debit Card</v>
      </c>
      <c r="I80" s="4" t="str">
        <f>'Raw Data'!I80</f>
        <v>Delivered</v>
      </c>
      <c r="J80" s="4" t="str">
        <f>'Raw Data'!J80</f>
        <v>TRK68535532</v>
      </c>
      <c r="K80" s="4">
        <f>'Raw Data'!K80</f>
        <v>4</v>
      </c>
      <c r="L80" s="4" t="str">
        <f>IF('Raw Data'!L80="","No Coupon",'Raw Data'!L80)</f>
        <v>FREESHIP</v>
      </c>
      <c r="M80" s="4" t="str">
        <f>'Raw Data'!M80</f>
        <v>Instagram</v>
      </c>
      <c r="N80" s="4">
        <f>'Raw Data'!N80</f>
        <v>701.44</v>
      </c>
    </row>
    <row r="81" spans="1:14" ht="15" customHeight="1" x14ac:dyDescent="0.2">
      <c r="A81" s="4" t="str">
        <f>'Raw Data'!A81</f>
        <v>ORD200079</v>
      </c>
      <c r="B81" s="6">
        <f>'Raw Data'!B81</f>
        <v>45726</v>
      </c>
      <c r="C81" s="4" t="str">
        <f>'Raw Data'!C81</f>
        <v>C76700</v>
      </c>
      <c r="D81" s="4" t="str">
        <f>'Raw Data'!D81</f>
        <v>Tablet</v>
      </c>
      <c r="E81" s="4">
        <f>'Raw Data'!E81</f>
        <v>2</v>
      </c>
      <c r="F81" s="4">
        <f>'Raw Data'!F81</f>
        <v>311.91000000000003</v>
      </c>
      <c r="G81" s="4" t="str">
        <f>'Raw Data'!G81</f>
        <v>103 Main St</v>
      </c>
      <c r="H81" s="4" t="str">
        <f>'Raw Data'!H81</f>
        <v>Online</v>
      </c>
      <c r="I81" s="4" t="str">
        <f>'Raw Data'!I81</f>
        <v>Shipped</v>
      </c>
      <c r="J81" s="4" t="str">
        <f>'Raw Data'!J81</f>
        <v>TRK13036341</v>
      </c>
      <c r="K81" s="4">
        <f>'Raw Data'!K81</f>
        <v>2</v>
      </c>
      <c r="L81" s="4" t="str">
        <f>IF('Raw Data'!L81="","No Coupon",'Raw Data'!L81)</f>
        <v>No Coupon</v>
      </c>
      <c r="M81" s="4" t="str">
        <f>'Raw Data'!M81</f>
        <v>Facebook</v>
      </c>
      <c r="N81" s="4">
        <f>'Raw Data'!N81</f>
        <v>623.82000000000005</v>
      </c>
    </row>
    <row r="82" spans="1:14" ht="15" customHeight="1" x14ac:dyDescent="0.2">
      <c r="A82" s="4" t="str">
        <f>'Raw Data'!A82</f>
        <v>ORD200080</v>
      </c>
      <c r="B82" s="6">
        <f>'Raw Data'!B82</f>
        <v>45104</v>
      </c>
      <c r="C82" s="4" t="str">
        <f>'Raw Data'!C82</f>
        <v>C29041</v>
      </c>
      <c r="D82" s="4" t="str">
        <f>'Raw Data'!D82</f>
        <v>Phone</v>
      </c>
      <c r="E82" s="4">
        <f>'Raw Data'!E82</f>
        <v>3</v>
      </c>
      <c r="F82" s="4">
        <f>'Raw Data'!F82</f>
        <v>589.55999999999995</v>
      </c>
      <c r="G82" s="4" t="str">
        <f>'Raw Data'!G82</f>
        <v>591 Main St</v>
      </c>
      <c r="H82" s="4" t="str">
        <f>'Raw Data'!H82</f>
        <v>Online</v>
      </c>
      <c r="I82" s="4" t="str">
        <f>'Raw Data'!I82</f>
        <v>Returned</v>
      </c>
      <c r="J82" s="4" t="str">
        <f>'Raw Data'!J82</f>
        <v>TRK28840655</v>
      </c>
      <c r="K82" s="4">
        <f>'Raw Data'!K82</f>
        <v>6</v>
      </c>
      <c r="L82" s="4" t="str">
        <f>IF('Raw Data'!L82="","No Coupon",'Raw Data'!L82)</f>
        <v>No Coupon</v>
      </c>
      <c r="M82" s="4" t="str">
        <f>'Raw Data'!M82</f>
        <v>Facebook</v>
      </c>
      <c r="N82" s="4">
        <f>'Raw Data'!N82</f>
        <v>1768.68</v>
      </c>
    </row>
    <row r="83" spans="1:14" ht="15" customHeight="1" x14ac:dyDescent="0.2">
      <c r="A83" s="4" t="str">
        <f>'Raw Data'!A83</f>
        <v>ORD200081</v>
      </c>
      <c r="B83" s="6">
        <f>'Raw Data'!B83</f>
        <v>45085</v>
      </c>
      <c r="C83" s="4" t="str">
        <f>'Raw Data'!C83</f>
        <v>C29314</v>
      </c>
      <c r="D83" s="4" t="str">
        <f>'Raw Data'!D83</f>
        <v>Monitor</v>
      </c>
      <c r="E83" s="4">
        <f>'Raw Data'!E83</f>
        <v>2</v>
      </c>
      <c r="F83" s="4">
        <f>'Raw Data'!F83</f>
        <v>394.3</v>
      </c>
      <c r="G83" s="4" t="str">
        <f>'Raw Data'!G83</f>
        <v>496 Main St</v>
      </c>
      <c r="H83" s="4" t="str">
        <f>'Raw Data'!H83</f>
        <v>Cash</v>
      </c>
      <c r="I83" s="4" t="str">
        <f>'Raw Data'!I83</f>
        <v>Shipped</v>
      </c>
      <c r="J83" s="4" t="str">
        <f>'Raw Data'!J83</f>
        <v>TRK59876213</v>
      </c>
      <c r="K83" s="4">
        <f>'Raw Data'!K83</f>
        <v>6</v>
      </c>
      <c r="L83" s="4" t="str">
        <f>IF('Raw Data'!L83="","No Coupon",'Raw Data'!L83)</f>
        <v>FREESHIP</v>
      </c>
      <c r="M83" s="4" t="str">
        <f>'Raw Data'!M83</f>
        <v>Email</v>
      </c>
      <c r="N83" s="4">
        <f>'Raw Data'!N83</f>
        <v>788.6</v>
      </c>
    </row>
    <row r="84" spans="1:14" ht="15" customHeight="1" x14ac:dyDescent="0.2">
      <c r="A84" s="4" t="str">
        <f>'Raw Data'!A84</f>
        <v>ORD200082</v>
      </c>
      <c r="B84" s="6">
        <f>'Raw Data'!B84</f>
        <v>45296</v>
      </c>
      <c r="C84" s="4" t="str">
        <f>'Raw Data'!C84</f>
        <v>C65799</v>
      </c>
      <c r="D84" s="4" t="str">
        <f>'Raw Data'!D84</f>
        <v>Tablet</v>
      </c>
      <c r="E84" s="4">
        <f>'Raw Data'!E84</f>
        <v>4</v>
      </c>
      <c r="F84" s="4">
        <f>'Raw Data'!F84</f>
        <v>565.20000000000005</v>
      </c>
      <c r="G84" s="4" t="str">
        <f>'Raw Data'!G84</f>
        <v>971 Main St</v>
      </c>
      <c r="H84" s="4" t="str">
        <f>'Raw Data'!H84</f>
        <v>Debit Card</v>
      </c>
      <c r="I84" s="4" t="str">
        <f>'Raw Data'!I84</f>
        <v>Shipped</v>
      </c>
      <c r="J84" s="4" t="str">
        <f>'Raw Data'!J84</f>
        <v>TRK66906607</v>
      </c>
      <c r="K84" s="4">
        <f>'Raw Data'!K84</f>
        <v>9</v>
      </c>
      <c r="L84" s="4" t="str">
        <f>IF('Raw Data'!L84="","No Coupon",'Raw Data'!L84)</f>
        <v>SAVE10</v>
      </c>
      <c r="M84" s="4" t="str">
        <f>'Raw Data'!M84</f>
        <v>Google</v>
      </c>
      <c r="N84" s="4">
        <f>'Raw Data'!N84</f>
        <v>2260.8000000000002</v>
      </c>
    </row>
    <row r="85" spans="1:14" ht="15" customHeight="1" x14ac:dyDescent="0.2">
      <c r="A85" s="4" t="str">
        <f>'Raw Data'!A85</f>
        <v>ORD200083</v>
      </c>
      <c r="B85" s="6">
        <f>'Raw Data'!B85</f>
        <v>45160</v>
      </c>
      <c r="C85" s="4" t="str">
        <f>'Raw Data'!C85</f>
        <v>C15681</v>
      </c>
      <c r="D85" s="4" t="str">
        <f>'Raw Data'!D85</f>
        <v>Laptop</v>
      </c>
      <c r="E85" s="4">
        <f>'Raw Data'!E85</f>
        <v>4</v>
      </c>
      <c r="F85" s="4">
        <f>'Raw Data'!F85</f>
        <v>540.41</v>
      </c>
      <c r="G85" s="4" t="str">
        <f>'Raw Data'!G85</f>
        <v>989 Main St</v>
      </c>
      <c r="H85" s="4" t="str">
        <f>'Raw Data'!H85</f>
        <v>Credit Card</v>
      </c>
      <c r="I85" s="4" t="str">
        <f>'Raw Data'!I85</f>
        <v>Cancelled</v>
      </c>
      <c r="J85" s="4" t="str">
        <f>'Raw Data'!J85</f>
        <v>TRK75112172</v>
      </c>
      <c r="K85" s="4">
        <f>'Raw Data'!K85</f>
        <v>6</v>
      </c>
      <c r="L85" s="4" t="str">
        <f>IF('Raw Data'!L85="","No Coupon",'Raw Data'!L85)</f>
        <v>No Coupon</v>
      </c>
      <c r="M85" s="4" t="str">
        <f>'Raw Data'!M85</f>
        <v>Referral</v>
      </c>
      <c r="N85" s="4">
        <f>'Raw Data'!N85</f>
        <v>2161.64</v>
      </c>
    </row>
    <row r="86" spans="1:14" ht="15" customHeight="1" x14ac:dyDescent="0.2">
      <c r="A86" s="4" t="str">
        <f>'Raw Data'!A86</f>
        <v>ORD200084</v>
      </c>
      <c r="B86" s="6">
        <f>'Raw Data'!B86</f>
        <v>45166</v>
      </c>
      <c r="C86" s="4" t="str">
        <f>'Raw Data'!C86</f>
        <v>C64160</v>
      </c>
      <c r="D86" s="4" t="str">
        <f>'Raw Data'!D86</f>
        <v>Monitor</v>
      </c>
      <c r="E86" s="4">
        <f>'Raw Data'!E86</f>
        <v>2</v>
      </c>
      <c r="F86" s="4">
        <f>'Raw Data'!F86</f>
        <v>165.49</v>
      </c>
      <c r="G86" s="4" t="str">
        <f>'Raw Data'!G86</f>
        <v>967 Main St</v>
      </c>
      <c r="H86" s="4" t="str">
        <f>'Raw Data'!H86</f>
        <v>Online</v>
      </c>
      <c r="I86" s="4" t="str">
        <f>'Raw Data'!I86</f>
        <v>Shipped</v>
      </c>
      <c r="J86" s="4" t="str">
        <f>'Raw Data'!J86</f>
        <v>TRK34121529</v>
      </c>
      <c r="K86" s="4">
        <f>'Raw Data'!K86</f>
        <v>4</v>
      </c>
      <c r="L86" s="4" t="str">
        <f>IF('Raw Data'!L86="","No Coupon",'Raw Data'!L86)</f>
        <v>WINTER15</v>
      </c>
      <c r="M86" s="4" t="str">
        <f>'Raw Data'!M86</f>
        <v>Instagram</v>
      </c>
      <c r="N86" s="4">
        <f>'Raw Data'!N86</f>
        <v>330.98</v>
      </c>
    </row>
    <row r="87" spans="1:14" ht="15" customHeight="1" x14ac:dyDescent="0.2">
      <c r="A87" s="4" t="str">
        <f>'Raw Data'!A87</f>
        <v>ORD200085</v>
      </c>
      <c r="B87" s="6">
        <f>'Raw Data'!B87</f>
        <v>45544</v>
      </c>
      <c r="C87" s="4" t="str">
        <f>'Raw Data'!C87</f>
        <v>C14553</v>
      </c>
      <c r="D87" s="4" t="str">
        <f>'Raw Data'!D87</f>
        <v>Tablet</v>
      </c>
      <c r="E87" s="4">
        <f>'Raw Data'!E87</f>
        <v>3</v>
      </c>
      <c r="F87" s="4">
        <f>'Raw Data'!F87</f>
        <v>146.72999999999999</v>
      </c>
      <c r="G87" s="4" t="str">
        <f>'Raw Data'!G87</f>
        <v>768 Main St</v>
      </c>
      <c r="H87" s="4" t="str">
        <f>'Raw Data'!H87</f>
        <v>Cash</v>
      </c>
      <c r="I87" s="4" t="str">
        <f>'Raw Data'!I87</f>
        <v>Delivered</v>
      </c>
      <c r="J87" s="4" t="str">
        <f>'Raw Data'!J87</f>
        <v>TRK93538334</v>
      </c>
      <c r="K87" s="4">
        <f>'Raw Data'!K87</f>
        <v>8</v>
      </c>
      <c r="L87" s="4" t="str">
        <f>IF('Raw Data'!L87="","No Coupon",'Raw Data'!L87)</f>
        <v>FREESHIP</v>
      </c>
      <c r="M87" s="4" t="str">
        <f>'Raw Data'!M87</f>
        <v>Email</v>
      </c>
      <c r="N87" s="4">
        <f>'Raw Data'!N87</f>
        <v>440.19</v>
      </c>
    </row>
    <row r="88" spans="1:14" ht="15" customHeight="1" x14ac:dyDescent="0.2">
      <c r="A88" s="4" t="str">
        <f>'Raw Data'!A88</f>
        <v>ORD200086</v>
      </c>
      <c r="B88" s="6">
        <f>'Raw Data'!B88</f>
        <v>45462</v>
      </c>
      <c r="C88" s="4" t="str">
        <f>'Raw Data'!C88</f>
        <v>C88205</v>
      </c>
      <c r="D88" s="4" t="str">
        <f>'Raw Data'!D88</f>
        <v>Printer</v>
      </c>
      <c r="E88" s="4">
        <f>'Raw Data'!E88</f>
        <v>5</v>
      </c>
      <c r="F88" s="4">
        <f>'Raw Data'!F88</f>
        <v>643.03</v>
      </c>
      <c r="G88" s="4" t="str">
        <f>'Raw Data'!G88</f>
        <v>447 Main St</v>
      </c>
      <c r="H88" s="4" t="str">
        <f>'Raw Data'!H88</f>
        <v>Online</v>
      </c>
      <c r="I88" s="4" t="str">
        <f>'Raw Data'!I88</f>
        <v>Cancelled</v>
      </c>
      <c r="J88" s="4" t="str">
        <f>'Raw Data'!J88</f>
        <v>TRK93504166</v>
      </c>
      <c r="K88" s="4">
        <f>'Raw Data'!K88</f>
        <v>5</v>
      </c>
      <c r="L88" s="4" t="str">
        <f>IF('Raw Data'!L88="","No Coupon",'Raw Data'!L88)</f>
        <v>FREESHIP</v>
      </c>
      <c r="M88" s="4" t="str">
        <f>'Raw Data'!M88</f>
        <v>Referral</v>
      </c>
      <c r="N88" s="4">
        <f>'Raw Data'!N88</f>
        <v>3215.15</v>
      </c>
    </row>
    <row r="89" spans="1:14" ht="15" customHeight="1" x14ac:dyDescent="0.2">
      <c r="A89" s="4" t="str">
        <f>'Raw Data'!A89</f>
        <v>ORD200087</v>
      </c>
      <c r="B89" s="6">
        <f>'Raw Data'!B89</f>
        <v>45575</v>
      </c>
      <c r="C89" s="4" t="str">
        <f>'Raw Data'!C89</f>
        <v>C91245</v>
      </c>
      <c r="D89" s="4" t="str">
        <f>'Raw Data'!D89</f>
        <v>Tablet</v>
      </c>
      <c r="E89" s="4">
        <f>'Raw Data'!E89</f>
        <v>3</v>
      </c>
      <c r="F89" s="4">
        <f>'Raw Data'!F89</f>
        <v>225.11</v>
      </c>
      <c r="G89" s="4" t="str">
        <f>'Raw Data'!G89</f>
        <v>915 Main St</v>
      </c>
      <c r="H89" s="4" t="str">
        <f>'Raw Data'!H89</f>
        <v>Cash</v>
      </c>
      <c r="I89" s="4" t="str">
        <f>'Raw Data'!I89</f>
        <v>Shipped</v>
      </c>
      <c r="J89" s="4" t="str">
        <f>'Raw Data'!J89</f>
        <v>TRK46976391</v>
      </c>
      <c r="K89" s="4">
        <f>'Raw Data'!K89</f>
        <v>4</v>
      </c>
      <c r="L89" s="4" t="str">
        <f>IF('Raw Data'!L89="","No Coupon",'Raw Data'!L89)</f>
        <v>SAVE10</v>
      </c>
      <c r="M89" s="4" t="str">
        <f>'Raw Data'!M89</f>
        <v>Facebook</v>
      </c>
      <c r="N89" s="4">
        <f>'Raw Data'!N89</f>
        <v>675.33</v>
      </c>
    </row>
    <row r="90" spans="1:14" ht="15" customHeight="1" x14ac:dyDescent="0.2">
      <c r="A90" s="4" t="str">
        <f>'Raw Data'!A90</f>
        <v>ORD200088</v>
      </c>
      <c r="B90" s="6">
        <f>'Raw Data'!B90</f>
        <v>45813</v>
      </c>
      <c r="C90" s="4" t="str">
        <f>'Raw Data'!C90</f>
        <v>C75439</v>
      </c>
      <c r="D90" s="4" t="str">
        <f>'Raw Data'!D90</f>
        <v>Desk</v>
      </c>
      <c r="E90" s="4">
        <f>'Raw Data'!E90</f>
        <v>3</v>
      </c>
      <c r="F90" s="4">
        <f>'Raw Data'!F90</f>
        <v>114.81</v>
      </c>
      <c r="G90" s="4" t="str">
        <f>'Raw Data'!G90</f>
        <v>318 Main St</v>
      </c>
      <c r="H90" s="4" t="str">
        <f>'Raw Data'!H90</f>
        <v>Gift Card</v>
      </c>
      <c r="I90" s="4" t="str">
        <f>'Raw Data'!I90</f>
        <v>Cancelled</v>
      </c>
      <c r="J90" s="4" t="str">
        <f>'Raw Data'!J90</f>
        <v>TRK19831653</v>
      </c>
      <c r="K90" s="4">
        <f>'Raw Data'!K90</f>
        <v>7</v>
      </c>
      <c r="L90" s="4" t="str">
        <f>IF('Raw Data'!L90="","No Coupon",'Raw Data'!L90)</f>
        <v>No Coupon</v>
      </c>
      <c r="M90" s="4" t="str">
        <f>'Raw Data'!M90</f>
        <v>Google</v>
      </c>
      <c r="N90" s="4">
        <f>'Raw Data'!N90</f>
        <v>344.43</v>
      </c>
    </row>
    <row r="91" spans="1:14" ht="15" customHeight="1" x14ac:dyDescent="0.2">
      <c r="A91" s="4" t="str">
        <f>'Raw Data'!A91</f>
        <v>ORD200089</v>
      </c>
      <c r="B91" s="6">
        <f>'Raw Data'!B91</f>
        <v>45713</v>
      </c>
      <c r="C91" s="4" t="str">
        <f>'Raw Data'!C91</f>
        <v>C17181</v>
      </c>
      <c r="D91" s="4" t="str">
        <f>'Raw Data'!D91</f>
        <v>Printer</v>
      </c>
      <c r="E91" s="4">
        <f>'Raw Data'!E91</f>
        <v>5</v>
      </c>
      <c r="F91" s="4">
        <f>'Raw Data'!F91</f>
        <v>455.33</v>
      </c>
      <c r="G91" s="4" t="str">
        <f>'Raw Data'!G91</f>
        <v>291 Main St</v>
      </c>
      <c r="H91" s="4" t="str">
        <f>'Raw Data'!H91</f>
        <v>Credit Card</v>
      </c>
      <c r="I91" s="4" t="str">
        <f>'Raw Data'!I91</f>
        <v>Cancelled</v>
      </c>
      <c r="J91" s="4" t="str">
        <f>'Raw Data'!J91</f>
        <v>TRK78912978</v>
      </c>
      <c r="K91" s="4">
        <f>'Raw Data'!K91</f>
        <v>8</v>
      </c>
      <c r="L91" s="4" t="str">
        <f>IF('Raw Data'!L91="","No Coupon",'Raw Data'!L91)</f>
        <v>FREESHIP</v>
      </c>
      <c r="M91" s="4" t="str">
        <f>'Raw Data'!M91</f>
        <v>Google</v>
      </c>
      <c r="N91" s="4">
        <f>'Raw Data'!N91</f>
        <v>2276.65</v>
      </c>
    </row>
    <row r="92" spans="1:14" ht="15" customHeight="1" x14ac:dyDescent="0.2">
      <c r="A92" s="4" t="str">
        <f>'Raw Data'!A92</f>
        <v>ORD200090</v>
      </c>
      <c r="B92" s="6">
        <f>'Raw Data'!B92</f>
        <v>45187</v>
      </c>
      <c r="C92" s="4" t="str">
        <f>'Raw Data'!C92</f>
        <v>C36540</v>
      </c>
      <c r="D92" s="4" t="str">
        <f>'Raw Data'!D92</f>
        <v>Chair</v>
      </c>
      <c r="E92" s="4">
        <f>'Raw Data'!E92</f>
        <v>4</v>
      </c>
      <c r="F92" s="4">
        <f>'Raw Data'!F92</f>
        <v>182.08</v>
      </c>
      <c r="G92" s="4" t="str">
        <f>'Raw Data'!G92</f>
        <v>611 Main St</v>
      </c>
      <c r="H92" s="4" t="str">
        <f>'Raw Data'!H92</f>
        <v>Gift Card</v>
      </c>
      <c r="I92" s="4" t="str">
        <f>'Raw Data'!I92</f>
        <v>Delivered</v>
      </c>
      <c r="J92" s="4" t="str">
        <f>'Raw Data'!J92</f>
        <v>TRK35828122</v>
      </c>
      <c r="K92" s="4">
        <f>'Raw Data'!K92</f>
        <v>4</v>
      </c>
      <c r="L92" s="4" t="str">
        <f>IF('Raw Data'!L92="","No Coupon",'Raw Data'!L92)</f>
        <v>SAVE10</v>
      </c>
      <c r="M92" s="4" t="str">
        <f>'Raw Data'!M92</f>
        <v>Email</v>
      </c>
      <c r="N92" s="4">
        <f>'Raw Data'!N92</f>
        <v>728.32</v>
      </c>
    </row>
    <row r="93" spans="1:14" ht="15" customHeight="1" x14ac:dyDescent="0.2">
      <c r="A93" s="4" t="str">
        <f>'Raw Data'!A93</f>
        <v>ORD200091</v>
      </c>
      <c r="B93" s="6">
        <f>'Raw Data'!B93</f>
        <v>45000</v>
      </c>
      <c r="C93" s="4" t="str">
        <f>'Raw Data'!C93</f>
        <v>C98216</v>
      </c>
      <c r="D93" s="4" t="str">
        <f>'Raw Data'!D93</f>
        <v>Laptop</v>
      </c>
      <c r="E93" s="4">
        <f>'Raw Data'!E93</f>
        <v>5</v>
      </c>
      <c r="F93" s="4">
        <f>'Raw Data'!F93</f>
        <v>492.75</v>
      </c>
      <c r="G93" s="4" t="str">
        <f>'Raw Data'!G93</f>
        <v>196 Main St</v>
      </c>
      <c r="H93" s="4" t="str">
        <f>'Raw Data'!H93</f>
        <v>Cash</v>
      </c>
      <c r="I93" s="4" t="str">
        <f>'Raw Data'!I93</f>
        <v>Shipped</v>
      </c>
      <c r="J93" s="4" t="str">
        <f>'Raw Data'!J93</f>
        <v>TRK40986666</v>
      </c>
      <c r="K93" s="4">
        <f>'Raw Data'!K93</f>
        <v>6</v>
      </c>
      <c r="L93" s="4" t="str">
        <f>IF('Raw Data'!L93="","No Coupon",'Raw Data'!L93)</f>
        <v>WINTER15</v>
      </c>
      <c r="M93" s="4" t="str">
        <f>'Raw Data'!M93</f>
        <v>Referral</v>
      </c>
      <c r="N93" s="4">
        <f>'Raw Data'!N93</f>
        <v>2463.75</v>
      </c>
    </row>
    <row r="94" spans="1:14" ht="15" customHeight="1" x14ac:dyDescent="0.2">
      <c r="A94" s="4" t="str">
        <f>'Raw Data'!A94</f>
        <v>ORD200092</v>
      </c>
      <c r="B94" s="6">
        <f>'Raw Data'!B94</f>
        <v>45453</v>
      </c>
      <c r="C94" s="4" t="str">
        <f>'Raw Data'!C94</f>
        <v>C29568</v>
      </c>
      <c r="D94" s="4" t="str">
        <f>'Raw Data'!D94</f>
        <v>Printer</v>
      </c>
      <c r="E94" s="4">
        <f>'Raw Data'!E94</f>
        <v>4</v>
      </c>
      <c r="F94" s="4">
        <f>'Raw Data'!F94</f>
        <v>48.61</v>
      </c>
      <c r="G94" s="4" t="str">
        <f>'Raw Data'!G94</f>
        <v>203 Main St</v>
      </c>
      <c r="H94" s="4" t="str">
        <f>'Raw Data'!H94</f>
        <v>Online</v>
      </c>
      <c r="I94" s="4" t="str">
        <f>'Raw Data'!I94</f>
        <v>Shipped</v>
      </c>
      <c r="J94" s="4" t="str">
        <f>'Raw Data'!J94</f>
        <v>TRK46531075</v>
      </c>
      <c r="K94" s="4">
        <f>'Raw Data'!K94</f>
        <v>7</v>
      </c>
      <c r="L94" s="4" t="str">
        <f>IF('Raw Data'!L94="","No Coupon",'Raw Data'!L94)</f>
        <v>FREESHIP</v>
      </c>
      <c r="M94" s="4" t="str">
        <f>'Raw Data'!M94</f>
        <v>Facebook</v>
      </c>
      <c r="N94" s="4">
        <f>'Raw Data'!N94</f>
        <v>194.44</v>
      </c>
    </row>
    <row r="95" spans="1:14" ht="15" customHeight="1" x14ac:dyDescent="0.2">
      <c r="A95" s="4" t="str">
        <f>'Raw Data'!A95</f>
        <v>ORD200093</v>
      </c>
      <c r="B95" s="6">
        <f>'Raw Data'!B95</f>
        <v>44940</v>
      </c>
      <c r="C95" s="4" t="str">
        <f>'Raw Data'!C95</f>
        <v>C97262</v>
      </c>
      <c r="D95" s="4" t="str">
        <f>'Raw Data'!D95</f>
        <v>Desk</v>
      </c>
      <c r="E95" s="4">
        <f>'Raw Data'!E95</f>
        <v>4</v>
      </c>
      <c r="F95" s="4">
        <f>'Raw Data'!F95</f>
        <v>431.01</v>
      </c>
      <c r="G95" s="4" t="str">
        <f>'Raw Data'!G95</f>
        <v>837 Main St</v>
      </c>
      <c r="H95" s="4" t="str">
        <f>'Raw Data'!H95</f>
        <v>Credit Card</v>
      </c>
      <c r="I95" s="4" t="str">
        <f>'Raw Data'!I95</f>
        <v>Returned</v>
      </c>
      <c r="J95" s="4" t="str">
        <f>'Raw Data'!J95</f>
        <v>TRK65990229</v>
      </c>
      <c r="K95" s="4">
        <f>'Raw Data'!K95</f>
        <v>7</v>
      </c>
      <c r="L95" s="4" t="str">
        <f>IF('Raw Data'!L95="","No Coupon",'Raw Data'!L95)</f>
        <v>No Coupon</v>
      </c>
      <c r="M95" s="4" t="str">
        <f>'Raw Data'!M95</f>
        <v>Referral</v>
      </c>
      <c r="N95" s="4">
        <f>'Raw Data'!N95</f>
        <v>1724.04</v>
      </c>
    </row>
    <row r="96" spans="1:14" ht="15" customHeight="1" x14ac:dyDescent="0.2">
      <c r="A96" s="4" t="str">
        <f>'Raw Data'!A96</f>
        <v>ORD200094</v>
      </c>
      <c r="B96" s="6">
        <f>'Raw Data'!B96</f>
        <v>44968</v>
      </c>
      <c r="C96" s="4" t="str">
        <f>'Raw Data'!C96</f>
        <v>C79821</v>
      </c>
      <c r="D96" s="4" t="str">
        <f>'Raw Data'!D96</f>
        <v>Chair</v>
      </c>
      <c r="E96" s="4">
        <f>'Raw Data'!E96</f>
        <v>1</v>
      </c>
      <c r="F96" s="4">
        <f>'Raw Data'!F96</f>
        <v>531.17999999999995</v>
      </c>
      <c r="G96" s="4" t="str">
        <f>'Raw Data'!G96</f>
        <v>781 Main St</v>
      </c>
      <c r="H96" s="4" t="str">
        <f>'Raw Data'!H96</f>
        <v>Gift Card</v>
      </c>
      <c r="I96" s="4" t="str">
        <f>'Raw Data'!I96</f>
        <v>Returned</v>
      </c>
      <c r="J96" s="4" t="str">
        <f>'Raw Data'!J96</f>
        <v>TRK12780193</v>
      </c>
      <c r="K96" s="4">
        <f>'Raw Data'!K96</f>
        <v>6</v>
      </c>
      <c r="L96" s="4" t="str">
        <f>IF('Raw Data'!L96="","No Coupon",'Raw Data'!L96)</f>
        <v>WINTER15</v>
      </c>
      <c r="M96" s="4" t="str">
        <f>'Raw Data'!M96</f>
        <v>Instagram</v>
      </c>
      <c r="N96" s="4">
        <f>'Raw Data'!N96</f>
        <v>531.17999999999995</v>
      </c>
    </row>
    <row r="97" spans="1:14" ht="15" customHeight="1" x14ac:dyDescent="0.2">
      <c r="A97" s="4" t="str">
        <f>'Raw Data'!A97</f>
        <v>ORD200095</v>
      </c>
      <c r="B97" s="6">
        <f>'Raw Data'!B97</f>
        <v>45009</v>
      </c>
      <c r="C97" s="4" t="str">
        <f>'Raw Data'!C97</f>
        <v>C76761</v>
      </c>
      <c r="D97" s="4" t="str">
        <f>'Raw Data'!D97</f>
        <v>Printer</v>
      </c>
      <c r="E97" s="4">
        <f>'Raw Data'!E97</f>
        <v>4</v>
      </c>
      <c r="F97" s="4">
        <f>'Raw Data'!F97</f>
        <v>117.51</v>
      </c>
      <c r="G97" s="4" t="str">
        <f>'Raw Data'!G97</f>
        <v>839 Main St</v>
      </c>
      <c r="H97" s="4" t="str">
        <f>'Raw Data'!H97</f>
        <v>Debit Card</v>
      </c>
      <c r="I97" s="4" t="str">
        <f>'Raw Data'!I97</f>
        <v>Returned</v>
      </c>
      <c r="J97" s="4" t="str">
        <f>'Raw Data'!J97</f>
        <v>TRK60179774</v>
      </c>
      <c r="K97" s="4">
        <f>'Raw Data'!K97</f>
        <v>7</v>
      </c>
      <c r="L97" s="4" t="str">
        <f>IF('Raw Data'!L97="","No Coupon",'Raw Data'!L97)</f>
        <v>No Coupon</v>
      </c>
      <c r="M97" s="4" t="str">
        <f>'Raw Data'!M97</f>
        <v>Referral</v>
      </c>
      <c r="N97" s="4">
        <f>'Raw Data'!N97</f>
        <v>470.04</v>
      </c>
    </row>
    <row r="98" spans="1:14" ht="15" customHeight="1" x14ac:dyDescent="0.2">
      <c r="A98" s="4" t="str">
        <f>'Raw Data'!A98</f>
        <v>ORD200096</v>
      </c>
      <c r="B98" s="6">
        <f>'Raw Data'!B98</f>
        <v>45444</v>
      </c>
      <c r="C98" s="4" t="str">
        <f>'Raw Data'!C98</f>
        <v>C93007</v>
      </c>
      <c r="D98" s="4" t="str">
        <f>'Raw Data'!D98</f>
        <v>Phone</v>
      </c>
      <c r="E98" s="4">
        <f>'Raw Data'!E98</f>
        <v>2</v>
      </c>
      <c r="F98" s="4">
        <f>'Raw Data'!F98</f>
        <v>232.83</v>
      </c>
      <c r="G98" s="4" t="str">
        <f>'Raw Data'!G98</f>
        <v>103 Main St</v>
      </c>
      <c r="H98" s="4" t="str">
        <f>'Raw Data'!H98</f>
        <v>Gift Card</v>
      </c>
      <c r="I98" s="4" t="str">
        <f>'Raw Data'!I98</f>
        <v>Delivered</v>
      </c>
      <c r="J98" s="4" t="str">
        <f>'Raw Data'!J98</f>
        <v>TRK85696091</v>
      </c>
      <c r="K98" s="4">
        <f>'Raw Data'!K98</f>
        <v>7</v>
      </c>
      <c r="L98" s="4" t="str">
        <f>IF('Raw Data'!L98="","No Coupon",'Raw Data'!L98)</f>
        <v>No Coupon</v>
      </c>
      <c r="M98" s="4" t="str">
        <f>'Raw Data'!M98</f>
        <v>Instagram</v>
      </c>
      <c r="N98" s="4">
        <f>'Raw Data'!N98</f>
        <v>465.66</v>
      </c>
    </row>
    <row r="99" spans="1:14" ht="15" customHeight="1" x14ac:dyDescent="0.2">
      <c r="A99" s="4" t="str">
        <f>'Raw Data'!A99</f>
        <v>ORD200097</v>
      </c>
      <c r="B99" s="6">
        <f>'Raw Data'!B99</f>
        <v>45678</v>
      </c>
      <c r="C99" s="4" t="str">
        <f>'Raw Data'!C99</f>
        <v>C15624</v>
      </c>
      <c r="D99" s="4" t="str">
        <f>'Raw Data'!D99</f>
        <v>Tablet</v>
      </c>
      <c r="E99" s="4">
        <f>'Raw Data'!E99</f>
        <v>5</v>
      </c>
      <c r="F99" s="4">
        <f>'Raw Data'!F99</f>
        <v>619.52</v>
      </c>
      <c r="G99" s="4" t="str">
        <f>'Raw Data'!G99</f>
        <v>922 Main St</v>
      </c>
      <c r="H99" s="4" t="str">
        <f>'Raw Data'!H99</f>
        <v>Debit Card</v>
      </c>
      <c r="I99" s="4" t="str">
        <f>'Raw Data'!I99</f>
        <v>Pending</v>
      </c>
      <c r="J99" s="4" t="str">
        <f>'Raw Data'!J99</f>
        <v>TRK40621141</v>
      </c>
      <c r="K99" s="4">
        <f>'Raw Data'!K99</f>
        <v>9</v>
      </c>
      <c r="L99" s="4" t="str">
        <f>IF('Raw Data'!L99="","No Coupon",'Raw Data'!L99)</f>
        <v>No Coupon</v>
      </c>
      <c r="M99" s="4" t="str">
        <f>'Raw Data'!M99</f>
        <v>Email</v>
      </c>
      <c r="N99" s="4">
        <f>'Raw Data'!N99</f>
        <v>3097.6</v>
      </c>
    </row>
    <row r="100" spans="1:14" ht="15" customHeight="1" x14ac:dyDescent="0.2">
      <c r="A100" s="4" t="str">
        <f>'Raw Data'!A100</f>
        <v>ORD200098</v>
      </c>
      <c r="B100" s="6">
        <f>'Raw Data'!B100</f>
        <v>44940</v>
      </c>
      <c r="C100" s="4" t="str">
        <f>'Raw Data'!C100</f>
        <v>C70921</v>
      </c>
      <c r="D100" s="4" t="str">
        <f>'Raw Data'!D100</f>
        <v>Printer</v>
      </c>
      <c r="E100" s="4">
        <f>'Raw Data'!E100</f>
        <v>2</v>
      </c>
      <c r="F100" s="4">
        <f>'Raw Data'!F100</f>
        <v>228.54</v>
      </c>
      <c r="G100" s="4" t="str">
        <f>'Raw Data'!G100</f>
        <v>533 Main St</v>
      </c>
      <c r="H100" s="4" t="str">
        <f>'Raw Data'!H100</f>
        <v>Debit Card</v>
      </c>
      <c r="I100" s="4" t="str">
        <f>'Raw Data'!I100</f>
        <v>Pending</v>
      </c>
      <c r="J100" s="4" t="str">
        <f>'Raw Data'!J100</f>
        <v>TRK54983109</v>
      </c>
      <c r="K100" s="4">
        <f>'Raw Data'!K100</f>
        <v>3</v>
      </c>
      <c r="L100" s="4" t="str">
        <f>IF('Raw Data'!L100="","No Coupon",'Raw Data'!L100)</f>
        <v>No Coupon</v>
      </c>
      <c r="M100" s="4" t="str">
        <f>'Raw Data'!M100</f>
        <v>Email</v>
      </c>
      <c r="N100" s="4">
        <f>'Raw Data'!N100</f>
        <v>457.08</v>
      </c>
    </row>
    <row r="101" spans="1:14" ht="15" customHeight="1" x14ac:dyDescent="0.2">
      <c r="A101" s="4" t="str">
        <f>'Raw Data'!A101</f>
        <v>ORD200099</v>
      </c>
      <c r="B101" s="6">
        <f>'Raw Data'!B101</f>
        <v>45759</v>
      </c>
      <c r="C101" s="4" t="str">
        <f>'Raw Data'!C101</f>
        <v>C30477</v>
      </c>
      <c r="D101" s="4" t="str">
        <f>'Raw Data'!D101</f>
        <v>Printer</v>
      </c>
      <c r="E101" s="4">
        <f>'Raw Data'!E101</f>
        <v>1</v>
      </c>
      <c r="F101" s="4">
        <f>'Raw Data'!F101</f>
        <v>201.58</v>
      </c>
      <c r="G101" s="4" t="str">
        <f>'Raw Data'!G101</f>
        <v>717 Main St</v>
      </c>
      <c r="H101" s="4" t="str">
        <f>'Raw Data'!H101</f>
        <v>Debit Card</v>
      </c>
      <c r="I101" s="4" t="str">
        <f>'Raw Data'!I101</f>
        <v>Cancelled</v>
      </c>
      <c r="J101" s="4" t="str">
        <f>'Raw Data'!J101</f>
        <v>TRK51829648</v>
      </c>
      <c r="K101" s="4">
        <f>'Raw Data'!K101</f>
        <v>2</v>
      </c>
      <c r="L101" s="4" t="str">
        <f>IF('Raw Data'!L101="","No Coupon",'Raw Data'!L101)</f>
        <v>WINTER15</v>
      </c>
      <c r="M101" s="4" t="str">
        <f>'Raw Data'!M101</f>
        <v>Email</v>
      </c>
      <c r="N101" s="4">
        <f>'Raw Data'!N101</f>
        <v>201.58</v>
      </c>
    </row>
    <row r="102" spans="1:14" ht="15" customHeight="1" x14ac:dyDescent="0.2">
      <c r="A102" s="4" t="str">
        <f>'Raw Data'!A102</f>
        <v>ORD200100</v>
      </c>
      <c r="B102" s="6">
        <f>'Raw Data'!B102</f>
        <v>44974</v>
      </c>
      <c r="C102" s="4" t="str">
        <f>'Raw Data'!C102</f>
        <v>C74866</v>
      </c>
      <c r="D102" s="4" t="str">
        <f>'Raw Data'!D102</f>
        <v>Phone</v>
      </c>
      <c r="E102" s="4">
        <f>'Raw Data'!E102</f>
        <v>3</v>
      </c>
      <c r="F102" s="4">
        <f>'Raw Data'!F102</f>
        <v>664.79</v>
      </c>
      <c r="G102" s="4" t="str">
        <f>'Raw Data'!G102</f>
        <v>743 Main St</v>
      </c>
      <c r="H102" s="4" t="str">
        <f>'Raw Data'!H102</f>
        <v>Online</v>
      </c>
      <c r="I102" s="4" t="str">
        <f>'Raw Data'!I102</f>
        <v>Delivered</v>
      </c>
      <c r="J102" s="4" t="str">
        <f>'Raw Data'!J102</f>
        <v>TRK53783265</v>
      </c>
      <c r="K102" s="4">
        <f>'Raw Data'!K102</f>
        <v>6</v>
      </c>
      <c r="L102" s="4" t="str">
        <f>IF('Raw Data'!L102="","No Coupon",'Raw Data'!L102)</f>
        <v>No Coupon</v>
      </c>
      <c r="M102" s="4" t="str">
        <f>'Raw Data'!M102</f>
        <v>Facebook</v>
      </c>
      <c r="N102" s="4">
        <f>'Raw Data'!N102</f>
        <v>1994.37</v>
      </c>
    </row>
    <row r="103" spans="1:14" ht="15" customHeight="1" x14ac:dyDescent="0.2">
      <c r="A103" s="4" t="str">
        <f>'Raw Data'!A103</f>
        <v>ORD200101</v>
      </c>
      <c r="B103" s="6">
        <f>'Raw Data'!B103</f>
        <v>45255</v>
      </c>
      <c r="C103" s="4" t="str">
        <f>'Raw Data'!C103</f>
        <v>C15283</v>
      </c>
      <c r="D103" s="4" t="str">
        <f>'Raw Data'!D103</f>
        <v>Printer</v>
      </c>
      <c r="E103" s="4">
        <f>'Raw Data'!E103</f>
        <v>1</v>
      </c>
      <c r="F103" s="4">
        <f>'Raw Data'!F103</f>
        <v>381.02</v>
      </c>
      <c r="G103" s="4" t="str">
        <f>'Raw Data'!G103</f>
        <v>152 Main St</v>
      </c>
      <c r="H103" s="4" t="str">
        <f>'Raw Data'!H103</f>
        <v>Cash</v>
      </c>
      <c r="I103" s="4" t="str">
        <f>'Raw Data'!I103</f>
        <v>Shipped</v>
      </c>
      <c r="J103" s="4" t="str">
        <f>'Raw Data'!J103</f>
        <v>TRK19286291</v>
      </c>
      <c r="K103" s="4">
        <f>'Raw Data'!K103</f>
        <v>6</v>
      </c>
      <c r="L103" s="4" t="str">
        <f>IF('Raw Data'!L103="","No Coupon",'Raw Data'!L103)</f>
        <v>No Coupon</v>
      </c>
      <c r="M103" s="4" t="str">
        <f>'Raw Data'!M103</f>
        <v>Google</v>
      </c>
      <c r="N103" s="4">
        <f>'Raw Data'!N103</f>
        <v>381.02</v>
      </c>
    </row>
    <row r="104" spans="1:14" ht="15" customHeight="1" x14ac:dyDescent="0.2">
      <c r="A104" s="4" t="str">
        <f>'Raw Data'!A104</f>
        <v>ORD200102</v>
      </c>
      <c r="B104" s="6">
        <f>'Raw Data'!B104</f>
        <v>44993</v>
      </c>
      <c r="C104" s="4" t="str">
        <f>'Raw Data'!C104</f>
        <v>C18037</v>
      </c>
      <c r="D104" s="4" t="str">
        <f>'Raw Data'!D104</f>
        <v>Laptop</v>
      </c>
      <c r="E104" s="4">
        <f>'Raw Data'!E104</f>
        <v>2</v>
      </c>
      <c r="F104" s="4">
        <f>'Raw Data'!F104</f>
        <v>70.34</v>
      </c>
      <c r="G104" s="4" t="str">
        <f>'Raw Data'!G104</f>
        <v>944 Main St</v>
      </c>
      <c r="H104" s="4" t="str">
        <f>'Raw Data'!H104</f>
        <v>Gift Card</v>
      </c>
      <c r="I104" s="4" t="str">
        <f>'Raw Data'!I104</f>
        <v>Cancelled</v>
      </c>
      <c r="J104" s="4" t="str">
        <f>'Raw Data'!J104</f>
        <v>TRK47362236</v>
      </c>
      <c r="K104" s="4">
        <f>'Raw Data'!K104</f>
        <v>3</v>
      </c>
      <c r="L104" s="4" t="str">
        <f>IF('Raw Data'!L104="","No Coupon",'Raw Data'!L104)</f>
        <v>FREESHIP</v>
      </c>
      <c r="M104" s="4" t="str">
        <f>'Raw Data'!M104</f>
        <v>Email</v>
      </c>
      <c r="N104" s="4">
        <f>'Raw Data'!N104</f>
        <v>140.68</v>
      </c>
    </row>
    <row r="105" spans="1:14" ht="15" customHeight="1" x14ac:dyDescent="0.2">
      <c r="A105" s="4" t="str">
        <f>'Raw Data'!A105</f>
        <v>ORD200103</v>
      </c>
      <c r="B105" s="6">
        <f>'Raw Data'!B105</f>
        <v>45682</v>
      </c>
      <c r="C105" s="4" t="str">
        <f>'Raw Data'!C105</f>
        <v>C62656</v>
      </c>
      <c r="D105" s="4" t="str">
        <f>'Raw Data'!D105</f>
        <v>Phone</v>
      </c>
      <c r="E105" s="4">
        <f>'Raw Data'!E105</f>
        <v>4</v>
      </c>
      <c r="F105" s="4">
        <f>'Raw Data'!F105</f>
        <v>218.43</v>
      </c>
      <c r="G105" s="4" t="str">
        <f>'Raw Data'!G105</f>
        <v>514 Main St</v>
      </c>
      <c r="H105" s="4" t="str">
        <f>'Raw Data'!H105</f>
        <v>Credit Card</v>
      </c>
      <c r="I105" s="4" t="str">
        <f>'Raw Data'!I105</f>
        <v>Cancelled</v>
      </c>
      <c r="J105" s="4" t="str">
        <f>'Raw Data'!J105</f>
        <v>TRK86296459</v>
      </c>
      <c r="K105" s="4">
        <f>'Raw Data'!K105</f>
        <v>9</v>
      </c>
      <c r="L105" s="4" t="str">
        <f>IF('Raw Data'!L105="","No Coupon",'Raw Data'!L105)</f>
        <v>SAVE10</v>
      </c>
      <c r="M105" s="4" t="str">
        <f>'Raw Data'!M105</f>
        <v>Email</v>
      </c>
      <c r="N105" s="4">
        <f>'Raw Data'!N105</f>
        <v>873.72</v>
      </c>
    </row>
    <row r="106" spans="1:14" ht="15" customHeight="1" x14ac:dyDescent="0.2">
      <c r="A106" s="4" t="str">
        <f>'Raw Data'!A106</f>
        <v>ORD200104</v>
      </c>
      <c r="B106" s="6">
        <f>'Raw Data'!B106</f>
        <v>45503</v>
      </c>
      <c r="C106" s="4" t="str">
        <f>'Raw Data'!C106</f>
        <v>C65744</v>
      </c>
      <c r="D106" s="4" t="str">
        <f>'Raw Data'!D106</f>
        <v>Phone</v>
      </c>
      <c r="E106" s="4">
        <f>'Raw Data'!E106</f>
        <v>1</v>
      </c>
      <c r="F106" s="4">
        <f>'Raw Data'!F106</f>
        <v>582.04</v>
      </c>
      <c r="G106" s="4" t="str">
        <f>'Raw Data'!G106</f>
        <v>647 Main St</v>
      </c>
      <c r="H106" s="4" t="str">
        <f>'Raw Data'!H106</f>
        <v>Gift Card</v>
      </c>
      <c r="I106" s="4" t="str">
        <f>'Raw Data'!I106</f>
        <v>Delivered</v>
      </c>
      <c r="J106" s="4" t="str">
        <f>'Raw Data'!J106</f>
        <v>TRK39906058</v>
      </c>
      <c r="K106" s="4">
        <f>'Raw Data'!K106</f>
        <v>1</v>
      </c>
      <c r="L106" s="4" t="str">
        <f>IF('Raw Data'!L106="","No Coupon",'Raw Data'!L106)</f>
        <v>FREESHIP</v>
      </c>
      <c r="M106" s="4" t="str">
        <f>'Raw Data'!M106</f>
        <v>Email</v>
      </c>
      <c r="N106" s="4">
        <f>'Raw Data'!N106</f>
        <v>582.04</v>
      </c>
    </row>
    <row r="107" spans="1:14" ht="15" customHeight="1" x14ac:dyDescent="0.2">
      <c r="A107" s="4" t="str">
        <f>'Raw Data'!A107</f>
        <v>ORD200105</v>
      </c>
      <c r="B107" s="6">
        <f>'Raw Data'!B107</f>
        <v>45589</v>
      </c>
      <c r="C107" s="4" t="str">
        <f>'Raw Data'!C107</f>
        <v>C72290</v>
      </c>
      <c r="D107" s="4" t="str">
        <f>'Raw Data'!D107</f>
        <v>Printer</v>
      </c>
      <c r="E107" s="4">
        <f>'Raw Data'!E107</f>
        <v>3</v>
      </c>
      <c r="F107" s="4">
        <f>'Raw Data'!F107</f>
        <v>185.4</v>
      </c>
      <c r="G107" s="4" t="str">
        <f>'Raw Data'!G107</f>
        <v>810 Main St</v>
      </c>
      <c r="H107" s="4" t="str">
        <f>'Raw Data'!H107</f>
        <v>Gift Card</v>
      </c>
      <c r="I107" s="4" t="str">
        <f>'Raw Data'!I107</f>
        <v>Cancelled</v>
      </c>
      <c r="J107" s="4" t="str">
        <f>'Raw Data'!J107</f>
        <v>TRK68792129</v>
      </c>
      <c r="K107" s="4">
        <f>'Raw Data'!K107</f>
        <v>7</v>
      </c>
      <c r="L107" s="4" t="str">
        <f>IF('Raw Data'!L107="","No Coupon",'Raw Data'!L107)</f>
        <v>No Coupon</v>
      </c>
      <c r="M107" s="4" t="str">
        <f>'Raw Data'!M107</f>
        <v>Facebook</v>
      </c>
      <c r="N107" s="4">
        <f>'Raw Data'!N107</f>
        <v>556.20000000000005</v>
      </c>
    </row>
    <row r="108" spans="1:14" ht="15" customHeight="1" x14ac:dyDescent="0.2">
      <c r="A108" s="4" t="str">
        <f>'Raw Data'!A108</f>
        <v>ORD200106</v>
      </c>
      <c r="B108" s="6">
        <f>'Raw Data'!B108</f>
        <v>45177</v>
      </c>
      <c r="C108" s="4" t="str">
        <f>'Raw Data'!C108</f>
        <v>C73514</v>
      </c>
      <c r="D108" s="4" t="str">
        <f>'Raw Data'!D108</f>
        <v>Desk</v>
      </c>
      <c r="E108" s="4">
        <f>'Raw Data'!E108</f>
        <v>3</v>
      </c>
      <c r="F108" s="4">
        <f>'Raw Data'!F108</f>
        <v>465.05</v>
      </c>
      <c r="G108" s="4" t="str">
        <f>'Raw Data'!G108</f>
        <v>126 Main St</v>
      </c>
      <c r="H108" s="4" t="str">
        <f>'Raw Data'!H108</f>
        <v>Credit Card</v>
      </c>
      <c r="I108" s="4" t="str">
        <f>'Raw Data'!I108</f>
        <v>Cancelled</v>
      </c>
      <c r="J108" s="4" t="str">
        <f>'Raw Data'!J108</f>
        <v>TRK96777924</v>
      </c>
      <c r="K108" s="4">
        <f>'Raw Data'!K108</f>
        <v>3</v>
      </c>
      <c r="L108" s="4" t="str">
        <f>IF('Raw Data'!L108="","No Coupon",'Raw Data'!L108)</f>
        <v>SAVE10</v>
      </c>
      <c r="M108" s="4" t="str">
        <f>'Raw Data'!M108</f>
        <v>Email</v>
      </c>
      <c r="N108" s="4">
        <f>'Raw Data'!N108</f>
        <v>1395.15</v>
      </c>
    </row>
    <row r="109" spans="1:14" ht="15" customHeight="1" x14ac:dyDescent="0.2">
      <c r="A109" s="4" t="str">
        <f>'Raw Data'!A109</f>
        <v>ORD200107</v>
      </c>
      <c r="B109" s="6">
        <f>'Raw Data'!B109</f>
        <v>45012</v>
      </c>
      <c r="C109" s="4" t="str">
        <f>'Raw Data'!C109</f>
        <v>C16775</v>
      </c>
      <c r="D109" s="4" t="str">
        <f>'Raw Data'!D109</f>
        <v>Printer</v>
      </c>
      <c r="E109" s="4">
        <f>'Raw Data'!E109</f>
        <v>5</v>
      </c>
      <c r="F109" s="4">
        <f>'Raw Data'!F109</f>
        <v>670.75</v>
      </c>
      <c r="G109" s="4" t="str">
        <f>'Raw Data'!G109</f>
        <v>848 Main St</v>
      </c>
      <c r="H109" s="4" t="str">
        <f>'Raw Data'!H109</f>
        <v>Gift Card</v>
      </c>
      <c r="I109" s="4" t="str">
        <f>'Raw Data'!I109</f>
        <v>Shipped</v>
      </c>
      <c r="J109" s="4" t="str">
        <f>'Raw Data'!J109</f>
        <v>TRK34392124</v>
      </c>
      <c r="K109" s="4">
        <f>'Raw Data'!K109</f>
        <v>8</v>
      </c>
      <c r="L109" s="4" t="str">
        <f>IF('Raw Data'!L109="","No Coupon",'Raw Data'!L109)</f>
        <v>FREESHIP</v>
      </c>
      <c r="M109" s="4" t="str">
        <f>'Raw Data'!M109</f>
        <v>Instagram</v>
      </c>
      <c r="N109" s="4">
        <f>'Raw Data'!N109</f>
        <v>3353.75</v>
      </c>
    </row>
    <row r="110" spans="1:14" ht="15" customHeight="1" x14ac:dyDescent="0.2">
      <c r="A110" s="4" t="str">
        <f>'Raw Data'!A110</f>
        <v>ORD200108</v>
      </c>
      <c r="B110" s="6">
        <f>'Raw Data'!B110</f>
        <v>45654</v>
      </c>
      <c r="C110" s="4" t="str">
        <f>'Raw Data'!C110</f>
        <v>C33099</v>
      </c>
      <c r="D110" s="4" t="str">
        <f>'Raw Data'!D110</f>
        <v>Laptop</v>
      </c>
      <c r="E110" s="4">
        <f>'Raw Data'!E110</f>
        <v>5</v>
      </c>
      <c r="F110" s="4">
        <f>'Raw Data'!F110</f>
        <v>48.38</v>
      </c>
      <c r="G110" s="4" t="str">
        <f>'Raw Data'!G110</f>
        <v>522 Main St</v>
      </c>
      <c r="H110" s="4" t="str">
        <f>'Raw Data'!H110</f>
        <v>Gift Card</v>
      </c>
      <c r="I110" s="4" t="str">
        <f>'Raw Data'!I110</f>
        <v>Delivered</v>
      </c>
      <c r="J110" s="4" t="str">
        <f>'Raw Data'!J110</f>
        <v>TRK28522330</v>
      </c>
      <c r="K110" s="4">
        <f>'Raw Data'!K110</f>
        <v>9</v>
      </c>
      <c r="L110" s="4" t="str">
        <f>IF('Raw Data'!L110="","No Coupon",'Raw Data'!L110)</f>
        <v>WINTER15</v>
      </c>
      <c r="M110" s="4" t="str">
        <f>'Raw Data'!M110</f>
        <v>Email</v>
      </c>
      <c r="N110" s="4">
        <f>'Raw Data'!N110</f>
        <v>241.9</v>
      </c>
    </row>
    <row r="111" spans="1:14" ht="15" customHeight="1" x14ac:dyDescent="0.2">
      <c r="A111" s="4" t="str">
        <f>'Raw Data'!A111</f>
        <v>ORD200109</v>
      </c>
      <c r="B111" s="6">
        <f>'Raw Data'!B111</f>
        <v>45186</v>
      </c>
      <c r="C111" s="4" t="str">
        <f>'Raw Data'!C111</f>
        <v>C51157</v>
      </c>
      <c r="D111" s="4" t="str">
        <f>'Raw Data'!D111</f>
        <v>Desk</v>
      </c>
      <c r="E111" s="4">
        <f>'Raw Data'!E111</f>
        <v>3</v>
      </c>
      <c r="F111" s="4">
        <f>'Raw Data'!F111</f>
        <v>592.87</v>
      </c>
      <c r="G111" s="4" t="str">
        <f>'Raw Data'!G111</f>
        <v>131 Main St</v>
      </c>
      <c r="H111" s="4" t="str">
        <f>'Raw Data'!H111</f>
        <v>Gift Card</v>
      </c>
      <c r="I111" s="4" t="str">
        <f>'Raw Data'!I111</f>
        <v>Shipped</v>
      </c>
      <c r="J111" s="4" t="str">
        <f>'Raw Data'!J111</f>
        <v>TRK18674578</v>
      </c>
      <c r="K111" s="4">
        <f>'Raw Data'!K111</f>
        <v>3</v>
      </c>
      <c r="L111" s="4" t="str">
        <f>IF('Raw Data'!L111="","No Coupon",'Raw Data'!L111)</f>
        <v>FREESHIP</v>
      </c>
      <c r="M111" s="4" t="str">
        <f>'Raw Data'!M111</f>
        <v>Referral</v>
      </c>
      <c r="N111" s="4">
        <f>'Raw Data'!N111</f>
        <v>1778.61</v>
      </c>
    </row>
    <row r="112" spans="1:14" ht="15" customHeight="1" x14ac:dyDescent="0.2">
      <c r="A112" s="4" t="str">
        <f>'Raw Data'!A112</f>
        <v>ORD200110</v>
      </c>
      <c r="B112" s="6">
        <f>'Raw Data'!B112</f>
        <v>45403</v>
      </c>
      <c r="C112" s="4" t="str">
        <f>'Raw Data'!C112</f>
        <v>C74562</v>
      </c>
      <c r="D112" s="4" t="str">
        <f>'Raw Data'!D112</f>
        <v>Tablet</v>
      </c>
      <c r="E112" s="4">
        <f>'Raw Data'!E112</f>
        <v>1</v>
      </c>
      <c r="F112" s="4">
        <f>'Raw Data'!F112</f>
        <v>220.77</v>
      </c>
      <c r="G112" s="4" t="str">
        <f>'Raw Data'!G112</f>
        <v>388 Main St</v>
      </c>
      <c r="H112" s="4" t="str">
        <f>'Raw Data'!H112</f>
        <v>Gift Card</v>
      </c>
      <c r="I112" s="4" t="str">
        <f>'Raw Data'!I112</f>
        <v>Pending</v>
      </c>
      <c r="J112" s="4" t="str">
        <f>'Raw Data'!J112</f>
        <v>TRK32062079</v>
      </c>
      <c r="K112" s="4">
        <f>'Raw Data'!K112</f>
        <v>5</v>
      </c>
      <c r="L112" s="4" t="str">
        <f>IF('Raw Data'!L112="","No Coupon",'Raw Data'!L112)</f>
        <v>FREESHIP</v>
      </c>
      <c r="M112" s="4" t="str">
        <f>'Raw Data'!M112</f>
        <v>Instagram</v>
      </c>
      <c r="N112" s="4">
        <f>'Raw Data'!N112</f>
        <v>220.77</v>
      </c>
    </row>
    <row r="113" spans="1:14" ht="15" customHeight="1" x14ac:dyDescent="0.2">
      <c r="A113" s="4" t="str">
        <f>'Raw Data'!A113</f>
        <v>ORD200111</v>
      </c>
      <c r="B113" s="6">
        <f>'Raw Data'!B113</f>
        <v>45784</v>
      </c>
      <c r="C113" s="4" t="str">
        <f>'Raw Data'!C113</f>
        <v>C95271</v>
      </c>
      <c r="D113" s="4" t="str">
        <f>'Raw Data'!D113</f>
        <v>Desk</v>
      </c>
      <c r="E113" s="4">
        <f>'Raw Data'!E113</f>
        <v>3</v>
      </c>
      <c r="F113" s="4">
        <f>'Raw Data'!F113</f>
        <v>309.22000000000003</v>
      </c>
      <c r="G113" s="4" t="str">
        <f>'Raw Data'!G113</f>
        <v>620 Main St</v>
      </c>
      <c r="H113" s="4" t="str">
        <f>'Raw Data'!H113</f>
        <v>Online</v>
      </c>
      <c r="I113" s="4" t="str">
        <f>'Raw Data'!I113</f>
        <v>Cancelled</v>
      </c>
      <c r="J113" s="4" t="str">
        <f>'Raw Data'!J113</f>
        <v>TRK74904969</v>
      </c>
      <c r="K113" s="4">
        <f>'Raw Data'!K113</f>
        <v>7</v>
      </c>
      <c r="L113" s="4" t="str">
        <f>IF('Raw Data'!L113="","No Coupon",'Raw Data'!L113)</f>
        <v>FREESHIP</v>
      </c>
      <c r="M113" s="4" t="str">
        <f>'Raw Data'!M113</f>
        <v>Google</v>
      </c>
      <c r="N113" s="4">
        <f>'Raw Data'!N113</f>
        <v>927.66</v>
      </c>
    </row>
    <row r="114" spans="1:14" ht="15" customHeight="1" x14ac:dyDescent="0.2">
      <c r="A114" s="4" t="str">
        <f>'Raw Data'!A114</f>
        <v>ORD200112</v>
      </c>
      <c r="B114" s="6">
        <f>'Raw Data'!B114</f>
        <v>44927</v>
      </c>
      <c r="C114" s="4" t="str">
        <f>'Raw Data'!C114</f>
        <v>C81366</v>
      </c>
      <c r="D114" s="4" t="str">
        <f>'Raw Data'!D114</f>
        <v>Monitor</v>
      </c>
      <c r="E114" s="4">
        <f>'Raw Data'!E114</f>
        <v>1</v>
      </c>
      <c r="F114" s="4">
        <f>'Raw Data'!F114</f>
        <v>410.6</v>
      </c>
      <c r="G114" s="4" t="str">
        <f>'Raw Data'!G114</f>
        <v>423 Main St</v>
      </c>
      <c r="H114" s="4" t="str">
        <f>'Raw Data'!H114</f>
        <v>Online</v>
      </c>
      <c r="I114" s="4" t="str">
        <f>'Raw Data'!I114</f>
        <v>Cancelled</v>
      </c>
      <c r="J114" s="4" t="str">
        <f>'Raw Data'!J114</f>
        <v>TRK17062206</v>
      </c>
      <c r="K114" s="4">
        <f>'Raw Data'!K114</f>
        <v>2</v>
      </c>
      <c r="L114" s="4" t="str">
        <f>IF('Raw Data'!L114="","No Coupon",'Raw Data'!L114)</f>
        <v>WINTER15</v>
      </c>
      <c r="M114" s="4" t="str">
        <f>'Raw Data'!M114</f>
        <v>Referral</v>
      </c>
      <c r="N114" s="4">
        <f>'Raw Data'!N114</f>
        <v>410.6</v>
      </c>
    </row>
    <row r="115" spans="1:14" ht="15" customHeight="1" x14ac:dyDescent="0.2">
      <c r="A115" s="4" t="str">
        <f>'Raw Data'!A115</f>
        <v>ORD200113</v>
      </c>
      <c r="B115" s="6">
        <f>'Raw Data'!B115</f>
        <v>45308</v>
      </c>
      <c r="C115" s="4" t="str">
        <f>'Raw Data'!C115</f>
        <v>C65905</v>
      </c>
      <c r="D115" s="4" t="str">
        <f>'Raw Data'!D115</f>
        <v>Laptop</v>
      </c>
      <c r="E115" s="4">
        <f>'Raw Data'!E115</f>
        <v>5</v>
      </c>
      <c r="F115" s="4">
        <f>'Raw Data'!F115</f>
        <v>190.08</v>
      </c>
      <c r="G115" s="4" t="str">
        <f>'Raw Data'!G115</f>
        <v>605 Main St</v>
      </c>
      <c r="H115" s="4" t="str">
        <f>'Raw Data'!H115</f>
        <v>Cash</v>
      </c>
      <c r="I115" s="4" t="str">
        <f>'Raw Data'!I115</f>
        <v>Shipped</v>
      </c>
      <c r="J115" s="4" t="str">
        <f>'Raw Data'!J115</f>
        <v>TRK73954365</v>
      </c>
      <c r="K115" s="4">
        <f>'Raw Data'!K115</f>
        <v>9</v>
      </c>
      <c r="L115" s="4" t="str">
        <f>IF('Raw Data'!L115="","No Coupon",'Raw Data'!L115)</f>
        <v>FREESHIP</v>
      </c>
      <c r="M115" s="4" t="str">
        <f>'Raw Data'!M115</f>
        <v>Instagram</v>
      </c>
      <c r="N115" s="4">
        <f>'Raw Data'!N115</f>
        <v>950.4</v>
      </c>
    </row>
    <row r="116" spans="1:14" ht="15" customHeight="1" x14ac:dyDescent="0.2">
      <c r="A116" s="4" t="str">
        <f>'Raw Data'!A116</f>
        <v>ORD200114</v>
      </c>
      <c r="B116" s="6">
        <f>'Raw Data'!B116</f>
        <v>45684</v>
      </c>
      <c r="C116" s="4" t="str">
        <f>'Raw Data'!C116</f>
        <v>C77272</v>
      </c>
      <c r="D116" s="4" t="str">
        <f>'Raw Data'!D116</f>
        <v>Monitor</v>
      </c>
      <c r="E116" s="4">
        <f>'Raw Data'!E116</f>
        <v>5</v>
      </c>
      <c r="F116" s="4">
        <f>'Raw Data'!F116</f>
        <v>498.48</v>
      </c>
      <c r="G116" s="4" t="str">
        <f>'Raw Data'!G116</f>
        <v>115 Main St</v>
      </c>
      <c r="H116" s="4" t="str">
        <f>'Raw Data'!H116</f>
        <v>Online</v>
      </c>
      <c r="I116" s="4" t="str">
        <f>'Raw Data'!I116</f>
        <v>Pending</v>
      </c>
      <c r="J116" s="4" t="str">
        <f>'Raw Data'!J116</f>
        <v>TRK29708128</v>
      </c>
      <c r="K116" s="4">
        <f>'Raw Data'!K116</f>
        <v>8</v>
      </c>
      <c r="L116" s="4" t="str">
        <f>IF('Raw Data'!L116="","No Coupon",'Raw Data'!L116)</f>
        <v>SAVE10</v>
      </c>
      <c r="M116" s="4" t="str">
        <f>'Raw Data'!M116</f>
        <v>Google</v>
      </c>
      <c r="N116" s="4">
        <f>'Raw Data'!N116</f>
        <v>2492.4</v>
      </c>
    </row>
    <row r="117" spans="1:14" ht="15" customHeight="1" x14ac:dyDescent="0.2">
      <c r="A117" s="4" t="str">
        <f>'Raw Data'!A117</f>
        <v>ORD200115</v>
      </c>
      <c r="B117" s="6">
        <f>'Raw Data'!B117</f>
        <v>45257</v>
      </c>
      <c r="C117" s="4" t="str">
        <f>'Raw Data'!C117</f>
        <v>C32580</v>
      </c>
      <c r="D117" s="4" t="str">
        <f>'Raw Data'!D117</f>
        <v>Phone</v>
      </c>
      <c r="E117" s="4">
        <f>'Raw Data'!E117</f>
        <v>5</v>
      </c>
      <c r="F117" s="4">
        <f>'Raw Data'!F117</f>
        <v>374.99</v>
      </c>
      <c r="G117" s="4" t="str">
        <f>'Raw Data'!G117</f>
        <v>122 Main St</v>
      </c>
      <c r="H117" s="4" t="str">
        <f>'Raw Data'!H117</f>
        <v>Online</v>
      </c>
      <c r="I117" s="4" t="str">
        <f>'Raw Data'!I117</f>
        <v>Shipped</v>
      </c>
      <c r="J117" s="4" t="str">
        <f>'Raw Data'!J117</f>
        <v>TRK23670394</v>
      </c>
      <c r="K117" s="4">
        <f>'Raw Data'!K117</f>
        <v>9</v>
      </c>
      <c r="L117" s="4" t="str">
        <f>IF('Raw Data'!L117="","No Coupon",'Raw Data'!L117)</f>
        <v>SAVE10</v>
      </c>
      <c r="M117" s="4" t="str">
        <f>'Raw Data'!M117</f>
        <v>Facebook</v>
      </c>
      <c r="N117" s="4">
        <f>'Raw Data'!N117</f>
        <v>1874.95</v>
      </c>
    </row>
    <row r="118" spans="1:14" ht="15" customHeight="1" x14ac:dyDescent="0.2">
      <c r="A118" s="4" t="str">
        <f>'Raw Data'!A118</f>
        <v>ORD200116</v>
      </c>
      <c r="B118" s="6">
        <f>'Raw Data'!B118</f>
        <v>45004</v>
      </c>
      <c r="C118" s="4" t="str">
        <f>'Raw Data'!C118</f>
        <v>C47761</v>
      </c>
      <c r="D118" s="4" t="str">
        <f>'Raw Data'!D118</f>
        <v>Printer</v>
      </c>
      <c r="E118" s="4">
        <f>'Raw Data'!E118</f>
        <v>4</v>
      </c>
      <c r="F118" s="4">
        <f>'Raw Data'!F118</f>
        <v>291.35000000000002</v>
      </c>
      <c r="G118" s="4" t="str">
        <f>'Raw Data'!G118</f>
        <v>109 Main St</v>
      </c>
      <c r="H118" s="4" t="str">
        <f>'Raw Data'!H118</f>
        <v>Credit Card</v>
      </c>
      <c r="I118" s="4" t="str">
        <f>'Raw Data'!I118</f>
        <v>Cancelled</v>
      </c>
      <c r="J118" s="4" t="str">
        <f>'Raw Data'!J118</f>
        <v>TRK66669207</v>
      </c>
      <c r="K118" s="4">
        <f>'Raw Data'!K118</f>
        <v>6</v>
      </c>
      <c r="L118" s="4" t="str">
        <f>IF('Raw Data'!L118="","No Coupon",'Raw Data'!L118)</f>
        <v>WINTER15</v>
      </c>
      <c r="M118" s="4" t="str">
        <f>'Raw Data'!M118</f>
        <v>Facebook</v>
      </c>
      <c r="N118" s="4">
        <f>'Raw Data'!N118</f>
        <v>1165.4000000000001</v>
      </c>
    </row>
    <row r="119" spans="1:14" ht="15" customHeight="1" x14ac:dyDescent="0.2">
      <c r="A119" s="4" t="str">
        <f>'Raw Data'!A119</f>
        <v>ORD200117</v>
      </c>
      <c r="B119" s="6">
        <f>'Raw Data'!B119</f>
        <v>44993</v>
      </c>
      <c r="C119" s="4" t="str">
        <f>'Raw Data'!C119</f>
        <v>C49187</v>
      </c>
      <c r="D119" s="4" t="str">
        <f>'Raw Data'!D119</f>
        <v>Tablet</v>
      </c>
      <c r="E119" s="4">
        <f>'Raw Data'!E119</f>
        <v>1</v>
      </c>
      <c r="F119" s="4">
        <f>'Raw Data'!F119</f>
        <v>535.5</v>
      </c>
      <c r="G119" s="4" t="str">
        <f>'Raw Data'!G119</f>
        <v>593 Main St</v>
      </c>
      <c r="H119" s="4" t="str">
        <f>'Raw Data'!H119</f>
        <v>Gift Card</v>
      </c>
      <c r="I119" s="4" t="str">
        <f>'Raw Data'!I119</f>
        <v>Cancelled</v>
      </c>
      <c r="J119" s="4" t="str">
        <f>'Raw Data'!J119</f>
        <v>TRK81888598</v>
      </c>
      <c r="K119" s="4">
        <f>'Raw Data'!K119</f>
        <v>5</v>
      </c>
      <c r="L119" s="4" t="str">
        <f>IF('Raw Data'!L119="","No Coupon",'Raw Data'!L119)</f>
        <v>WINTER15</v>
      </c>
      <c r="M119" s="4" t="str">
        <f>'Raw Data'!M119</f>
        <v>Referral</v>
      </c>
      <c r="N119" s="4">
        <f>'Raw Data'!N119</f>
        <v>535.5</v>
      </c>
    </row>
    <row r="120" spans="1:14" ht="15" customHeight="1" x14ac:dyDescent="0.2">
      <c r="A120" s="4" t="str">
        <f>'Raw Data'!A120</f>
        <v>ORD200118</v>
      </c>
      <c r="B120" s="6">
        <f>'Raw Data'!B120</f>
        <v>45208</v>
      </c>
      <c r="C120" s="4" t="str">
        <f>'Raw Data'!C120</f>
        <v>C27898</v>
      </c>
      <c r="D120" s="4" t="str">
        <f>'Raw Data'!D120</f>
        <v>Printer</v>
      </c>
      <c r="E120" s="4">
        <f>'Raw Data'!E120</f>
        <v>5</v>
      </c>
      <c r="F120" s="4">
        <f>'Raw Data'!F120</f>
        <v>502.71</v>
      </c>
      <c r="G120" s="4" t="str">
        <f>'Raw Data'!G120</f>
        <v>807 Main St</v>
      </c>
      <c r="H120" s="4" t="str">
        <f>'Raw Data'!H120</f>
        <v>Gift Card</v>
      </c>
      <c r="I120" s="4" t="str">
        <f>'Raw Data'!I120</f>
        <v>Shipped</v>
      </c>
      <c r="J120" s="4" t="str">
        <f>'Raw Data'!J120</f>
        <v>TRK61957665</v>
      </c>
      <c r="K120" s="4">
        <f>'Raw Data'!K120</f>
        <v>7</v>
      </c>
      <c r="L120" s="4" t="str">
        <f>IF('Raw Data'!L120="","No Coupon",'Raw Data'!L120)</f>
        <v>FREESHIP</v>
      </c>
      <c r="M120" s="4" t="str">
        <f>'Raw Data'!M120</f>
        <v>Google</v>
      </c>
      <c r="N120" s="4">
        <f>'Raw Data'!N120</f>
        <v>2513.5500000000002</v>
      </c>
    </row>
    <row r="121" spans="1:14" ht="15" customHeight="1" x14ac:dyDescent="0.2">
      <c r="A121" s="4" t="str">
        <f>'Raw Data'!A121</f>
        <v>ORD200119</v>
      </c>
      <c r="B121" s="6">
        <f>'Raw Data'!B121</f>
        <v>45819</v>
      </c>
      <c r="C121" s="4" t="str">
        <f>'Raw Data'!C121</f>
        <v>C14683</v>
      </c>
      <c r="D121" s="4" t="str">
        <f>'Raw Data'!D121</f>
        <v>Desk</v>
      </c>
      <c r="E121" s="4">
        <f>'Raw Data'!E121</f>
        <v>2</v>
      </c>
      <c r="F121" s="4">
        <f>'Raw Data'!F121</f>
        <v>534.66999999999996</v>
      </c>
      <c r="G121" s="4" t="str">
        <f>'Raw Data'!G121</f>
        <v>187 Main St</v>
      </c>
      <c r="H121" s="4" t="str">
        <f>'Raw Data'!H121</f>
        <v>Debit Card</v>
      </c>
      <c r="I121" s="4" t="str">
        <f>'Raw Data'!I121</f>
        <v>Shipped</v>
      </c>
      <c r="J121" s="4" t="str">
        <f>'Raw Data'!J121</f>
        <v>TRK47373682</v>
      </c>
      <c r="K121" s="4">
        <f>'Raw Data'!K121</f>
        <v>7</v>
      </c>
      <c r="L121" s="4" t="str">
        <f>IF('Raw Data'!L121="","No Coupon",'Raw Data'!L121)</f>
        <v>FREESHIP</v>
      </c>
      <c r="M121" s="4" t="str">
        <f>'Raw Data'!M121</f>
        <v>Referral</v>
      </c>
      <c r="N121" s="4">
        <f>'Raw Data'!N121</f>
        <v>1069.3399999999999</v>
      </c>
    </row>
    <row r="122" spans="1:14" ht="15" customHeight="1" x14ac:dyDescent="0.2">
      <c r="A122" s="4" t="str">
        <f>'Raw Data'!A122</f>
        <v>ORD200120</v>
      </c>
      <c r="B122" s="6">
        <f>'Raw Data'!B122</f>
        <v>45027</v>
      </c>
      <c r="C122" s="4" t="str">
        <f>'Raw Data'!C122</f>
        <v>C58108</v>
      </c>
      <c r="D122" s="4" t="str">
        <f>'Raw Data'!D122</f>
        <v>Tablet</v>
      </c>
      <c r="E122" s="4">
        <f>'Raw Data'!E122</f>
        <v>4</v>
      </c>
      <c r="F122" s="4">
        <f>'Raw Data'!F122</f>
        <v>629.34</v>
      </c>
      <c r="G122" s="4" t="str">
        <f>'Raw Data'!G122</f>
        <v>986 Main St</v>
      </c>
      <c r="H122" s="4" t="str">
        <f>'Raw Data'!H122</f>
        <v>Cash</v>
      </c>
      <c r="I122" s="4" t="str">
        <f>'Raw Data'!I122</f>
        <v>Cancelled</v>
      </c>
      <c r="J122" s="4" t="str">
        <f>'Raw Data'!J122</f>
        <v>TRK66218053</v>
      </c>
      <c r="K122" s="4">
        <f>'Raw Data'!K122</f>
        <v>4</v>
      </c>
      <c r="L122" s="4" t="str">
        <f>IF('Raw Data'!L122="","No Coupon",'Raw Data'!L122)</f>
        <v>WINTER15</v>
      </c>
      <c r="M122" s="4" t="str">
        <f>'Raw Data'!M122</f>
        <v>Instagram</v>
      </c>
      <c r="N122" s="4">
        <f>'Raw Data'!N122</f>
        <v>2517.36</v>
      </c>
    </row>
    <row r="123" spans="1:14" ht="15" customHeight="1" x14ac:dyDescent="0.2">
      <c r="A123" s="4" t="str">
        <f>'Raw Data'!A123</f>
        <v>ORD200121</v>
      </c>
      <c r="B123" s="6">
        <f>'Raw Data'!B123</f>
        <v>45260</v>
      </c>
      <c r="C123" s="4" t="str">
        <f>'Raw Data'!C123</f>
        <v>C89822</v>
      </c>
      <c r="D123" s="4" t="str">
        <f>'Raw Data'!D123</f>
        <v>Desk</v>
      </c>
      <c r="E123" s="4">
        <f>'Raw Data'!E123</f>
        <v>1</v>
      </c>
      <c r="F123" s="4">
        <f>'Raw Data'!F123</f>
        <v>410.78</v>
      </c>
      <c r="G123" s="4" t="str">
        <f>'Raw Data'!G123</f>
        <v>673 Main St</v>
      </c>
      <c r="H123" s="4" t="str">
        <f>'Raw Data'!H123</f>
        <v>Cash</v>
      </c>
      <c r="I123" s="4" t="str">
        <f>'Raw Data'!I123</f>
        <v>Cancelled</v>
      </c>
      <c r="J123" s="4" t="str">
        <f>'Raw Data'!J123</f>
        <v>TRK24138598</v>
      </c>
      <c r="K123" s="4">
        <f>'Raw Data'!K123</f>
        <v>1</v>
      </c>
      <c r="L123" s="4" t="str">
        <f>IF('Raw Data'!L123="","No Coupon",'Raw Data'!L123)</f>
        <v>FREESHIP</v>
      </c>
      <c r="M123" s="4" t="str">
        <f>'Raw Data'!M123</f>
        <v>Instagram</v>
      </c>
      <c r="N123" s="4">
        <f>'Raw Data'!N123</f>
        <v>410.78</v>
      </c>
    </row>
    <row r="124" spans="1:14" ht="15" customHeight="1" x14ac:dyDescent="0.2">
      <c r="A124" s="4" t="str">
        <f>'Raw Data'!A124</f>
        <v>ORD200122</v>
      </c>
      <c r="B124" s="6">
        <f>'Raw Data'!B124</f>
        <v>45397</v>
      </c>
      <c r="C124" s="4" t="str">
        <f>'Raw Data'!C124</f>
        <v>C96787</v>
      </c>
      <c r="D124" s="4" t="str">
        <f>'Raw Data'!D124</f>
        <v>Laptop</v>
      </c>
      <c r="E124" s="4">
        <f>'Raw Data'!E124</f>
        <v>2</v>
      </c>
      <c r="F124" s="4">
        <f>'Raw Data'!F124</f>
        <v>533.02</v>
      </c>
      <c r="G124" s="4" t="str">
        <f>'Raw Data'!G124</f>
        <v>588 Main St</v>
      </c>
      <c r="H124" s="4" t="str">
        <f>'Raw Data'!H124</f>
        <v>Gift Card</v>
      </c>
      <c r="I124" s="4" t="str">
        <f>'Raw Data'!I124</f>
        <v>Shipped</v>
      </c>
      <c r="J124" s="4" t="str">
        <f>'Raw Data'!J124</f>
        <v>TRK30422853</v>
      </c>
      <c r="K124" s="4">
        <f>'Raw Data'!K124</f>
        <v>2</v>
      </c>
      <c r="L124" s="4" t="str">
        <f>IF('Raw Data'!L124="","No Coupon",'Raw Data'!L124)</f>
        <v>No Coupon</v>
      </c>
      <c r="M124" s="4" t="str">
        <f>'Raw Data'!M124</f>
        <v>Facebook</v>
      </c>
      <c r="N124" s="4">
        <f>'Raw Data'!N124</f>
        <v>1066.04</v>
      </c>
    </row>
    <row r="125" spans="1:14" ht="15" customHeight="1" x14ac:dyDescent="0.2">
      <c r="A125" s="4" t="str">
        <f>'Raw Data'!A125</f>
        <v>ORD200123</v>
      </c>
      <c r="B125" s="6">
        <f>'Raw Data'!B125</f>
        <v>45113</v>
      </c>
      <c r="C125" s="4" t="str">
        <f>'Raw Data'!C125</f>
        <v>C86064</v>
      </c>
      <c r="D125" s="4" t="str">
        <f>'Raw Data'!D125</f>
        <v>Desk</v>
      </c>
      <c r="E125" s="4">
        <f>'Raw Data'!E125</f>
        <v>3</v>
      </c>
      <c r="F125" s="4">
        <f>'Raw Data'!F125</f>
        <v>278.04000000000002</v>
      </c>
      <c r="G125" s="4" t="str">
        <f>'Raw Data'!G125</f>
        <v>727 Main St</v>
      </c>
      <c r="H125" s="4" t="str">
        <f>'Raw Data'!H125</f>
        <v>Online</v>
      </c>
      <c r="I125" s="4" t="str">
        <f>'Raw Data'!I125</f>
        <v>Delivered</v>
      </c>
      <c r="J125" s="4" t="str">
        <f>'Raw Data'!J125</f>
        <v>TRK62182901</v>
      </c>
      <c r="K125" s="4">
        <f>'Raw Data'!K125</f>
        <v>5</v>
      </c>
      <c r="L125" s="4" t="str">
        <f>IF('Raw Data'!L125="","No Coupon",'Raw Data'!L125)</f>
        <v>No Coupon</v>
      </c>
      <c r="M125" s="4" t="str">
        <f>'Raw Data'!M125</f>
        <v>Instagram</v>
      </c>
      <c r="N125" s="4">
        <f>'Raw Data'!N125</f>
        <v>834.12</v>
      </c>
    </row>
    <row r="126" spans="1:14" ht="15" customHeight="1" x14ac:dyDescent="0.2">
      <c r="A126" s="4" t="str">
        <f>'Raw Data'!A126</f>
        <v>ORD200124</v>
      </c>
      <c r="B126" s="6">
        <f>'Raw Data'!B126</f>
        <v>45501</v>
      </c>
      <c r="C126" s="4" t="str">
        <f>'Raw Data'!C126</f>
        <v>C97148</v>
      </c>
      <c r="D126" s="4" t="str">
        <f>'Raw Data'!D126</f>
        <v>Printer</v>
      </c>
      <c r="E126" s="4">
        <f>'Raw Data'!E126</f>
        <v>4</v>
      </c>
      <c r="F126" s="4">
        <f>'Raw Data'!F126</f>
        <v>283.79000000000002</v>
      </c>
      <c r="G126" s="4" t="str">
        <f>'Raw Data'!G126</f>
        <v>563 Main St</v>
      </c>
      <c r="H126" s="4" t="str">
        <f>'Raw Data'!H126</f>
        <v>Online</v>
      </c>
      <c r="I126" s="4" t="str">
        <f>'Raw Data'!I126</f>
        <v>Pending</v>
      </c>
      <c r="J126" s="4" t="str">
        <f>'Raw Data'!J126</f>
        <v>TRK85321126</v>
      </c>
      <c r="K126" s="4">
        <f>'Raw Data'!K126</f>
        <v>8</v>
      </c>
      <c r="L126" s="4" t="str">
        <f>IF('Raw Data'!L126="","No Coupon",'Raw Data'!L126)</f>
        <v>No Coupon</v>
      </c>
      <c r="M126" s="4" t="str">
        <f>'Raw Data'!M126</f>
        <v>Google</v>
      </c>
      <c r="N126" s="4">
        <f>'Raw Data'!N126</f>
        <v>1135.1600000000001</v>
      </c>
    </row>
    <row r="127" spans="1:14" ht="15" customHeight="1" x14ac:dyDescent="0.2">
      <c r="A127" s="4" t="str">
        <f>'Raw Data'!A127</f>
        <v>ORD200125</v>
      </c>
      <c r="B127" s="6">
        <f>'Raw Data'!B127</f>
        <v>45602</v>
      </c>
      <c r="C127" s="4" t="str">
        <f>'Raw Data'!C127</f>
        <v>C91099</v>
      </c>
      <c r="D127" s="4" t="str">
        <f>'Raw Data'!D127</f>
        <v>Phone</v>
      </c>
      <c r="E127" s="4">
        <f>'Raw Data'!E127</f>
        <v>2</v>
      </c>
      <c r="F127" s="4">
        <f>'Raw Data'!F127</f>
        <v>512.65</v>
      </c>
      <c r="G127" s="4" t="str">
        <f>'Raw Data'!G127</f>
        <v>758 Main St</v>
      </c>
      <c r="H127" s="4" t="str">
        <f>'Raw Data'!H127</f>
        <v>Credit Card</v>
      </c>
      <c r="I127" s="4" t="str">
        <f>'Raw Data'!I127</f>
        <v>Shipped</v>
      </c>
      <c r="J127" s="4" t="str">
        <f>'Raw Data'!J127</f>
        <v>TRK81846174</v>
      </c>
      <c r="K127" s="4">
        <f>'Raw Data'!K127</f>
        <v>5</v>
      </c>
      <c r="L127" s="4" t="str">
        <f>IF('Raw Data'!L127="","No Coupon",'Raw Data'!L127)</f>
        <v>SAVE10</v>
      </c>
      <c r="M127" s="4" t="str">
        <f>'Raw Data'!M127</f>
        <v>Email</v>
      </c>
      <c r="N127" s="4">
        <f>'Raw Data'!N127</f>
        <v>1025.3</v>
      </c>
    </row>
    <row r="128" spans="1:14" ht="15" customHeight="1" x14ac:dyDescent="0.2">
      <c r="A128" s="4" t="str">
        <f>'Raw Data'!A128</f>
        <v>ORD200126</v>
      </c>
      <c r="B128" s="6">
        <f>'Raw Data'!B128</f>
        <v>45780</v>
      </c>
      <c r="C128" s="4" t="str">
        <f>'Raw Data'!C128</f>
        <v>C55606</v>
      </c>
      <c r="D128" s="4" t="str">
        <f>'Raw Data'!D128</f>
        <v>Desk</v>
      </c>
      <c r="E128" s="4">
        <f>'Raw Data'!E128</f>
        <v>4</v>
      </c>
      <c r="F128" s="4">
        <f>'Raw Data'!F128</f>
        <v>275.5</v>
      </c>
      <c r="G128" s="4" t="str">
        <f>'Raw Data'!G128</f>
        <v>353 Main St</v>
      </c>
      <c r="H128" s="4" t="str">
        <f>'Raw Data'!H128</f>
        <v>Gift Card</v>
      </c>
      <c r="I128" s="4" t="str">
        <f>'Raw Data'!I128</f>
        <v>Shipped</v>
      </c>
      <c r="J128" s="4" t="str">
        <f>'Raw Data'!J128</f>
        <v>TRK68250319</v>
      </c>
      <c r="K128" s="4">
        <f>'Raw Data'!K128</f>
        <v>8</v>
      </c>
      <c r="L128" s="4" t="str">
        <f>IF('Raw Data'!L128="","No Coupon",'Raw Data'!L128)</f>
        <v>FREESHIP</v>
      </c>
      <c r="M128" s="4" t="str">
        <f>'Raw Data'!M128</f>
        <v>Google</v>
      </c>
      <c r="N128" s="4">
        <f>'Raw Data'!N128</f>
        <v>1102</v>
      </c>
    </row>
    <row r="129" spans="1:14" ht="15" customHeight="1" x14ac:dyDescent="0.2">
      <c r="A129" s="4" t="str">
        <f>'Raw Data'!A129</f>
        <v>ORD200127</v>
      </c>
      <c r="B129" s="6">
        <f>'Raw Data'!B129</f>
        <v>45148</v>
      </c>
      <c r="C129" s="4" t="str">
        <f>'Raw Data'!C129</f>
        <v>C71486</v>
      </c>
      <c r="D129" s="4" t="str">
        <f>'Raw Data'!D129</f>
        <v>Desk</v>
      </c>
      <c r="E129" s="4">
        <f>'Raw Data'!E129</f>
        <v>3</v>
      </c>
      <c r="F129" s="4">
        <f>'Raw Data'!F129</f>
        <v>469.32</v>
      </c>
      <c r="G129" s="4" t="str">
        <f>'Raw Data'!G129</f>
        <v>365 Main St</v>
      </c>
      <c r="H129" s="4" t="str">
        <f>'Raw Data'!H129</f>
        <v>Debit Card</v>
      </c>
      <c r="I129" s="4" t="str">
        <f>'Raw Data'!I129</f>
        <v>Shipped</v>
      </c>
      <c r="J129" s="4" t="str">
        <f>'Raw Data'!J129</f>
        <v>TRK73929833</v>
      </c>
      <c r="K129" s="4">
        <f>'Raw Data'!K129</f>
        <v>3</v>
      </c>
      <c r="L129" s="4" t="str">
        <f>IF('Raw Data'!L129="","No Coupon",'Raw Data'!L129)</f>
        <v>No Coupon</v>
      </c>
      <c r="M129" s="4" t="str">
        <f>'Raw Data'!M129</f>
        <v>Google</v>
      </c>
      <c r="N129" s="4">
        <f>'Raw Data'!N129</f>
        <v>1407.96</v>
      </c>
    </row>
    <row r="130" spans="1:14" ht="15" customHeight="1" x14ac:dyDescent="0.2">
      <c r="A130" s="4" t="str">
        <f>'Raw Data'!A130</f>
        <v>ORD200128</v>
      </c>
      <c r="B130" s="6">
        <f>'Raw Data'!B130</f>
        <v>44974</v>
      </c>
      <c r="C130" s="4" t="str">
        <f>'Raw Data'!C130</f>
        <v>C86408</v>
      </c>
      <c r="D130" s="4" t="str">
        <f>'Raw Data'!D130</f>
        <v>Tablet</v>
      </c>
      <c r="E130" s="4">
        <f>'Raw Data'!E130</f>
        <v>4</v>
      </c>
      <c r="F130" s="4">
        <f>'Raw Data'!F130</f>
        <v>21.07</v>
      </c>
      <c r="G130" s="4" t="str">
        <f>'Raw Data'!G130</f>
        <v>244 Main St</v>
      </c>
      <c r="H130" s="4" t="str">
        <f>'Raw Data'!H130</f>
        <v>Gift Card</v>
      </c>
      <c r="I130" s="4" t="str">
        <f>'Raw Data'!I130</f>
        <v>Delivered</v>
      </c>
      <c r="J130" s="4" t="str">
        <f>'Raw Data'!J130</f>
        <v>TRK41432648</v>
      </c>
      <c r="K130" s="4">
        <f>'Raw Data'!K130</f>
        <v>4</v>
      </c>
      <c r="L130" s="4" t="str">
        <f>IF('Raw Data'!L130="","No Coupon",'Raw Data'!L130)</f>
        <v>FREESHIP</v>
      </c>
      <c r="M130" s="4" t="str">
        <f>'Raw Data'!M130</f>
        <v>Google</v>
      </c>
      <c r="N130" s="4">
        <f>'Raw Data'!N130</f>
        <v>84.28</v>
      </c>
    </row>
    <row r="131" spans="1:14" ht="15" customHeight="1" x14ac:dyDescent="0.2">
      <c r="A131" s="4" t="str">
        <f>'Raw Data'!A131</f>
        <v>ORD200129</v>
      </c>
      <c r="B131" s="6">
        <f>'Raw Data'!B131</f>
        <v>45226</v>
      </c>
      <c r="C131" s="4" t="str">
        <f>'Raw Data'!C131</f>
        <v>C52751</v>
      </c>
      <c r="D131" s="4" t="str">
        <f>'Raw Data'!D131</f>
        <v>Laptop</v>
      </c>
      <c r="E131" s="4">
        <f>'Raw Data'!E131</f>
        <v>4</v>
      </c>
      <c r="F131" s="4">
        <f>'Raw Data'!F131</f>
        <v>263.93</v>
      </c>
      <c r="G131" s="4" t="str">
        <f>'Raw Data'!G131</f>
        <v>427 Main St</v>
      </c>
      <c r="H131" s="4" t="str">
        <f>'Raw Data'!H131</f>
        <v>Debit Card</v>
      </c>
      <c r="I131" s="4" t="str">
        <f>'Raw Data'!I131</f>
        <v>Shipped</v>
      </c>
      <c r="J131" s="4" t="str">
        <f>'Raw Data'!J131</f>
        <v>TRK72481234</v>
      </c>
      <c r="K131" s="4">
        <f>'Raw Data'!K131</f>
        <v>4</v>
      </c>
      <c r="L131" s="4" t="str">
        <f>IF('Raw Data'!L131="","No Coupon",'Raw Data'!L131)</f>
        <v>FREESHIP</v>
      </c>
      <c r="M131" s="4" t="str">
        <f>'Raw Data'!M131</f>
        <v>Facebook</v>
      </c>
      <c r="N131" s="4">
        <f>'Raw Data'!N131</f>
        <v>1055.72</v>
      </c>
    </row>
    <row r="132" spans="1:14" ht="15" customHeight="1" x14ac:dyDescent="0.2">
      <c r="A132" s="4" t="str">
        <f>'Raw Data'!A132</f>
        <v>ORD200130</v>
      </c>
      <c r="B132" s="6">
        <f>'Raw Data'!B132</f>
        <v>45679</v>
      </c>
      <c r="C132" s="4" t="str">
        <f>'Raw Data'!C132</f>
        <v>C29059</v>
      </c>
      <c r="D132" s="4" t="str">
        <f>'Raw Data'!D132</f>
        <v>Desk</v>
      </c>
      <c r="E132" s="4">
        <f>'Raw Data'!E132</f>
        <v>3</v>
      </c>
      <c r="F132" s="4">
        <f>'Raw Data'!F132</f>
        <v>501.3</v>
      </c>
      <c r="G132" s="4" t="str">
        <f>'Raw Data'!G132</f>
        <v>513 Main St</v>
      </c>
      <c r="H132" s="4" t="str">
        <f>'Raw Data'!H132</f>
        <v>Online</v>
      </c>
      <c r="I132" s="4" t="str">
        <f>'Raw Data'!I132</f>
        <v>Cancelled</v>
      </c>
      <c r="J132" s="4" t="str">
        <f>'Raw Data'!J132</f>
        <v>TRK88360704</v>
      </c>
      <c r="K132" s="4">
        <f>'Raw Data'!K132</f>
        <v>3</v>
      </c>
      <c r="L132" s="4" t="str">
        <f>IF('Raw Data'!L132="","No Coupon",'Raw Data'!L132)</f>
        <v>WINTER15</v>
      </c>
      <c r="M132" s="4" t="str">
        <f>'Raw Data'!M132</f>
        <v>Facebook</v>
      </c>
      <c r="N132" s="4">
        <f>'Raw Data'!N132</f>
        <v>1503.9</v>
      </c>
    </row>
    <row r="133" spans="1:14" ht="15" customHeight="1" x14ac:dyDescent="0.2">
      <c r="A133" s="4" t="str">
        <f>'Raw Data'!A133</f>
        <v>ORD200131</v>
      </c>
      <c r="B133" s="6">
        <f>'Raw Data'!B133</f>
        <v>44934</v>
      </c>
      <c r="C133" s="4" t="str">
        <f>'Raw Data'!C133</f>
        <v>C72862</v>
      </c>
      <c r="D133" s="4" t="str">
        <f>'Raw Data'!D133</f>
        <v>Tablet</v>
      </c>
      <c r="E133" s="4">
        <f>'Raw Data'!E133</f>
        <v>1</v>
      </c>
      <c r="F133" s="4">
        <f>'Raw Data'!F133</f>
        <v>84.8</v>
      </c>
      <c r="G133" s="4" t="str">
        <f>'Raw Data'!G133</f>
        <v>606 Main St</v>
      </c>
      <c r="H133" s="4" t="str">
        <f>'Raw Data'!H133</f>
        <v>Gift Card</v>
      </c>
      <c r="I133" s="4" t="str">
        <f>'Raw Data'!I133</f>
        <v>Pending</v>
      </c>
      <c r="J133" s="4" t="str">
        <f>'Raw Data'!J133</f>
        <v>TRK51648833</v>
      </c>
      <c r="K133" s="4">
        <f>'Raw Data'!K133</f>
        <v>5</v>
      </c>
      <c r="L133" s="4" t="str">
        <f>IF('Raw Data'!L133="","No Coupon",'Raw Data'!L133)</f>
        <v>No Coupon</v>
      </c>
      <c r="M133" s="4" t="str">
        <f>'Raw Data'!M133</f>
        <v>Instagram</v>
      </c>
      <c r="N133" s="4">
        <f>'Raw Data'!N133</f>
        <v>84.8</v>
      </c>
    </row>
    <row r="134" spans="1:14" ht="15" customHeight="1" x14ac:dyDescent="0.2">
      <c r="A134" s="4" t="str">
        <f>'Raw Data'!A134</f>
        <v>ORD200132</v>
      </c>
      <c r="B134" s="6">
        <f>'Raw Data'!B134</f>
        <v>45013</v>
      </c>
      <c r="C134" s="4" t="str">
        <f>'Raw Data'!C134</f>
        <v>C96257</v>
      </c>
      <c r="D134" s="4" t="str">
        <f>'Raw Data'!D134</f>
        <v>Tablet</v>
      </c>
      <c r="E134" s="4">
        <f>'Raw Data'!E134</f>
        <v>4</v>
      </c>
      <c r="F134" s="4">
        <f>'Raw Data'!F134</f>
        <v>450.75</v>
      </c>
      <c r="G134" s="4" t="str">
        <f>'Raw Data'!G134</f>
        <v>583 Main St</v>
      </c>
      <c r="H134" s="4" t="str">
        <f>'Raw Data'!H134</f>
        <v>Credit Card</v>
      </c>
      <c r="I134" s="4" t="str">
        <f>'Raw Data'!I134</f>
        <v>Shipped</v>
      </c>
      <c r="J134" s="4" t="str">
        <f>'Raw Data'!J134</f>
        <v>TRK13137948</v>
      </c>
      <c r="K134" s="4">
        <f>'Raw Data'!K134</f>
        <v>6</v>
      </c>
      <c r="L134" s="4" t="str">
        <f>IF('Raw Data'!L134="","No Coupon",'Raw Data'!L134)</f>
        <v>WINTER15</v>
      </c>
      <c r="M134" s="4" t="str">
        <f>'Raw Data'!M134</f>
        <v>Email</v>
      </c>
      <c r="N134" s="4">
        <f>'Raw Data'!N134</f>
        <v>1803</v>
      </c>
    </row>
    <row r="135" spans="1:14" ht="15" customHeight="1" x14ac:dyDescent="0.2">
      <c r="A135" s="4" t="str">
        <f>'Raw Data'!A135</f>
        <v>ORD200133</v>
      </c>
      <c r="B135" s="6">
        <f>'Raw Data'!B135</f>
        <v>45828</v>
      </c>
      <c r="C135" s="4" t="str">
        <f>'Raw Data'!C135</f>
        <v>C87432</v>
      </c>
      <c r="D135" s="4" t="str">
        <f>'Raw Data'!D135</f>
        <v>Chair</v>
      </c>
      <c r="E135" s="4">
        <f>'Raw Data'!E135</f>
        <v>4</v>
      </c>
      <c r="F135" s="4">
        <f>'Raw Data'!F135</f>
        <v>302.05</v>
      </c>
      <c r="G135" s="4" t="str">
        <f>'Raw Data'!G135</f>
        <v>636 Main St</v>
      </c>
      <c r="H135" s="4" t="str">
        <f>'Raw Data'!H135</f>
        <v>Debit Card</v>
      </c>
      <c r="I135" s="4" t="str">
        <f>'Raw Data'!I135</f>
        <v>Cancelled</v>
      </c>
      <c r="J135" s="4" t="str">
        <f>'Raw Data'!J135</f>
        <v>TRK68969625</v>
      </c>
      <c r="K135" s="4">
        <f>'Raw Data'!K135</f>
        <v>6</v>
      </c>
      <c r="L135" s="4" t="str">
        <f>IF('Raw Data'!L135="","No Coupon",'Raw Data'!L135)</f>
        <v>SAVE10</v>
      </c>
      <c r="M135" s="4" t="str">
        <f>'Raw Data'!M135</f>
        <v>Google</v>
      </c>
      <c r="N135" s="4">
        <f>'Raw Data'!N135</f>
        <v>1208.2</v>
      </c>
    </row>
    <row r="136" spans="1:14" ht="15" customHeight="1" x14ac:dyDescent="0.2">
      <c r="A136" s="4" t="str">
        <f>'Raw Data'!A136</f>
        <v>ORD200134</v>
      </c>
      <c r="B136" s="6">
        <f>'Raw Data'!B136</f>
        <v>45831</v>
      </c>
      <c r="C136" s="4" t="str">
        <f>'Raw Data'!C136</f>
        <v>C16253</v>
      </c>
      <c r="D136" s="4" t="str">
        <f>'Raw Data'!D136</f>
        <v>Laptop</v>
      </c>
      <c r="E136" s="4">
        <f>'Raw Data'!E136</f>
        <v>2</v>
      </c>
      <c r="F136" s="4">
        <f>'Raw Data'!F136</f>
        <v>199.7</v>
      </c>
      <c r="G136" s="4" t="str">
        <f>'Raw Data'!G136</f>
        <v>583 Main St</v>
      </c>
      <c r="H136" s="4" t="str">
        <f>'Raw Data'!H136</f>
        <v>Cash</v>
      </c>
      <c r="I136" s="4" t="str">
        <f>'Raw Data'!I136</f>
        <v>Pending</v>
      </c>
      <c r="J136" s="4" t="str">
        <f>'Raw Data'!J136</f>
        <v>TRK17354894</v>
      </c>
      <c r="K136" s="4">
        <f>'Raw Data'!K136</f>
        <v>4</v>
      </c>
      <c r="L136" s="4" t="str">
        <f>IF('Raw Data'!L136="","No Coupon",'Raw Data'!L136)</f>
        <v>No Coupon</v>
      </c>
      <c r="M136" s="4" t="str">
        <f>'Raw Data'!M136</f>
        <v>Email</v>
      </c>
      <c r="N136" s="4">
        <f>'Raw Data'!N136</f>
        <v>399.4</v>
      </c>
    </row>
    <row r="137" spans="1:14" ht="15" customHeight="1" x14ac:dyDescent="0.2">
      <c r="A137" s="4" t="str">
        <f>'Raw Data'!A137</f>
        <v>ORD200135</v>
      </c>
      <c r="B137" s="6">
        <f>'Raw Data'!B137</f>
        <v>45142</v>
      </c>
      <c r="C137" s="4" t="str">
        <f>'Raw Data'!C137</f>
        <v>C79909</v>
      </c>
      <c r="D137" s="4" t="str">
        <f>'Raw Data'!D137</f>
        <v>Printer</v>
      </c>
      <c r="E137" s="4">
        <f>'Raw Data'!E137</f>
        <v>2</v>
      </c>
      <c r="F137" s="4">
        <f>'Raw Data'!F137</f>
        <v>68.81</v>
      </c>
      <c r="G137" s="4" t="str">
        <f>'Raw Data'!G137</f>
        <v>642 Main St</v>
      </c>
      <c r="H137" s="4" t="str">
        <f>'Raw Data'!H137</f>
        <v>Gift Card</v>
      </c>
      <c r="I137" s="4" t="str">
        <f>'Raw Data'!I137</f>
        <v>Shipped</v>
      </c>
      <c r="J137" s="4" t="str">
        <f>'Raw Data'!J137</f>
        <v>TRK86742257</v>
      </c>
      <c r="K137" s="4">
        <f>'Raw Data'!K137</f>
        <v>5</v>
      </c>
      <c r="L137" s="4" t="str">
        <f>IF('Raw Data'!L137="","No Coupon",'Raw Data'!L137)</f>
        <v>SAVE10</v>
      </c>
      <c r="M137" s="4" t="str">
        <f>'Raw Data'!M137</f>
        <v>Referral</v>
      </c>
      <c r="N137" s="4">
        <f>'Raw Data'!N137</f>
        <v>137.62</v>
      </c>
    </row>
    <row r="138" spans="1:14" ht="15" customHeight="1" x14ac:dyDescent="0.2">
      <c r="A138" s="4" t="str">
        <f>'Raw Data'!A138</f>
        <v>ORD200136</v>
      </c>
      <c r="B138" s="6">
        <f>'Raw Data'!B138</f>
        <v>45409</v>
      </c>
      <c r="C138" s="4" t="str">
        <f>'Raw Data'!C138</f>
        <v>C73370</v>
      </c>
      <c r="D138" s="4" t="str">
        <f>'Raw Data'!D138</f>
        <v>Laptop</v>
      </c>
      <c r="E138" s="4">
        <f>'Raw Data'!E138</f>
        <v>1</v>
      </c>
      <c r="F138" s="4">
        <f>'Raw Data'!F138</f>
        <v>44.35</v>
      </c>
      <c r="G138" s="4" t="str">
        <f>'Raw Data'!G138</f>
        <v>595 Main St</v>
      </c>
      <c r="H138" s="4" t="str">
        <f>'Raw Data'!H138</f>
        <v>Gift Card</v>
      </c>
      <c r="I138" s="4" t="str">
        <f>'Raw Data'!I138</f>
        <v>Cancelled</v>
      </c>
      <c r="J138" s="4" t="str">
        <f>'Raw Data'!J138</f>
        <v>TRK67820278</v>
      </c>
      <c r="K138" s="4">
        <f>'Raw Data'!K138</f>
        <v>1</v>
      </c>
      <c r="L138" s="4" t="str">
        <f>IF('Raw Data'!L138="","No Coupon",'Raw Data'!L138)</f>
        <v>SAVE10</v>
      </c>
      <c r="M138" s="4" t="str">
        <f>'Raw Data'!M138</f>
        <v>Instagram</v>
      </c>
      <c r="N138" s="4">
        <f>'Raw Data'!N138</f>
        <v>44.35</v>
      </c>
    </row>
    <row r="139" spans="1:14" ht="15" customHeight="1" x14ac:dyDescent="0.2">
      <c r="A139" s="4" t="str">
        <f>'Raw Data'!A139</f>
        <v>ORD200137</v>
      </c>
      <c r="B139" s="6">
        <f>'Raw Data'!B139</f>
        <v>45622</v>
      </c>
      <c r="C139" s="4" t="str">
        <f>'Raw Data'!C139</f>
        <v>C50682</v>
      </c>
      <c r="D139" s="4" t="str">
        <f>'Raw Data'!D139</f>
        <v>Monitor</v>
      </c>
      <c r="E139" s="4">
        <f>'Raw Data'!E139</f>
        <v>2</v>
      </c>
      <c r="F139" s="4">
        <f>'Raw Data'!F139</f>
        <v>250.98</v>
      </c>
      <c r="G139" s="4" t="str">
        <f>'Raw Data'!G139</f>
        <v>598 Main St</v>
      </c>
      <c r="H139" s="4" t="str">
        <f>'Raw Data'!H139</f>
        <v>Credit Card</v>
      </c>
      <c r="I139" s="4" t="str">
        <f>'Raw Data'!I139</f>
        <v>Delivered</v>
      </c>
      <c r="J139" s="4" t="str">
        <f>'Raw Data'!J139</f>
        <v>TRK12242337</v>
      </c>
      <c r="K139" s="4">
        <f>'Raw Data'!K139</f>
        <v>5</v>
      </c>
      <c r="L139" s="4" t="str">
        <f>IF('Raw Data'!L139="","No Coupon",'Raw Data'!L139)</f>
        <v>No Coupon</v>
      </c>
      <c r="M139" s="4" t="str">
        <f>'Raw Data'!M139</f>
        <v>Google</v>
      </c>
      <c r="N139" s="4">
        <f>'Raw Data'!N139</f>
        <v>501.96</v>
      </c>
    </row>
    <row r="140" spans="1:14" ht="15" customHeight="1" x14ac:dyDescent="0.2">
      <c r="A140" s="4" t="str">
        <f>'Raw Data'!A140</f>
        <v>ORD200138</v>
      </c>
      <c r="B140" s="6">
        <f>'Raw Data'!B140</f>
        <v>45281</v>
      </c>
      <c r="C140" s="4" t="str">
        <f>'Raw Data'!C140</f>
        <v>C21905</v>
      </c>
      <c r="D140" s="4" t="str">
        <f>'Raw Data'!D140</f>
        <v>Tablet</v>
      </c>
      <c r="E140" s="4">
        <f>'Raw Data'!E140</f>
        <v>1</v>
      </c>
      <c r="F140" s="4">
        <f>'Raw Data'!F140</f>
        <v>298.06</v>
      </c>
      <c r="G140" s="4" t="str">
        <f>'Raw Data'!G140</f>
        <v>478 Main St</v>
      </c>
      <c r="H140" s="4" t="str">
        <f>'Raw Data'!H140</f>
        <v>Debit Card</v>
      </c>
      <c r="I140" s="4" t="str">
        <f>'Raw Data'!I140</f>
        <v>Pending</v>
      </c>
      <c r="J140" s="4" t="str">
        <f>'Raw Data'!J140</f>
        <v>TRK31863841</v>
      </c>
      <c r="K140" s="4">
        <f>'Raw Data'!K140</f>
        <v>3</v>
      </c>
      <c r="L140" s="4" t="str">
        <f>IF('Raw Data'!L140="","No Coupon",'Raw Data'!L140)</f>
        <v>WINTER15</v>
      </c>
      <c r="M140" s="4" t="str">
        <f>'Raw Data'!M140</f>
        <v>Google</v>
      </c>
      <c r="N140" s="4">
        <f>'Raw Data'!N140</f>
        <v>298.06</v>
      </c>
    </row>
    <row r="141" spans="1:14" ht="15" customHeight="1" x14ac:dyDescent="0.2">
      <c r="A141" s="4" t="str">
        <f>'Raw Data'!A141</f>
        <v>ORD200139</v>
      </c>
      <c r="B141" s="6">
        <f>'Raw Data'!B141</f>
        <v>45026</v>
      </c>
      <c r="C141" s="4" t="str">
        <f>'Raw Data'!C141</f>
        <v>C61440</v>
      </c>
      <c r="D141" s="4" t="str">
        <f>'Raw Data'!D141</f>
        <v>Phone</v>
      </c>
      <c r="E141" s="4">
        <f>'Raw Data'!E141</f>
        <v>1</v>
      </c>
      <c r="F141" s="4">
        <f>'Raw Data'!F141</f>
        <v>583.9</v>
      </c>
      <c r="G141" s="4" t="str">
        <f>'Raw Data'!G141</f>
        <v>714 Main St</v>
      </c>
      <c r="H141" s="4" t="str">
        <f>'Raw Data'!H141</f>
        <v>Cash</v>
      </c>
      <c r="I141" s="4" t="str">
        <f>'Raw Data'!I141</f>
        <v>Returned</v>
      </c>
      <c r="J141" s="4" t="str">
        <f>'Raw Data'!J141</f>
        <v>TRK33114521</v>
      </c>
      <c r="K141" s="4">
        <f>'Raw Data'!K141</f>
        <v>1</v>
      </c>
      <c r="L141" s="4" t="str">
        <f>IF('Raw Data'!L141="","No Coupon",'Raw Data'!L141)</f>
        <v>No Coupon</v>
      </c>
      <c r="M141" s="4" t="str">
        <f>'Raw Data'!M141</f>
        <v>Email</v>
      </c>
      <c r="N141" s="4">
        <f>'Raw Data'!N141</f>
        <v>583.9</v>
      </c>
    </row>
    <row r="142" spans="1:14" ht="15" customHeight="1" x14ac:dyDescent="0.2">
      <c r="A142" s="4" t="str">
        <f>'Raw Data'!A142</f>
        <v>ORD200140</v>
      </c>
      <c r="B142" s="6">
        <f>'Raw Data'!B142</f>
        <v>45808</v>
      </c>
      <c r="C142" s="4" t="str">
        <f>'Raw Data'!C142</f>
        <v>C33110</v>
      </c>
      <c r="D142" s="4" t="str">
        <f>'Raw Data'!D142</f>
        <v>Chair</v>
      </c>
      <c r="E142" s="4">
        <f>'Raw Data'!E142</f>
        <v>3</v>
      </c>
      <c r="F142" s="4">
        <f>'Raw Data'!F142</f>
        <v>528.14</v>
      </c>
      <c r="G142" s="4" t="str">
        <f>'Raw Data'!G142</f>
        <v>388 Main St</v>
      </c>
      <c r="H142" s="4" t="str">
        <f>'Raw Data'!H142</f>
        <v>Online</v>
      </c>
      <c r="I142" s="4" t="str">
        <f>'Raw Data'!I142</f>
        <v>Delivered</v>
      </c>
      <c r="J142" s="4" t="str">
        <f>'Raw Data'!J142</f>
        <v>TRK38624225</v>
      </c>
      <c r="K142" s="4">
        <f>'Raw Data'!K142</f>
        <v>3</v>
      </c>
      <c r="L142" s="4" t="str">
        <f>IF('Raw Data'!L142="","No Coupon",'Raw Data'!L142)</f>
        <v>FREESHIP</v>
      </c>
      <c r="M142" s="4" t="str">
        <f>'Raw Data'!M142</f>
        <v>Email</v>
      </c>
      <c r="N142" s="4">
        <f>'Raw Data'!N142</f>
        <v>1584.42</v>
      </c>
    </row>
    <row r="143" spans="1:14" ht="15" customHeight="1" x14ac:dyDescent="0.2">
      <c r="A143" s="4" t="str">
        <f>'Raw Data'!A143</f>
        <v>ORD200141</v>
      </c>
      <c r="B143" s="6">
        <f>'Raw Data'!B143</f>
        <v>45248</v>
      </c>
      <c r="C143" s="4" t="str">
        <f>'Raw Data'!C143</f>
        <v>C80004</v>
      </c>
      <c r="D143" s="4" t="str">
        <f>'Raw Data'!D143</f>
        <v>Printer</v>
      </c>
      <c r="E143" s="4">
        <f>'Raw Data'!E143</f>
        <v>3</v>
      </c>
      <c r="F143" s="4">
        <f>'Raw Data'!F143</f>
        <v>684.14</v>
      </c>
      <c r="G143" s="4" t="str">
        <f>'Raw Data'!G143</f>
        <v>151 Main St</v>
      </c>
      <c r="H143" s="4" t="str">
        <f>'Raw Data'!H143</f>
        <v>Cash</v>
      </c>
      <c r="I143" s="4" t="str">
        <f>'Raw Data'!I143</f>
        <v>Cancelled</v>
      </c>
      <c r="J143" s="4" t="str">
        <f>'Raw Data'!J143</f>
        <v>TRK66230753</v>
      </c>
      <c r="K143" s="4">
        <f>'Raw Data'!K143</f>
        <v>3</v>
      </c>
      <c r="L143" s="4" t="str">
        <f>IF('Raw Data'!L143="","No Coupon",'Raw Data'!L143)</f>
        <v>WINTER15</v>
      </c>
      <c r="M143" s="4" t="str">
        <f>'Raw Data'!M143</f>
        <v>Instagram</v>
      </c>
      <c r="N143" s="4">
        <f>'Raw Data'!N143</f>
        <v>2052.42</v>
      </c>
    </row>
    <row r="144" spans="1:14" ht="15" customHeight="1" x14ac:dyDescent="0.2">
      <c r="A144" s="4" t="str">
        <f>'Raw Data'!A144</f>
        <v>ORD200142</v>
      </c>
      <c r="B144" s="6">
        <f>'Raw Data'!B144</f>
        <v>45175</v>
      </c>
      <c r="C144" s="4" t="str">
        <f>'Raw Data'!C144</f>
        <v>C86374</v>
      </c>
      <c r="D144" s="4" t="str">
        <f>'Raw Data'!D144</f>
        <v>Desk</v>
      </c>
      <c r="E144" s="4">
        <f>'Raw Data'!E144</f>
        <v>5</v>
      </c>
      <c r="F144" s="4">
        <f>'Raw Data'!F144</f>
        <v>272.77</v>
      </c>
      <c r="G144" s="4" t="str">
        <f>'Raw Data'!G144</f>
        <v>573 Main St</v>
      </c>
      <c r="H144" s="4" t="str">
        <f>'Raw Data'!H144</f>
        <v>Cash</v>
      </c>
      <c r="I144" s="4" t="str">
        <f>'Raw Data'!I144</f>
        <v>Pending</v>
      </c>
      <c r="J144" s="4" t="str">
        <f>'Raw Data'!J144</f>
        <v>TRK79451491</v>
      </c>
      <c r="K144" s="4">
        <f>'Raw Data'!K144</f>
        <v>7</v>
      </c>
      <c r="L144" s="4" t="str">
        <f>IF('Raw Data'!L144="","No Coupon",'Raw Data'!L144)</f>
        <v>WINTER15</v>
      </c>
      <c r="M144" s="4" t="str">
        <f>'Raw Data'!M144</f>
        <v>Email</v>
      </c>
      <c r="N144" s="4">
        <f>'Raw Data'!N144</f>
        <v>1363.85</v>
      </c>
    </row>
    <row r="145" spans="1:14" ht="15" customHeight="1" x14ac:dyDescent="0.2">
      <c r="A145" s="4" t="str">
        <f>'Raw Data'!A145</f>
        <v>ORD200143</v>
      </c>
      <c r="B145" s="6">
        <f>'Raw Data'!B145</f>
        <v>45456</v>
      </c>
      <c r="C145" s="4" t="str">
        <f>'Raw Data'!C145</f>
        <v>C66521</v>
      </c>
      <c r="D145" s="4" t="str">
        <f>'Raw Data'!D145</f>
        <v>Chair</v>
      </c>
      <c r="E145" s="4">
        <f>'Raw Data'!E145</f>
        <v>4</v>
      </c>
      <c r="F145" s="4">
        <f>'Raw Data'!F145</f>
        <v>400.07</v>
      </c>
      <c r="G145" s="4" t="str">
        <f>'Raw Data'!G145</f>
        <v>933 Main St</v>
      </c>
      <c r="H145" s="4" t="str">
        <f>'Raw Data'!H145</f>
        <v>Online</v>
      </c>
      <c r="I145" s="4" t="str">
        <f>'Raw Data'!I145</f>
        <v>Shipped</v>
      </c>
      <c r="J145" s="4" t="str">
        <f>'Raw Data'!J145</f>
        <v>TRK34654244</v>
      </c>
      <c r="K145" s="4">
        <f>'Raw Data'!K145</f>
        <v>5</v>
      </c>
      <c r="L145" s="4" t="str">
        <f>IF('Raw Data'!L145="","No Coupon",'Raw Data'!L145)</f>
        <v>No Coupon</v>
      </c>
      <c r="M145" s="4" t="str">
        <f>'Raw Data'!M145</f>
        <v>Referral</v>
      </c>
      <c r="N145" s="4">
        <f>'Raw Data'!N145</f>
        <v>1600.28</v>
      </c>
    </row>
    <row r="146" spans="1:14" ht="15" customHeight="1" x14ac:dyDescent="0.2">
      <c r="A146" s="4" t="str">
        <f>'Raw Data'!A146</f>
        <v>ORD200144</v>
      </c>
      <c r="B146" s="6">
        <f>'Raw Data'!B146</f>
        <v>45142</v>
      </c>
      <c r="C146" s="4" t="str">
        <f>'Raw Data'!C146</f>
        <v>C63365</v>
      </c>
      <c r="D146" s="4" t="str">
        <f>'Raw Data'!D146</f>
        <v>Desk</v>
      </c>
      <c r="E146" s="4">
        <f>'Raw Data'!E146</f>
        <v>5</v>
      </c>
      <c r="F146" s="4">
        <f>'Raw Data'!F146</f>
        <v>219.78</v>
      </c>
      <c r="G146" s="4" t="str">
        <f>'Raw Data'!G146</f>
        <v>895 Main St</v>
      </c>
      <c r="H146" s="4" t="str">
        <f>'Raw Data'!H146</f>
        <v>Credit Card</v>
      </c>
      <c r="I146" s="4" t="str">
        <f>'Raw Data'!I146</f>
        <v>Pending</v>
      </c>
      <c r="J146" s="4" t="str">
        <f>'Raw Data'!J146</f>
        <v>TRK80100887</v>
      </c>
      <c r="K146" s="4">
        <f>'Raw Data'!K146</f>
        <v>8</v>
      </c>
      <c r="L146" s="4" t="str">
        <f>IF('Raw Data'!L146="","No Coupon",'Raw Data'!L146)</f>
        <v>No Coupon</v>
      </c>
      <c r="M146" s="4" t="str">
        <f>'Raw Data'!M146</f>
        <v>Facebook</v>
      </c>
      <c r="N146" s="4">
        <f>'Raw Data'!N146</f>
        <v>1098.9000000000001</v>
      </c>
    </row>
    <row r="147" spans="1:14" ht="15" customHeight="1" x14ac:dyDescent="0.2">
      <c r="A147" s="4" t="str">
        <f>'Raw Data'!A147</f>
        <v>ORD200145</v>
      </c>
      <c r="B147" s="6">
        <f>'Raw Data'!B147</f>
        <v>45353</v>
      </c>
      <c r="C147" s="4" t="str">
        <f>'Raw Data'!C147</f>
        <v>C85929</v>
      </c>
      <c r="D147" s="4" t="str">
        <f>'Raw Data'!D147</f>
        <v>Printer</v>
      </c>
      <c r="E147" s="4">
        <f>'Raw Data'!E147</f>
        <v>3</v>
      </c>
      <c r="F147" s="4">
        <f>'Raw Data'!F147</f>
        <v>146.91</v>
      </c>
      <c r="G147" s="4" t="str">
        <f>'Raw Data'!G147</f>
        <v>798 Main St</v>
      </c>
      <c r="H147" s="4" t="str">
        <f>'Raw Data'!H147</f>
        <v>Credit Card</v>
      </c>
      <c r="I147" s="4" t="str">
        <f>'Raw Data'!I147</f>
        <v>Delivered</v>
      </c>
      <c r="J147" s="4" t="str">
        <f>'Raw Data'!J147</f>
        <v>TRK29318610</v>
      </c>
      <c r="K147" s="4">
        <f>'Raw Data'!K147</f>
        <v>6</v>
      </c>
      <c r="L147" s="4" t="str">
        <f>IF('Raw Data'!L147="","No Coupon",'Raw Data'!L147)</f>
        <v>FREESHIP</v>
      </c>
      <c r="M147" s="4" t="str">
        <f>'Raw Data'!M147</f>
        <v>Google</v>
      </c>
      <c r="N147" s="4">
        <f>'Raw Data'!N147</f>
        <v>440.73</v>
      </c>
    </row>
    <row r="148" spans="1:14" ht="15" customHeight="1" x14ac:dyDescent="0.2">
      <c r="A148" s="4" t="str">
        <f>'Raw Data'!A148</f>
        <v>ORD200146</v>
      </c>
      <c r="B148" s="6">
        <f>'Raw Data'!B148</f>
        <v>45777</v>
      </c>
      <c r="C148" s="4" t="str">
        <f>'Raw Data'!C148</f>
        <v>C84645</v>
      </c>
      <c r="D148" s="4" t="str">
        <f>'Raw Data'!D148</f>
        <v>Tablet</v>
      </c>
      <c r="E148" s="4">
        <f>'Raw Data'!E148</f>
        <v>2</v>
      </c>
      <c r="F148" s="4">
        <f>'Raw Data'!F148</f>
        <v>411.49</v>
      </c>
      <c r="G148" s="4" t="str">
        <f>'Raw Data'!G148</f>
        <v>404 Main St</v>
      </c>
      <c r="H148" s="4" t="str">
        <f>'Raw Data'!H148</f>
        <v>Credit Card</v>
      </c>
      <c r="I148" s="4" t="str">
        <f>'Raw Data'!I148</f>
        <v>Returned</v>
      </c>
      <c r="J148" s="4" t="str">
        <f>'Raw Data'!J148</f>
        <v>TRK68893369</v>
      </c>
      <c r="K148" s="4">
        <f>'Raw Data'!K148</f>
        <v>4</v>
      </c>
      <c r="L148" s="4" t="str">
        <f>IF('Raw Data'!L148="","No Coupon",'Raw Data'!L148)</f>
        <v>No Coupon</v>
      </c>
      <c r="M148" s="4" t="str">
        <f>'Raw Data'!M148</f>
        <v>Instagram</v>
      </c>
      <c r="N148" s="4">
        <f>'Raw Data'!N148</f>
        <v>822.98</v>
      </c>
    </row>
    <row r="149" spans="1:14" ht="15" customHeight="1" x14ac:dyDescent="0.2">
      <c r="A149" s="4" t="str">
        <f>'Raw Data'!A149</f>
        <v>ORD200147</v>
      </c>
      <c r="B149" s="6">
        <f>'Raw Data'!B149</f>
        <v>45783</v>
      </c>
      <c r="C149" s="4" t="str">
        <f>'Raw Data'!C149</f>
        <v>C46316</v>
      </c>
      <c r="D149" s="4" t="str">
        <f>'Raw Data'!D149</f>
        <v>Laptop</v>
      </c>
      <c r="E149" s="4">
        <f>'Raw Data'!E149</f>
        <v>2</v>
      </c>
      <c r="F149" s="4">
        <f>'Raw Data'!F149</f>
        <v>465.18</v>
      </c>
      <c r="G149" s="4" t="str">
        <f>'Raw Data'!G149</f>
        <v>893 Main St</v>
      </c>
      <c r="H149" s="4" t="str">
        <f>'Raw Data'!H149</f>
        <v>Credit Card</v>
      </c>
      <c r="I149" s="4" t="str">
        <f>'Raw Data'!I149</f>
        <v>Cancelled</v>
      </c>
      <c r="J149" s="4" t="str">
        <f>'Raw Data'!J149</f>
        <v>TRK16196000</v>
      </c>
      <c r="K149" s="4">
        <f>'Raw Data'!K149</f>
        <v>2</v>
      </c>
      <c r="L149" s="4" t="str">
        <f>IF('Raw Data'!L149="","No Coupon",'Raw Data'!L149)</f>
        <v>SAVE10</v>
      </c>
      <c r="M149" s="4" t="str">
        <f>'Raw Data'!M149</f>
        <v>Google</v>
      </c>
      <c r="N149" s="4">
        <f>'Raw Data'!N149</f>
        <v>930.36</v>
      </c>
    </row>
    <row r="150" spans="1:14" ht="15" customHeight="1" x14ac:dyDescent="0.2">
      <c r="A150" s="4" t="str">
        <f>'Raw Data'!A150</f>
        <v>ORD200148</v>
      </c>
      <c r="B150" s="6">
        <f>'Raw Data'!B150</f>
        <v>45641</v>
      </c>
      <c r="C150" s="4" t="str">
        <f>'Raw Data'!C150</f>
        <v>C35100</v>
      </c>
      <c r="D150" s="4" t="str">
        <f>'Raw Data'!D150</f>
        <v>Phone</v>
      </c>
      <c r="E150" s="4">
        <f>'Raw Data'!E150</f>
        <v>2</v>
      </c>
      <c r="F150" s="4">
        <f>'Raw Data'!F150</f>
        <v>319.91000000000003</v>
      </c>
      <c r="G150" s="4" t="str">
        <f>'Raw Data'!G150</f>
        <v>139 Main St</v>
      </c>
      <c r="H150" s="4" t="str">
        <f>'Raw Data'!H150</f>
        <v>Credit Card</v>
      </c>
      <c r="I150" s="4" t="str">
        <f>'Raw Data'!I150</f>
        <v>Cancelled</v>
      </c>
      <c r="J150" s="4" t="str">
        <f>'Raw Data'!J150</f>
        <v>TRK56853491</v>
      </c>
      <c r="K150" s="4">
        <f>'Raw Data'!K150</f>
        <v>3</v>
      </c>
      <c r="L150" s="4" t="str">
        <f>IF('Raw Data'!L150="","No Coupon",'Raw Data'!L150)</f>
        <v>WINTER15</v>
      </c>
      <c r="M150" s="4" t="str">
        <f>'Raw Data'!M150</f>
        <v>Google</v>
      </c>
      <c r="N150" s="4">
        <f>'Raw Data'!N150</f>
        <v>639.82000000000005</v>
      </c>
    </row>
    <row r="151" spans="1:14" ht="15" customHeight="1" x14ac:dyDescent="0.2">
      <c r="A151" s="4" t="str">
        <f>'Raw Data'!A151</f>
        <v>ORD200149</v>
      </c>
      <c r="B151" s="6">
        <f>'Raw Data'!B151</f>
        <v>45287</v>
      </c>
      <c r="C151" s="4" t="str">
        <f>'Raw Data'!C151</f>
        <v>C39671</v>
      </c>
      <c r="D151" s="4" t="str">
        <f>'Raw Data'!D151</f>
        <v>Laptop</v>
      </c>
      <c r="E151" s="4">
        <f>'Raw Data'!E151</f>
        <v>1</v>
      </c>
      <c r="F151" s="4">
        <f>'Raw Data'!F151</f>
        <v>217.56</v>
      </c>
      <c r="G151" s="4" t="str">
        <f>'Raw Data'!G151</f>
        <v>174 Main St</v>
      </c>
      <c r="H151" s="4" t="str">
        <f>'Raw Data'!H151</f>
        <v>Debit Card</v>
      </c>
      <c r="I151" s="4" t="str">
        <f>'Raw Data'!I151</f>
        <v>Delivered</v>
      </c>
      <c r="J151" s="4" t="str">
        <f>'Raw Data'!J151</f>
        <v>TRK47153818</v>
      </c>
      <c r="K151" s="4">
        <f>'Raw Data'!K151</f>
        <v>3</v>
      </c>
      <c r="L151" s="4" t="str">
        <f>IF('Raw Data'!L151="","No Coupon",'Raw Data'!L151)</f>
        <v>No Coupon</v>
      </c>
      <c r="M151" s="4" t="str">
        <f>'Raw Data'!M151</f>
        <v>Facebook</v>
      </c>
      <c r="N151" s="4">
        <f>'Raw Data'!N151</f>
        <v>217.56</v>
      </c>
    </row>
    <row r="152" spans="1:14" ht="15" customHeight="1" x14ac:dyDescent="0.2">
      <c r="A152" s="4" t="str">
        <f>'Raw Data'!A152</f>
        <v>ORD200150</v>
      </c>
      <c r="B152" s="6">
        <f>'Raw Data'!B152</f>
        <v>45273</v>
      </c>
      <c r="C152" s="4" t="str">
        <f>'Raw Data'!C152</f>
        <v>C25503</v>
      </c>
      <c r="D152" s="4" t="str">
        <f>'Raw Data'!D152</f>
        <v>Phone</v>
      </c>
      <c r="E152" s="4">
        <f>'Raw Data'!E152</f>
        <v>2</v>
      </c>
      <c r="F152" s="4">
        <f>'Raw Data'!F152</f>
        <v>105.57</v>
      </c>
      <c r="G152" s="4" t="str">
        <f>'Raw Data'!G152</f>
        <v>981 Main St</v>
      </c>
      <c r="H152" s="4" t="str">
        <f>'Raw Data'!H152</f>
        <v>Debit Card</v>
      </c>
      <c r="I152" s="4" t="str">
        <f>'Raw Data'!I152</f>
        <v>Returned</v>
      </c>
      <c r="J152" s="4" t="str">
        <f>'Raw Data'!J152</f>
        <v>TRK29878837</v>
      </c>
      <c r="K152" s="4">
        <f>'Raw Data'!K152</f>
        <v>5</v>
      </c>
      <c r="L152" s="4" t="str">
        <f>IF('Raw Data'!L152="","No Coupon",'Raw Data'!L152)</f>
        <v>WINTER15</v>
      </c>
      <c r="M152" s="4" t="str">
        <f>'Raw Data'!M152</f>
        <v>Google</v>
      </c>
      <c r="N152" s="4">
        <f>'Raw Data'!N152</f>
        <v>211.14</v>
      </c>
    </row>
    <row r="153" spans="1:14" ht="15" customHeight="1" x14ac:dyDescent="0.2">
      <c r="A153" s="4" t="str">
        <f>'Raw Data'!A153</f>
        <v>ORD200151</v>
      </c>
      <c r="B153" s="6">
        <f>'Raw Data'!B153</f>
        <v>45261</v>
      </c>
      <c r="C153" s="4" t="str">
        <f>'Raw Data'!C153</f>
        <v>C32960</v>
      </c>
      <c r="D153" s="4" t="str">
        <f>'Raw Data'!D153</f>
        <v>Printer</v>
      </c>
      <c r="E153" s="4">
        <f>'Raw Data'!E153</f>
        <v>5</v>
      </c>
      <c r="F153" s="4">
        <f>'Raw Data'!F153</f>
        <v>444.76</v>
      </c>
      <c r="G153" s="4" t="str">
        <f>'Raw Data'!G153</f>
        <v>947 Main St</v>
      </c>
      <c r="H153" s="4" t="str">
        <f>'Raw Data'!H153</f>
        <v>Debit Card</v>
      </c>
      <c r="I153" s="4" t="str">
        <f>'Raw Data'!I153</f>
        <v>Returned</v>
      </c>
      <c r="J153" s="4" t="str">
        <f>'Raw Data'!J153</f>
        <v>TRK91226500</v>
      </c>
      <c r="K153" s="4">
        <f>'Raw Data'!K153</f>
        <v>7</v>
      </c>
      <c r="L153" s="4" t="str">
        <f>IF('Raw Data'!L153="","No Coupon",'Raw Data'!L153)</f>
        <v>No Coupon</v>
      </c>
      <c r="M153" s="4" t="str">
        <f>'Raw Data'!M153</f>
        <v>Email</v>
      </c>
      <c r="N153" s="4">
        <f>'Raw Data'!N153</f>
        <v>2223.8000000000002</v>
      </c>
    </row>
    <row r="154" spans="1:14" ht="15" customHeight="1" x14ac:dyDescent="0.2">
      <c r="A154" s="4" t="str">
        <f>'Raw Data'!A154</f>
        <v>ORD200152</v>
      </c>
      <c r="B154" s="6">
        <f>'Raw Data'!B154</f>
        <v>45659</v>
      </c>
      <c r="C154" s="4" t="str">
        <f>'Raw Data'!C154</f>
        <v>C77736</v>
      </c>
      <c r="D154" s="4" t="str">
        <f>'Raw Data'!D154</f>
        <v>Chair</v>
      </c>
      <c r="E154" s="4">
        <f>'Raw Data'!E154</f>
        <v>2</v>
      </c>
      <c r="F154" s="4">
        <f>'Raw Data'!F154</f>
        <v>399.04</v>
      </c>
      <c r="G154" s="4" t="str">
        <f>'Raw Data'!G154</f>
        <v>659 Main St</v>
      </c>
      <c r="H154" s="4" t="str">
        <f>'Raw Data'!H154</f>
        <v>Cash</v>
      </c>
      <c r="I154" s="4" t="str">
        <f>'Raw Data'!I154</f>
        <v>Cancelled</v>
      </c>
      <c r="J154" s="4" t="str">
        <f>'Raw Data'!J154</f>
        <v>TRK90329250</v>
      </c>
      <c r="K154" s="4">
        <f>'Raw Data'!K154</f>
        <v>3</v>
      </c>
      <c r="L154" s="4" t="str">
        <f>IF('Raw Data'!L154="","No Coupon",'Raw Data'!L154)</f>
        <v>FREESHIP</v>
      </c>
      <c r="M154" s="4" t="str">
        <f>'Raw Data'!M154</f>
        <v>Referral</v>
      </c>
      <c r="N154" s="4">
        <f>'Raw Data'!N154</f>
        <v>798.08</v>
      </c>
    </row>
    <row r="155" spans="1:14" ht="15" customHeight="1" x14ac:dyDescent="0.2">
      <c r="A155" s="4" t="str">
        <f>'Raw Data'!A155</f>
        <v>ORD200153</v>
      </c>
      <c r="B155" s="6">
        <f>'Raw Data'!B155</f>
        <v>45644</v>
      </c>
      <c r="C155" s="4" t="str">
        <f>'Raw Data'!C155</f>
        <v>C71570</v>
      </c>
      <c r="D155" s="4" t="str">
        <f>'Raw Data'!D155</f>
        <v>Chair</v>
      </c>
      <c r="E155" s="4">
        <f>'Raw Data'!E155</f>
        <v>4</v>
      </c>
      <c r="F155" s="4">
        <f>'Raw Data'!F155</f>
        <v>534.48</v>
      </c>
      <c r="G155" s="4" t="str">
        <f>'Raw Data'!G155</f>
        <v>437 Main St</v>
      </c>
      <c r="H155" s="4" t="str">
        <f>'Raw Data'!H155</f>
        <v>Online</v>
      </c>
      <c r="I155" s="4" t="str">
        <f>'Raw Data'!I155</f>
        <v>Returned</v>
      </c>
      <c r="J155" s="4" t="str">
        <f>'Raw Data'!J155</f>
        <v>TRK95992269</v>
      </c>
      <c r="K155" s="4">
        <f>'Raw Data'!K155</f>
        <v>9</v>
      </c>
      <c r="L155" s="4" t="str">
        <f>IF('Raw Data'!L155="","No Coupon",'Raw Data'!L155)</f>
        <v>WINTER15</v>
      </c>
      <c r="M155" s="4" t="str">
        <f>'Raw Data'!M155</f>
        <v>Instagram</v>
      </c>
      <c r="N155" s="4">
        <f>'Raw Data'!N155</f>
        <v>2137.92</v>
      </c>
    </row>
    <row r="156" spans="1:14" ht="15" customHeight="1" x14ac:dyDescent="0.2">
      <c r="A156" s="4" t="str">
        <f>'Raw Data'!A156</f>
        <v>ORD200154</v>
      </c>
      <c r="B156" s="6">
        <f>'Raw Data'!B156</f>
        <v>45127</v>
      </c>
      <c r="C156" s="4" t="str">
        <f>'Raw Data'!C156</f>
        <v>C73587</v>
      </c>
      <c r="D156" s="4" t="str">
        <f>'Raw Data'!D156</f>
        <v>Phone</v>
      </c>
      <c r="E156" s="4">
        <f>'Raw Data'!E156</f>
        <v>4</v>
      </c>
      <c r="F156" s="4">
        <f>'Raw Data'!F156</f>
        <v>408.21</v>
      </c>
      <c r="G156" s="4" t="str">
        <f>'Raw Data'!G156</f>
        <v>727 Main St</v>
      </c>
      <c r="H156" s="4" t="str">
        <f>'Raw Data'!H156</f>
        <v>Credit Card</v>
      </c>
      <c r="I156" s="4" t="str">
        <f>'Raw Data'!I156</f>
        <v>Pending</v>
      </c>
      <c r="J156" s="4" t="str">
        <f>'Raw Data'!J156</f>
        <v>TRK13955543</v>
      </c>
      <c r="K156" s="4">
        <f>'Raw Data'!K156</f>
        <v>9</v>
      </c>
      <c r="L156" s="4" t="str">
        <f>IF('Raw Data'!L156="","No Coupon",'Raw Data'!L156)</f>
        <v>No Coupon</v>
      </c>
      <c r="M156" s="4" t="str">
        <f>'Raw Data'!M156</f>
        <v>Instagram</v>
      </c>
      <c r="N156" s="4">
        <f>'Raw Data'!N156</f>
        <v>1632.84</v>
      </c>
    </row>
    <row r="157" spans="1:14" ht="15" customHeight="1" x14ac:dyDescent="0.2">
      <c r="A157" s="4" t="str">
        <f>'Raw Data'!A157</f>
        <v>ORD200155</v>
      </c>
      <c r="B157" s="6">
        <f>'Raw Data'!B157</f>
        <v>44984</v>
      </c>
      <c r="C157" s="4" t="str">
        <f>'Raw Data'!C157</f>
        <v>C62740</v>
      </c>
      <c r="D157" s="4" t="str">
        <f>'Raw Data'!D157</f>
        <v>Phone</v>
      </c>
      <c r="E157" s="4">
        <f>'Raw Data'!E157</f>
        <v>1</v>
      </c>
      <c r="F157" s="4">
        <f>'Raw Data'!F157</f>
        <v>424.4</v>
      </c>
      <c r="G157" s="4" t="str">
        <f>'Raw Data'!G157</f>
        <v>446 Main St</v>
      </c>
      <c r="H157" s="4" t="str">
        <f>'Raw Data'!H157</f>
        <v>Online</v>
      </c>
      <c r="I157" s="4" t="str">
        <f>'Raw Data'!I157</f>
        <v>Shipped</v>
      </c>
      <c r="J157" s="4" t="str">
        <f>'Raw Data'!J157</f>
        <v>TRK20706408</v>
      </c>
      <c r="K157" s="4">
        <f>'Raw Data'!K157</f>
        <v>6</v>
      </c>
      <c r="L157" s="4" t="str">
        <f>IF('Raw Data'!L157="","No Coupon",'Raw Data'!L157)</f>
        <v>WINTER15</v>
      </c>
      <c r="M157" s="4" t="str">
        <f>'Raw Data'!M157</f>
        <v>Referral</v>
      </c>
      <c r="N157" s="4">
        <f>'Raw Data'!N157</f>
        <v>424.4</v>
      </c>
    </row>
    <row r="158" spans="1:14" ht="15" customHeight="1" x14ac:dyDescent="0.2">
      <c r="A158" s="4" t="str">
        <f>'Raw Data'!A158</f>
        <v>ORD200156</v>
      </c>
      <c r="B158" s="6">
        <f>'Raw Data'!B158</f>
        <v>45604</v>
      </c>
      <c r="C158" s="4" t="str">
        <f>'Raw Data'!C158</f>
        <v>C58808</v>
      </c>
      <c r="D158" s="4" t="str">
        <f>'Raw Data'!D158</f>
        <v>Chair</v>
      </c>
      <c r="E158" s="4">
        <f>'Raw Data'!E158</f>
        <v>2</v>
      </c>
      <c r="F158" s="4">
        <f>'Raw Data'!F158</f>
        <v>269.83</v>
      </c>
      <c r="G158" s="4" t="str">
        <f>'Raw Data'!G158</f>
        <v>651 Main St</v>
      </c>
      <c r="H158" s="4" t="str">
        <f>'Raw Data'!H158</f>
        <v>Online</v>
      </c>
      <c r="I158" s="4" t="str">
        <f>'Raw Data'!I158</f>
        <v>Delivered</v>
      </c>
      <c r="J158" s="4" t="str">
        <f>'Raw Data'!J158</f>
        <v>TRK24451893</v>
      </c>
      <c r="K158" s="4">
        <f>'Raw Data'!K158</f>
        <v>4</v>
      </c>
      <c r="L158" s="4" t="str">
        <f>IF('Raw Data'!L158="","No Coupon",'Raw Data'!L158)</f>
        <v>SAVE10</v>
      </c>
      <c r="M158" s="4" t="str">
        <f>'Raw Data'!M158</f>
        <v>Email</v>
      </c>
      <c r="N158" s="4">
        <f>'Raw Data'!N158</f>
        <v>539.66</v>
      </c>
    </row>
    <row r="159" spans="1:14" ht="15" customHeight="1" x14ac:dyDescent="0.2">
      <c r="A159" s="4" t="str">
        <f>'Raw Data'!A159</f>
        <v>ORD200157</v>
      </c>
      <c r="B159" s="6">
        <f>'Raw Data'!B159</f>
        <v>45709</v>
      </c>
      <c r="C159" s="4" t="str">
        <f>'Raw Data'!C159</f>
        <v>C50422</v>
      </c>
      <c r="D159" s="4" t="str">
        <f>'Raw Data'!D159</f>
        <v>Monitor</v>
      </c>
      <c r="E159" s="4">
        <f>'Raw Data'!E159</f>
        <v>2</v>
      </c>
      <c r="F159" s="4">
        <f>'Raw Data'!F159</f>
        <v>564.58000000000004</v>
      </c>
      <c r="G159" s="4" t="str">
        <f>'Raw Data'!G159</f>
        <v>636 Main St</v>
      </c>
      <c r="H159" s="4" t="str">
        <f>'Raw Data'!H159</f>
        <v>Online</v>
      </c>
      <c r="I159" s="4" t="str">
        <f>'Raw Data'!I159</f>
        <v>Returned</v>
      </c>
      <c r="J159" s="4" t="str">
        <f>'Raw Data'!J159</f>
        <v>TRK71227815</v>
      </c>
      <c r="K159" s="4">
        <f>'Raw Data'!K159</f>
        <v>4</v>
      </c>
      <c r="L159" s="4" t="str">
        <f>IF('Raw Data'!L159="","No Coupon",'Raw Data'!L159)</f>
        <v>WINTER15</v>
      </c>
      <c r="M159" s="4" t="str">
        <f>'Raw Data'!M159</f>
        <v>Facebook</v>
      </c>
      <c r="N159" s="4">
        <f>'Raw Data'!N159</f>
        <v>1129.1600000000001</v>
      </c>
    </row>
    <row r="160" spans="1:14" ht="15" customHeight="1" x14ac:dyDescent="0.2">
      <c r="A160" s="4" t="str">
        <f>'Raw Data'!A160</f>
        <v>ORD200158</v>
      </c>
      <c r="B160" s="6">
        <f>'Raw Data'!B160</f>
        <v>45428</v>
      </c>
      <c r="C160" s="4" t="str">
        <f>'Raw Data'!C160</f>
        <v>C23334</v>
      </c>
      <c r="D160" s="4" t="str">
        <f>'Raw Data'!D160</f>
        <v>Tablet</v>
      </c>
      <c r="E160" s="4">
        <f>'Raw Data'!E160</f>
        <v>1</v>
      </c>
      <c r="F160" s="4">
        <f>'Raw Data'!F160</f>
        <v>331.06</v>
      </c>
      <c r="G160" s="4" t="str">
        <f>'Raw Data'!G160</f>
        <v>737 Main St</v>
      </c>
      <c r="H160" s="4" t="str">
        <f>'Raw Data'!H160</f>
        <v>Credit Card</v>
      </c>
      <c r="I160" s="4" t="str">
        <f>'Raw Data'!I160</f>
        <v>Pending</v>
      </c>
      <c r="J160" s="4" t="str">
        <f>'Raw Data'!J160</f>
        <v>TRK46335144</v>
      </c>
      <c r="K160" s="4">
        <f>'Raw Data'!K160</f>
        <v>5</v>
      </c>
      <c r="L160" s="4" t="str">
        <f>IF('Raw Data'!L160="","No Coupon",'Raw Data'!L160)</f>
        <v>WINTER15</v>
      </c>
      <c r="M160" s="4" t="str">
        <f>'Raw Data'!M160</f>
        <v>Instagram</v>
      </c>
      <c r="N160" s="4">
        <f>'Raw Data'!N160</f>
        <v>331.06</v>
      </c>
    </row>
    <row r="161" spans="1:14" ht="15" customHeight="1" x14ac:dyDescent="0.2">
      <c r="A161" s="4" t="str">
        <f>'Raw Data'!A161</f>
        <v>ORD200159</v>
      </c>
      <c r="B161" s="6">
        <f>'Raw Data'!B161</f>
        <v>45230</v>
      </c>
      <c r="C161" s="4" t="str">
        <f>'Raw Data'!C161</f>
        <v>C48965</v>
      </c>
      <c r="D161" s="4" t="str">
        <f>'Raw Data'!D161</f>
        <v>Printer</v>
      </c>
      <c r="E161" s="4">
        <f>'Raw Data'!E161</f>
        <v>1</v>
      </c>
      <c r="F161" s="4">
        <f>'Raw Data'!F161</f>
        <v>299.35000000000002</v>
      </c>
      <c r="G161" s="4" t="str">
        <f>'Raw Data'!G161</f>
        <v>819 Main St</v>
      </c>
      <c r="H161" s="4" t="str">
        <f>'Raw Data'!H161</f>
        <v>Credit Card</v>
      </c>
      <c r="I161" s="4" t="str">
        <f>'Raw Data'!I161</f>
        <v>Cancelled</v>
      </c>
      <c r="J161" s="4" t="str">
        <f>'Raw Data'!J161</f>
        <v>TRK50921780</v>
      </c>
      <c r="K161" s="4">
        <f>'Raw Data'!K161</f>
        <v>5</v>
      </c>
      <c r="L161" s="4" t="str">
        <f>IF('Raw Data'!L161="","No Coupon",'Raw Data'!L161)</f>
        <v>WINTER15</v>
      </c>
      <c r="M161" s="4" t="str">
        <f>'Raw Data'!M161</f>
        <v>Email</v>
      </c>
      <c r="N161" s="4">
        <f>'Raw Data'!N161</f>
        <v>299.35000000000002</v>
      </c>
    </row>
    <row r="162" spans="1:14" ht="15" customHeight="1" x14ac:dyDescent="0.2">
      <c r="A162" s="4" t="str">
        <f>'Raw Data'!A162</f>
        <v>ORD200160</v>
      </c>
      <c r="B162" s="6">
        <f>'Raw Data'!B162</f>
        <v>44974</v>
      </c>
      <c r="C162" s="4" t="str">
        <f>'Raw Data'!C162</f>
        <v>C38669</v>
      </c>
      <c r="D162" s="4" t="str">
        <f>'Raw Data'!D162</f>
        <v>Monitor</v>
      </c>
      <c r="E162" s="4">
        <f>'Raw Data'!E162</f>
        <v>4</v>
      </c>
      <c r="F162" s="4">
        <f>'Raw Data'!F162</f>
        <v>101.32</v>
      </c>
      <c r="G162" s="4" t="str">
        <f>'Raw Data'!G162</f>
        <v>240 Main St</v>
      </c>
      <c r="H162" s="4" t="str">
        <f>'Raw Data'!H162</f>
        <v>Cash</v>
      </c>
      <c r="I162" s="4" t="str">
        <f>'Raw Data'!I162</f>
        <v>Pending</v>
      </c>
      <c r="J162" s="4" t="str">
        <f>'Raw Data'!J162</f>
        <v>TRK81738254</v>
      </c>
      <c r="K162" s="4">
        <f>'Raw Data'!K162</f>
        <v>7</v>
      </c>
      <c r="L162" s="4" t="str">
        <f>IF('Raw Data'!L162="","No Coupon",'Raw Data'!L162)</f>
        <v>No Coupon</v>
      </c>
      <c r="M162" s="4" t="str">
        <f>'Raw Data'!M162</f>
        <v>Referral</v>
      </c>
      <c r="N162" s="4">
        <f>'Raw Data'!N162</f>
        <v>405.28</v>
      </c>
    </row>
    <row r="163" spans="1:14" ht="15" customHeight="1" x14ac:dyDescent="0.2">
      <c r="A163" s="4" t="str">
        <f>'Raw Data'!A163</f>
        <v>ORD200161</v>
      </c>
      <c r="B163" s="6">
        <f>'Raw Data'!B163</f>
        <v>45380</v>
      </c>
      <c r="C163" s="4" t="str">
        <f>'Raw Data'!C163</f>
        <v>C35091</v>
      </c>
      <c r="D163" s="4" t="str">
        <f>'Raw Data'!D163</f>
        <v>Monitor</v>
      </c>
      <c r="E163" s="4">
        <f>'Raw Data'!E163</f>
        <v>1</v>
      </c>
      <c r="F163" s="4">
        <f>'Raw Data'!F163</f>
        <v>211.14</v>
      </c>
      <c r="G163" s="4" t="str">
        <f>'Raw Data'!G163</f>
        <v>513 Main St</v>
      </c>
      <c r="H163" s="4" t="str">
        <f>'Raw Data'!H163</f>
        <v>Credit Card</v>
      </c>
      <c r="I163" s="4" t="str">
        <f>'Raw Data'!I163</f>
        <v>Cancelled</v>
      </c>
      <c r="J163" s="4" t="str">
        <f>'Raw Data'!J163</f>
        <v>TRK53784452</v>
      </c>
      <c r="K163" s="4">
        <f>'Raw Data'!K163</f>
        <v>1</v>
      </c>
      <c r="L163" s="4" t="str">
        <f>IF('Raw Data'!L163="","No Coupon",'Raw Data'!L163)</f>
        <v>SAVE10</v>
      </c>
      <c r="M163" s="4" t="str">
        <f>'Raw Data'!M163</f>
        <v>Facebook</v>
      </c>
      <c r="N163" s="4">
        <f>'Raw Data'!N163</f>
        <v>211.14</v>
      </c>
    </row>
    <row r="164" spans="1:14" ht="15" customHeight="1" x14ac:dyDescent="0.2">
      <c r="A164" s="4" t="str">
        <f>'Raw Data'!A164</f>
        <v>ORD200162</v>
      </c>
      <c r="B164" s="6">
        <f>'Raw Data'!B164</f>
        <v>45134</v>
      </c>
      <c r="C164" s="4" t="str">
        <f>'Raw Data'!C164</f>
        <v>C82313</v>
      </c>
      <c r="D164" s="4" t="str">
        <f>'Raw Data'!D164</f>
        <v>Chair</v>
      </c>
      <c r="E164" s="4">
        <f>'Raw Data'!E164</f>
        <v>3</v>
      </c>
      <c r="F164" s="4">
        <f>'Raw Data'!F164</f>
        <v>65.86</v>
      </c>
      <c r="G164" s="4" t="str">
        <f>'Raw Data'!G164</f>
        <v>917 Main St</v>
      </c>
      <c r="H164" s="4" t="str">
        <f>'Raw Data'!H164</f>
        <v>Online</v>
      </c>
      <c r="I164" s="4" t="str">
        <f>'Raw Data'!I164</f>
        <v>Pending</v>
      </c>
      <c r="J164" s="4" t="str">
        <f>'Raw Data'!J164</f>
        <v>TRK79854624</v>
      </c>
      <c r="K164" s="4">
        <f>'Raw Data'!K164</f>
        <v>8</v>
      </c>
      <c r="L164" s="4" t="str">
        <f>IF('Raw Data'!L164="","No Coupon",'Raw Data'!L164)</f>
        <v>WINTER15</v>
      </c>
      <c r="M164" s="4" t="str">
        <f>'Raw Data'!M164</f>
        <v>Google</v>
      </c>
      <c r="N164" s="4">
        <f>'Raw Data'!N164</f>
        <v>197.58</v>
      </c>
    </row>
    <row r="165" spans="1:14" ht="15" customHeight="1" x14ac:dyDescent="0.2">
      <c r="A165" s="4" t="str">
        <f>'Raw Data'!A165</f>
        <v>ORD200163</v>
      </c>
      <c r="B165" s="6">
        <f>'Raw Data'!B165</f>
        <v>45832</v>
      </c>
      <c r="C165" s="4" t="str">
        <f>'Raw Data'!C165</f>
        <v>C99589</v>
      </c>
      <c r="D165" s="4" t="str">
        <f>'Raw Data'!D165</f>
        <v>Tablet</v>
      </c>
      <c r="E165" s="4">
        <f>'Raw Data'!E165</f>
        <v>1</v>
      </c>
      <c r="F165" s="4">
        <f>'Raw Data'!F165</f>
        <v>641.39</v>
      </c>
      <c r="G165" s="4" t="str">
        <f>'Raw Data'!G165</f>
        <v>277 Main St</v>
      </c>
      <c r="H165" s="4" t="str">
        <f>'Raw Data'!H165</f>
        <v>Online</v>
      </c>
      <c r="I165" s="4" t="str">
        <f>'Raw Data'!I165</f>
        <v>Cancelled</v>
      </c>
      <c r="J165" s="4" t="str">
        <f>'Raw Data'!J165</f>
        <v>TRK16695001</v>
      </c>
      <c r="K165" s="4">
        <f>'Raw Data'!K165</f>
        <v>1</v>
      </c>
      <c r="L165" s="4" t="str">
        <f>IF('Raw Data'!L165="","No Coupon",'Raw Data'!L165)</f>
        <v>No Coupon</v>
      </c>
      <c r="M165" s="4" t="str">
        <f>'Raw Data'!M165</f>
        <v>Referral</v>
      </c>
      <c r="N165" s="4">
        <f>'Raw Data'!N165</f>
        <v>641.39</v>
      </c>
    </row>
    <row r="166" spans="1:14" ht="15" customHeight="1" x14ac:dyDescent="0.2">
      <c r="A166" s="4" t="str">
        <f>'Raw Data'!A166</f>
        <v>ORD200164</v>
      </c>
      <c r="B166" s="6">
        <f>'Raw Data'!B166</f>
        <v>45288</v>
      </c>
      <c r="C166" s="4" t="str">
        <f>'Raw Data'!C166</f>
        <v>C70566</v>
      </c>
      <c r="D166" s="4" t="str">
        <f>'Raw Data'!D166</f>
        <v>Desk</v>
      </c>
      <c r="E166" s="4">
        <f>'Raw Data'!E166</f>
        <v>5</v>
      </c>
      <c r="F166" s="4">
        <f>'Raw Data'!F166</f>
        <v>536.58000000000004</v>
      </c>
      <c r="G166" s="4" t="str">
        <f>'Raw Data'!G166</f>
        <v>667 Main St</v>
      </c>
      <c r="H166" s="4" t="str">
        <f>'Raw Data'!H166</f>
        <v>Gift Card</v>
      </c>
      <c r="I166" s="4" t="str">
        <f>'Raw Data'!I166</f>
        <v>Pending</v>
      </c>
      <c r="J166" s="4" t="str">
        <f>'Raw Data'!J166</f>
        <v>TRK49673411</v>
      </c>
      <c r="K166" s="4">
        <f>'Raw Data'!K166</f>
        <v>5</v>
      </c>
      <c r="L166" s="4" t="str">
        <f>IF('Raw Data'!L166="","No Coupon",'Raw Data'!L166)</f>
        <v>SAVE10</v>
      </c>
      <c r="M166" s="4" t="str">
        <f>'Raw Data'!M166</f>
        <v>Google</v>
      </c>
      <c r="N166" s="4">
        <f>'Raw Data'!N166</f>
        <v>2682.9</v>
      </c>
    </row>
    <row r="167" spans="1:14" ht="15" customHeight="1" x14ac:dyDescent="0.2">
      <c r="A167" s="4" t="str">
        <f>'Raw Data'!A167</f>
        <v>ORD200165</v>
      </c>
      <c r="B167" s="6">
        <f>'Raw Data'!B167</f>
        <v>45549</v>
      </c>
      <c r="C167" s="4" t="str">
        <f>'Raw Data'!C167</f>
        <v>C60355</v>
      </c>
      <c r="D167" s="4" t="str">
        <f>'Raw Data'!D167</f>
        <v>Monitor</v>
      </c>
      <c r="E167" s="4">
        <f>'Raw Data'!E167</f>
        <v>2</v>
      </c>
      <c r="F167" s="4">
        <f>'Raw Data'!F167</f>
        <v>500.29</v>
      </c>
      <c r="G167" s="4" t="str">
        <f>'Raw Data'!G167</f>
        <v>226 Main St</v>
      </c>
      <c r="H167" s="4" t="str">
        <f>'Raw Data'!H167</f>
        <v>Online</v>
      </c>
      <c r="I167" s="4" t="str">
        <f>'Raw Data'!I167</f>
        <v>Returned</v>
      </c>
      <c r="J167" s="4" t="str">
        <f>'Raw Data'!J167</f>
        <v>TRK30155194</v>
      </c>
      <c r="K167" s="4">
        <f>'Raw Data'!K167</f>
        <v>7</v>
      </c>
      <c r="L167" s="4" t="str">
        <f>IF('Raw Data'!L167="","No Coupon",'Raw Data'!L167)</f>
        <v>WINTER15</v>
      </c>
      <c r="M167" s="4" t="str">
        <f>'Raw Data'!M167</f>
        <v>Google</v>
      </c>
      <c r="N167" s="4">
        <f>'Raw Data'!N167</f>
        <v>1000.58</v>
      </c>
    </row>
    <row r="168" spans="1:14" ht="15" customHeight="1" x14ac:dyDescent="0.2">
      <c r="A168" s="4" t="str">
        <f>'Raw Data'!A168</f>
        <v>ORD200166</v>
      </c>
      <c r="B168" s="6">
        <f>'Raw Data'!B168</f>
        <v>45720</v>
      </c>
      <c r="C168" s="4" t="str">
        <f>'Raw Data'!C168</f>
        <v>C28889</v>
      </c>
      <c r="D168" s="4" t="str">
        <f>'Raw Data'!D168</f>
        <v>Chair</v>
      </c>
      <c r="E168" s="4">
        <f>'Raw Data'!E168</f>
        <v>3</v>
      </c>
      <c r="F168" s="4">
        <f>'Raw Data'!F168</f>
        <v>86.29</v>
      </c>
      <c r="G168" s="4" t="str">
        <f>'Raw Data'!G168</f>
        <v>565 Main St</v>
      </c>
      <c r="H168" s="4" t="str">
        <f>'Raw Data'!H168</f>
        <v>Cash</v>
      </c>
      <c r="I168" s="4" t="str">
        <f>'Raw Data'!I168</f>
        <v>Delivered</v>
      </c>
      <c r="J168" s="4" t="str">
        <f>'Raw Data'!J168</f>
        <v>TRK23791726</v>
      </c>
      <c r="K168" s="4">
        <f>'Raw Data'!K168</f>
        <v>6</v>
      </c>
      <c r="L168" s="4" t="str">
        <f>IF('Raw Data'!L168="","No Coupon",'Raw Data'!L168)</f>
        <v>WINTER15</v>
      </c>
      <c r="M168" s="4" t="str">
        <f>'Raw Data'!M168</f>
        <v>Instagram</v>
      </c>
      <c r="N168" s="4">
        <f>'Raw Data'!N168</f>
        <v>258.87</v>
      </c>
    </row>
    <row r="169" spans="1:14" ht="15" customHeight="1" x14ac:dyDescent="0.2">
      <c r="A169" s="4" t="str">
        <f>'Raw Data'!A169</f>
        <v>ORD200167</v>
      </c>
      <c r="B169" s="6">
        <f>'Raw Data'!B169</f>
        <v>45073</v>
      </c>
      <c r="C169" s="4" t="str">
        <f>'Raw Data'!C169</f>
        <v>C88304</v>
      </c>
      <c r="D169" s="4" t="str">
        <f>'Raw Data'!D169</f>
        <v>Chair</v>
      </c>
      <c r="E169" s="4">
        <f>'Raw Data'!E169</f>
        <v>2</v>
      </c>
      <c r="F169" s="4">
        <f>'Raw Data'!F169</f>
        <v>384.14</v>
      </c>
      <c r="G169" s="4" t="str">
        <f>'Raw Data'!G169</f>
        <v>219 Main St</v>
      </c>
      <c r="H169" s="4" t="str">
        <f>'Raw Data'!H169</f>
        <v>Online</v>
      </c>
      <c r="I169" s="4" t="str">
        <f>'Raw Data'!I169</f>
        <v>Returned</v>
      </c>
      <c r="J169" s="4" t="str">
        <f>'Raw Data'!J169</f>
        <v>TRK44268941</v>
      </c>
      <c r="K169" s="4">
        <f>'Raw Data'!K169</f>
        <v>2</v>
      </c>
      <c r="L169" s="4" t="str">
        <f>IF('Raw Data'!L169="","No Coupon",'Raw Data'!L169)</f>
        <v>WINTER15</v>
      </c>
      <c r="M169" s="4" t="str">
        <f>'Raw Data'!M169</f>
        <v>Email</v>
      </c>
      <c r="N169" s="4">
        <f>'Raw Data'!N169</f>
        <v>768.28</v>
      </c>
    </row>
    <row r="170" spans="1:14" ht="15" customHeight="1" x14ac:dyDescent="0.2">
      <c r="A170" s="4" t="str">
        <f>'Raw Data'!A170</f>
        <v>ORD200168</v>
      </c>
      <c r="B170" s="6">
        <f>'Raw Data'!B170</f>
        <v>45661</v>
      </c>
      <c r="C170" s="4" t="str">
        <f>'Raw Data'!C170</f>
        <v>C49517</v>
      </c>
      <c r="D170" s="4" t="str">
        <f>'Raw Data'!D170</f>
        <v>Printer</v>
      </c>
      <c r="E170" s="4">
        <f>'Raw Data'!E170</f>
        <v>1</v>
      </c>
      <c r="F170" s="4">
        <f>'Raw Data'!F170</f>
        <v>594.96</v>
      </c>
      <c r="G170" s="4" t="str">
        <f>'Raw Data'!G170</f>
        <v>878 Main St</v>
      </c>
      <c r="H170" s="4" t="str">
        <f>'Raw Data'!H170</f>
        <v>Cash</v>
      </c>
      <c r="I170" s="4" t="str">
        <f>'Raw Data'!I170</f>
        <v>Returned</v>
      </c>
      <c r="J170" s="4" t="str">
        <f>'Raw Data'!J170</f>
        <v>TRK78551375</v>
      </c>
      <c r="K170" s="4">
        <f>'Raw Data'!K170</f>
        <v>6</v>
      </c>
      <c r="L170" s="4" t="str">
        <f>IF('Raw Data'!L170="","No Coupon",'Raw Data'!L170)</f>
        <v>No Coupon</v>
      </c>
      <c r="M170" s="4" t="str">
        <f>'Raw Data'!M170</f>
        <v>Facebook</v>
      </c>
      <c r="N170" s="4">
        <f>'Raw Data'!N170</f>
        <v>594.96</v>
      </c>
    </row>
    <row r="171" spans="1:14" ht="15" customHeight="1" x14ac:dyDescent="0.2">
      <c r="A171" s="4" t="str">
        <f>'Raw Data'!A171</f>
        <v>ORD200169</v>
      </c>
      <c r="B171" s="6">
        <f>'Raw Data'!B171</f>
        <v>45389</v>
      </c>
      <c r="C171" s="4" t="str">
        <f>'Raw Data'!C171</f>
        <v>C35785</v>
      </c>
      <c r="D171" s="4" t="str">
        <f>'Raw Data'!D171</f>
        <v>Printer</v>
      </c>
      <c r="E171" s="4">
        <f>'Raw Data'!E171</f>
        <v>1</v>
      </c>
      <c r="F171" s="4">
        <f>'Raw Data'!F171</f>
        <v>427.82</v>
      </c>
      <c r="G171" s="4" t="str">
        <f>'Raw Data'!G171</f>
        <v>732 Main St</v>
      </c>
      <c r="H171" s="4" t="str">
        <f>'Raw Data'!H171</f>
        <v>Online</v>
      </c>
      <c r="I171" s="4" t="str">
        <f>'Raw Data'!I171</f>
        <v>Delivered</v>
      </c>
      <c r="J171" s="4" t="str">
        <f>'Raw Data'!J171</f>
        <v>TRK78923089</v>
      </c>
      <c r="K171" s="4">
        <f>'Raw Data'!K171</f>
        <v>2</v>
      </c>
      <c r="L171" s="4" t="str">
        <f>IF('Raw Data'!L171="","No Coupon",'Raw Data'!L171)</f>
        <v>WINTER15</v>
      </c>
      <c r="M171" s="4" t="str">
        <f>'Raw Data'!M171</f>
        <v>Email</v>
      </c>
      <c r="N171" s="4">
        <f>'Raw Data'!N171</f>
        <v>427.82</v>
      </c>
    </row>
    <row r="172" spans="1:14" ht="15" customHeight="1" x14ac:dyDescent="0.2">
      <c r="A172" s="4" t="str">
        <f>'Raw Data'!A172</f>
        <v>ORD200170</v>
      </c>
      <c r="B172" s="6">
        <f>'Raw Data'!B172</f>
        <v>45751</v>
      </c>
      <c r="C172" s="4" t="str">
        <f>'Raw Data'!C172</f>
        <v>C80223</v>
      </c>
      <c r="D172" s="4" t="str">
        <f>'Raw Data'!D172</f>
        <v>Desk</v>
      </c>
      <c r="E172" s="4">
        <f>'Raw Data'!E172</f>
        <v>4</v>
      </c>
      <c r="F172" s="4">
        <f>'Raw Data'!F172</f>
        <v>662.94</v>
      </c>
      <c r="G172" s="4" t="str">
        <f>'Raw Data'!G172</f>
        <v>535 Main St</v>
      </c>
      <c r="H172" s="4" t="str">
        <f>'Raw Data'!H172</f>
        <v>Cash</v>
      </c>
      <c r="I172" s="4" t="str">
        <f>'Raw Data'!I172</f>
        <v>Cancelled</v>
      </c>
      <c r="J172" s="4" t="str">
        <f>'Raw Data'!J172</f>
        <v>TRK68632951</v>
      </c>
      <c r="K172" s="4">
        <f>'Raw Data'!K172</f>
        <v>8</v>
      </c>
      <c r="L172" s="4" t="str">
        <f>IF('Raw Data'!L172="","No Coupon",'Raw Data'!L172)</f>
        <v>SAVE10</v>
      </c>
      <c r="M172" s="4" t="str">
        <f>'Raw Data'!M172</f>
        <v>Instagram</v>
      </c>
      <c r="N172" s="4">
        <f>'Raw Data'!N172</f>
        <v>2651.76</v>
      </c>
    </row>
    <row r="173" spans="1:14" ht="15" customHeight="1" x14ac:dyDescent="0.2">
      <c r="A173" s="4" t="str">
        <f>'Raw Data'!A173</f>
        <v>ORD200171</v>
      </c>
      <c r="B173" s="6">
        <f>'Raw Data'!B173</f>
        <v>45153</v>
      </c>
      <c r="C173" s="4" t="str">
        <f>'Raw Data'!C173</f>
        <v>C20448</v>
      </c>
      <c r="D173" s="4" t="str">
        <f>'Raw Data'!D173</f>
        <v>Tablet</v>
      </c>
      <c r="E173" s="4">
        <f>'Raw Data'!E173</f>
        <v>2</v>
      </c>
      <c r="F173" s="4">
        <f>'Raw Data'!F173</f>
        <v>148.22</v>
      </c>
      <c r="G173" s="4" t="str">
        <f>'Raw Data'!G173</f>
        <v>336 Main St</v>
      </c>
      <c r="H173" s="4" t="str">
        <f>'Raw Data'!H173</f>
        <v>Credit Card</v>
      </c>
      <c r="I173" s="4" t="str">
        <f>'Raw Data'!I173</f>
        <v>Delivered</v>
      </c>
      <c r="J173" s="4" t="str">
        <f>'Raw Data'!J173</f>
        <v>TRK67379895</v>
      </c>
      <c r="K173" s="4">
        <f>'Raw Data'!K173</f>
        <v>7</v>
      </c>
      <c r="L173" s="4" t="str">
        <f>IF('Raw Data'!L173="","No Coupon",'Raw Data'!L173)</f>
        <v>WINTER15</v>
      </c>
      <c r="M173" s="4" t="str">
        <f>'Raw Data'!M173</f>
        <v>Instagram</v>
      </c>
      <c r="N173" s="4">
        <f>'Raw Data'!N173</f>
        <v>296.44</v>
      </c>
    </row>
    <row r="174" spans="1:14" ht="15" customHeight="1" x14ac:dyDescent="0.2">
      <c r="A174" s="4" t="str">
        <f>'Raw Data'!A174</f>
        <v>ORD200172</v>
      </c>
      <c r="B174" s="6">
        <f>'Raw Data'!B174</f>
        <v>45753</v>
      </c>
      <c r="C174" s="4" t="str">
        <f>'Raw Data'!C174</f>
        <v>C34134</v>
      </c>
      <c r="D174" s="4" t="str">
        <f>'Raw Data'!D174</f>
        <v>Printer</v>
      </c>
      <c r="E174" s="4">
        <f>'Raw Data'!E174</f>
        <v>1</v>
      </c>
      <c r="F174" s="4">
        <f>'Raw Data'!F174</f>
        <v>254.12</v>
      </c>
      <c r="G174" s="4" t="str">
        <f>'Raw Data'!G174</f>
        <v>365 Main St</v>
      </c>
      <c r="H174" s="4" t="str">
        <f>'Raw Data'!H174</f>
        <v>Online</v>
      </c>
      <c r="I174" s="4" t="str">
        <f>'Raw Data'!I174</f>
        <v>Delivered</v>
      </c>
      <c r="J174" s="4" t="str">
        <f>'Raw Data'!J174</f>
        <v>TRK43074303</v>
      </c>
      <c r="K174" s="4">
        <f>'Raw Data'!K174</f>
        <v>1</v>
      </c>
      <c r="L174" s="4" t="str">
        <f>IF('Raw Data'!L174="","No Coupon",'Raw Data'!L174)</f>
        <v>WINTER15</v>
      </c>
      <c r="M174" s="4" t="str">
        <f>'Raw Data'!M174</f>
        <v>Email</v>
      </c>
      <c r="N174" s="4">
        <f>'Raw Data'!N174</f>
        <v>254.12</v>
      </c>
    </row>
    <row r="175" spans="1:14" ht="15" customHeight="1" x14ac:dyDescent="0.2">
      <c r="A175" s="4" t="str">
        <f>'Raw Data'!A175</f>
        <v>ORD200173</v>
      </c>
      <c r="B175" s="6">
        <f>'Raw Data'!B175</f>
        <v>45375</v>
      </c>
      <c r="C175" s="4" t="str">
        <f>'Raw Data'!C175</f>
        <v>C95901</v>
      </c>
      <c r="D175" s="4" t="str">
        <f>'Raw Data'!D175</f>
        <v>Phone</v>
      </c>
      <c r="E175" s="4">
        <f>'Raw Data'!E175</f>
        <v>3</v>
      </c>
      <c r="F175" s="4">
        <f>'Raw Data'!F175</f>
        <v>664.46</v>
      </c>
      <c r="G175" s="4" t="str">
        <f>'Raw Data'!G175</f>
        <v>806 Main St</v>
      </c>
      <c r="H175" s="4" t="str">
        <f>'Raw Data'!H175</f>
        <v>Online</v>
      </c>
      <c r="I175" s="4" t="str">
        <f>'Raw Data'!I175</f>
        <v>Delivered</v>
      </c>
      <c r="J175" s="4" t="str">
        <f>'Raw Data'!J175</f>
        <v>TRK56989066</v>
      </c>
      <c r="K175" s="4">
        <f>'Raw Data'!K175</f>
        <v>4</v>
      </c>
      <c r="L175" s="4" t="str">
        <f>IF('Raw Data'!L175="","No Coupon",'Raw Data'!L175)</f>
        <v>FREESHIP</v>
      </c>
      <c r="M175" s="4" t="str">
        <f>'Raw Data'!M175</f>
        <v>Google</v>
      </c>
      <c r="N175" s="4">
        <f>'Raw Data'!N175</f>
        <v>1993.38</v>
      </c>
    </row>
    <row r="176" spans="1:14" ht="15" customHeight="1" x14ac:dyDescent="0.2">
      <c r="A176" s="4" t="str">
        <f>'Raw Data'!A176</f>
        <v>ORD200174</v>
      </c>
      <c r="B176" s="6">
        <f>'Raw Data'!B176</f>
        <v>45398</v>
      </c>
      <c r="C176" s="4" t="str">
        <f>'Raw Data'!C176</f>
        <v>C51145</v>
      </c>
      <c r="D176" s="4" t="str">
        <f>'Raw Data'!D176</f>
        <v>Printer</v>
      </c>
      <c r="E176" s="4">
        <f>'Raw Data'!E176</f>
        <v>4</v>
      </c>
      <c r="F176" s="4">
        <f>'Raw Data'!F176</f>
        <v>600.80999999999995</v>
      </c>
      <c r="G176" s="4" t="str">
        <f>'Raw Data'!G176</f>
        <v>790 Main St</v>
      </c>
      <c r="H176" s="4" t="str">
        <f>'Raw Data'!H176</f>
        <v>Debit Card</v>
      </c>
      <c r="I176" s="4" t="str">
        <f>'Raw Data'!I176</f>
        <v>Delivered</v>
      </c>
      <c r="J176" s="4" t="str">
        <f>'Raw Data'!J176</f>
        <v>TRK59154274</v>
      </c>
      <c r="K176" s="4">
        <f>'Raw Data'!K176</f>
        <v>9</v>
      </c>
      <c r="L176" s="4" t="str">
        <f>IF('Raw Data'!L176="","No Coupon",'Raw Data'!L176)</f>
        <v>SAVE10</v>
      </c>
      <c r="M176" s="4" t="str">
        <f>'Raw Data'!M176</f>
        <v>Email</v>
      </c>
      <c r="N176" s="4">
        <f>'Raw Data'!N176</f>
        <v>2403.2399999999998</v>
      </c>
    </row>
    <row r="177" spans="1:14" ht="15" customHeight="1" x14ac:dyDescent="0.2">
      <c r="A177" s="4" t="str">
        <f>'Raw Data'!A177</f>
        <v>ORD200175</v>
      </c>
      <c r="B177" s="6">
        <f>'Raw Data'!B177</f>
        <v>45696</v>
      </c>
      <c r="C177" s="4" t="str">
        <f>'Raw Data'!C177</f>
        <v>C78170</v>
      </c>
      <c r="D177" s="4" t="str">
        <f>'Raw Data'!D177</f>
        <v>Chair</v>
      </c>
      <c r="E177" s="4">
        <f>'Raw Data'!E177</f>
        <v>5</v>
      </c>
      <c r="F177" s="4">
        <f>'Raw Data'!F177</f>
        <v>68.34</v>
      </c>
      <c r="G177" s="4" t="str">
        <f>'Raw Data'!G177</f>
        <v>332 Main St</v>
      </c>
      <c r="H177" s="4" t="str">
        <f>'Raw Data'!H177</f>
        <v>Debit Card</v>
      </c>
      <c r="I177" s="4" t="str">
        <f>'Raw Data'!I177</f>
        <v>Pending</v>
      </c>
      <c r="J177" s="4" t="str">
        <f>'Raw Data'!J177</f>
        <v>TRK71410605</v>
      </c>
      <c r="K177" s="4">
        <f>'Raw Data'!K177</f>
        <v>6</v>
      </c>
      <c r="L177" s="4" t="str">
        <f>IF('Raw Data'!L177="","No Coupon",'Raw Data'!L177)</f>
        <v>WINTER15</v>
      </c>
      <c r="M177" s="4" t="str">
        <f>'Raw Data'!M177</f>
        <v>Referral</v>
      </c>
      <c r="N177" s="4">
        <f>'Raw Data'!N177</f>
        <v>341.7</v>
      </c>
    </row>
    <row r="178" spans="1:14" ht="15" customHeight="1" x14ac:dyDescent="0.2">
      <c r="A178" s="4" t="str">
        <f>'Raw Data'!A178</f>
        <v>ORD200176</v>
      </c>
      <c r="B178" s="6">
        <f>'Raw Data'!B178</f>
        <v>45836</v>
      </c>
      <c r="C178" s="4" t="str">
        <f>'Raw Data'!C178</f>
        <v>C80151</v>
      </c>
      <c r="D178" s="4" t="str">
        <f>'Raw Data'!D178</f>
        <v>Tablet</v>
      </c>
      <c r="E178" s="4">
        <f>'Raw Data'!E178</f>
        <v>4</v>
      </c>
      <c r="F178" s="4">
        <f>'Raw Data'!F178</f>
        <v>430.83</v>
      </c>
      <c r="G178" s="4" t="str">
        <f>'Raw Data'!G178</f>
        <v>553 Main St</v>
      </c>
      <c r="H178" s="4" t="str">
        <f>'Raw Data'!H178</f>
        <v>Gift Card</v>
      </c>
      <c r="I178" s="4" t="str">
        <f>'Raw Data'!I178</f>
        <v>Pending</v>
      </c>
      <c r="J178" s="4" t="str">
        <f>'Raw Data'!J178</f>
        <v>TRK88251529</v>
      </c>
      <c r="K178" s="4">
        <f>'Raw Data'!K178</f>
        <v>8</v>
      </c>
      <c r="L178" s="4" t="str">
        <f>IF('Raw Data'!L178="","No Coupon",'Raw Data'!L178)</f>
        <v>WINTER15</v>
      </c>
      <c r="M178" s="4" t="str">
        <f>'Raw Data'!M178</f>
        <v>Referral</v>
      </c>
      <c r="N178" s="4">
        <f>'Raw Data'!N178</f>
        <v>1723.32</v>
      </c>
    </row>
    <row r="179" spans="1:14" ht="15" customHeight="1" x14ac:dyDescent="0.2">
      <c r="A179" s="4" t="str">
        <f>'Raw Data'!A179</f>
        <v>ORD200177</v>
      </c>
      <c r="B179" s="6">
        <f>'Raw Data'!B179</f>
        <v>45143</v>
      </c>
      <c r="C179" s="4" t="str">
        <f>'Raw Data'!C179</f>
        <v>C55632</v>
      </c>
      <c r="D179" s="4" t="str">
        <f>'Raw Data'!D179</f>
        <v>Chair</v>
      </c>
      <c r="E179" s="4">
        <f>'Raw Data'!E179</f>
        <v>5</v>
      </c>
      <c r="F179" s="4">
        <f>'Raw Data'!F179</f>
        <v>431.69</v>
      </c>
      <c r="G179" s="4" t="str">
        <f>'Raw Data'!G179</f>
        <v>354 Main St</v>
      </c>
      <c r="H179" s="4" t="str">
        <f>'Raw Data'!H179</f>
        <v>Credit Card</v>
      </c>
      <c r="I179" s="4" t="str">
        <f>'Raw Data'!I179</f>
        <v>Pending</v>
      </c>
      <c r="J179" s="4" t="str">
        <f>'Raw Data'!J179</f>
        <v>TRK13003066</v>
      </c>
      <c r="K179" s="4">
        <f>'Raw Data'!K179</f>
        <v>10</v>
      </c>
      <c r="L179" s="4" t="str">
        <f>IF('Raw Data'!L179="","No Coupon",'Raw Data'!L179)</f>
        <v>No Coupon</v>
      </c>
      <c r="M179" s="4" t="str">
        <f>'Raw Data'!M179</f>
        <v>Facebook</v>
      </c>
      <c r="N179" s="4">
        <f>'Raw Data'!N179</f>
        <v>2158.4499999999998</v>
      </c>
    </row>
    <row r="180" spans="1:14" ht="15" customHeight="1" x14ac:dyDescent="0.2">
      <c r="A180" s="4" t="str">
        <f>'Raw Data'!A180</f>
        <v>ORD200178</v>
      </c>
      <c r="B180" s="6">
        <f>'Raw Data'!B180</f>
        <v>45393</v>
      </c>
      <c r="C180" s="4" t="str">
        <f>'Raw Data'!C180</f>
        <v>C53070</v>
      </c>
      <c r="D180" s="4" t="str">
        <f>'Raw Data'!D180</f>
        <v>Chair</v>
      </c>
      <c r="E180" s="4">
        <f>'Raw Data'!E180</f>
        <v>4</v>
      </c>
      <c r="F180" s="4">
        <f>'Raw Data'!F180</f>
        <v>512.05999999999995</v>
      </c>
      <c r="G180" s="4" t="str">
        <f>'Raw Data'!G180</f>
        <v>283 Main St</v>
      </c>
      <c r="H180" s="4" t="str">
        <f>'Raw Data'!H180</f>
        <v>Online</v>
      </c>
      <c r="I180" s="4" t="str">
        <f>'Raw Data'!I180</f>
        <v>Delivered</v>
      </c>
      <c r="J180" s="4" t="str">
        <f>'Raw Data'!J180</f>
        <v>TRK49791755</v>
      </c>
      <c r="K180" s="4">
        <f>'Raw Data'!K180</f>
        <v>5</v>
      </c>
      <c r="L180" s="4" t="str">
        <f>IF('Raw Data'!L180="","No Coupon",'Raw Data'!L180)</f>
        <v>SAVE10</v>
      </c>
      <c r="M180" s="4" t="str">
        <f>'Raw Data'!M180</f>
        <v>Google</v>
      </c>
      <c r="N180" s="4">
        <f>'Raw Data'!N180</f>
        <v>2048.2399999999998</v>
      </c>
    </row>
    <row r="181" spans="1:14" ht="15" customHeight="1" x14ac:dyDescent="0.2">
      <c r="A181" s="4" t="str">
        <f>'Raw Data'!A181</f>
        <v>ORD200179</v>
      </c>
      <c r="B181" s="6">
        <f>'Raw Data'!B181</f>
        <v>45620</v>
      </c>
      <c r="C181" s="4" t="str">
        <f>'Raw Data'!C181</f>
        <v>C27401</v>
      </c>
      <c r="D181" s="4" t="str">
        <f>'Raw Data'!D181</f>
        <v>Laptop</v>
      </c>
      <c r="E181" s="4">
        <f>'Raw Data'!E181</f>
        <v>3</v>
      </c>
      <c r="F181" s="4">
        <f>'Raw Data'!F181</f>
        <v>539.91</v>
      </c>
      <c r="G181" s="4" t="str">
        <f>'Raw Data'!G181</f>
        <v>500 Main St</v>
      </c>
      <c r="H181" s="4" t="str">
        <f>'Raw Data'!H181</f>
        <v>Credit Card</v>
      </c>
      <c r="I181" s="4" t="str">
        <f>'Raw Data'!I181</f>
        <v>Delivered</v>
      </c>
      <c r="J181" s="4" t="str">
        <f>'Raw Data'!J181</f>
        <v>TRK14332053</v>
      </c>
      <c r="K181" s="4">
        <f>'Raw Data'!K181</f>
        <v>8</v>
      </c>
      <c r="L181" s="4" t="str">
        <f>IF('Raw Data'!L181="","No Coupon",'Raw Data'!L181)</f>
        <v>No Coupon</v>
      </c>
      <c r="M181" s="4" t="str">
        <f>'Raw Data'!M181</f>
        <v>Email</v>
      </c>
      <c r="N181" s="4">
        <f>'Raw Data'!N181</f>
        <v>1619.73</v>
      </c>
    </row>
    <row r="182" spans="1:14" ht="15" customHeight="1" x14ac:dyDescent="0.2">
      <c r="A182" s="4" t="str">
        <f>'Raw Data'!A182</f>
        <v>ORD200180</v>
      </c>
      <c r="B182" s="6">
        <f>'Raw Data'!B182</f>
        <v>45003</v>
      </c>
      <c r="C182" s="4" t="str">
        <f>'Raw Data'!C182</f>
        <v>C87216</v>
      </c>
      <c r="D182" s="4" t="str">
        <f>'Raw Data'!D182</f>
        <v>Tablet</v>
      </c>
      <c r="E182" s="4">
        <f>'Raw Data'!E182</f>
        <v>5</v>
      </c>
      <c r="F182" s="4">
        <f>'Raw Data'!F182</f>
        <v>316.07</v>
      </c>
      <c r="G182" s="4" t="str">
        <f>'Raw Data'!G182</f>
        <v>970 Main St</v>
      </c>
      <c r="H182" s="4" t="str">
        <f>'Raw Data'!H182</f>
        <v>Cash</v>
      </c>
      <c r="I182" s="4" t="str">
        <f>'Raw Data'!I182</f>
        <v>Returned</v>
      </c>
      <c r="J182" s="4" t="str">
        <f>'Raw Data'!J182</f>
        <v>TRK18713727</v>
      </c>
      <c r="K182" s="4">
        <f>'Raw Data'!K182</f>
        <v>10</v>
      </c>
      <c r="L182" s="4" t="str">
        <f>IF('Raw Data'!L182="","No Coupon",'Raw Data'!L182)</f>
        <v>No Coupon</v>
      </c>
      <c r="M182" s="4" t="str">
        <f>'Raw Data'!M182</f>
        <v>Google</v>
      </c>
      <c r="N182" s="4">
        <f>'Raw Data'!N182</f>
        <v>1580.35</v>
      </c>
    </row>
    <row r="183" spans="1:14" ht="15" customHeight="1" x14ac:dyDescent="0.2">
      <c r="A183" s="4" t="str">
        <f>'Raw Data'!A183</f>
        <v>ORD200181</v>
      </c>
      <c r="B183" s="6">
        <f>'Raw Data'!B183</f>
        <v>45535</v>
      </c>
      <c r="C183" s="4" t="str">
        <f>'Raw Data'!C183</f>
        <v>C38966</v>
      </c>
      <c r="D183" s="4" t="str">
        <f>'Raw Data'!D183</f>
        <v>Printer</v>
      </c>
      <c r="E183" s="4">
        <f>'Raw Data'!E183</f>
        <v>5</v>
      </c>
      <c r="F183" s="4">
        <f>'Raw Data'!F183</f>
        <v>404.39</v>
      </c>
      <c r="G183" s="4" t="str">
        <f>'Raw Data'!G183</f>
        <v>247 Main St</v>
      </c>
      <c r="H183" s="4" t="str">
        <f>'Raw Data'!H183</f>
        <v>Online</v>
      </c>
      <c r="I183" s="4" t="str">
        <f>'Raw Data'!I183</f>
        <v>Shipped</v>
      </c>
      <c r="J183" s="4" t="str">
        <f>'Raw Data'!J183</f>
        <v>TRK17205146</v>
      </c>
      <c r="K183" s="4">
        <f>'Raw Data'!K183</f>
        <v>10</v>
      </c>
      <c r="L183" s="4" t="str">
        <f>IF('Raw Data'!L183="","No Coupon",'Raw Data'!L183)</f>
        <v>No Coupon</v>
      </c>
      <c r="M183" s="4" t="str">
        <f>'Raw Data'!M183</f>
        <v>Referral</v>
      </c>
      <c r="N183" s="4">
        <f>'Raw Data'!N183</f>
        <v>2021.95</v>
      </c>
    </row>
    <row r="184" spans="1:14" ht="15" customHeight="1" x14ac:dyDescent="0.2">
      <c r="A184" s="4" t="str">
        <f>'Raw Data'!A184</f>
        <v>ORD200182</v>
      </c>
      <c r="B184" s="6">
        <f>'Raw Data'!B184</f>
        <v>45735</v>
      </c>
      <c r="C184" s="4" t="str">
        <f>'Raw Data'!C184</f>
        <v>C16612</v>
      </c>
      <c r="D184" s="4" t="str">
        <f>'Raw Data'!D184</f>
        <v>Desk</v>
      </c>
      <c r="E184" s="4">
        <f>'Raw Data'!E184</f>
        <v>1</v>
      </c>
      <c r="F184" s="4">
        <f>'Raw Data'!F184</f>
        <v>600.54</v>
      </c>
      <c r="G184" s="4" t="str">
        <f>'Raw Data'!G184</f>
        <v>596 Main St</v>
      </c>
      <c r="H184" s="4" t="str">
        <f>'Raw Data'!H184</f>
        <v>Debit Card</v>
      </c>
      <c r="I184" s="4" t="str">
        <f>'Raw Data'!I184</f>
        <v>Pending</v>
      </c>
      <c r="J184" s="4" t="str">
        <f>'Raw Data'!J184</f>
        <v>TRK96188223</v>
      </c>
      <c r="K184" s="4">
        <f>'Raw Data'!K184</f>
        <v>4</v>
      </c>
      <c r="L184" s="4" t="str">
        <f>IF('Raw Data'!L184="","No Coupon",'Raw Data'!L184)</f>
        <v>WINTER15</v>
      </c>
      <c r="M184" s="4" t="str">
        <f>'Raw Data'!M184</f>
        <v>Google</v>
      </c>
      <c r="N184" s="4">
        <f>'Raw Data'!N184</f>
        <v>600.54</v>
      </c>
    </row>
    <row r="185" spans="1:14" ht="15" customHeight="1" x14ac:dyDescent="0.2">
      <c r="A185" s="4" t="str">
        <f>'Raw Data'!A185</f>
        <v>ORD200183</v>
      </c>
      <c r="B185" s="6">
        <f>'Raw Data'!B185</f>
        <v>45400</v>
      </c>
      <c r="C185" s="4" t="str">
        <f>'Raw Data'!C185</f>
        <v>C39246</v>
      </c>
      <c r="D185" s="4" t="str">
        <f>'Raw Data'!D185</f>
        <v>Monitor</v>
      </c>
      <c r="E185" s="4">
        <f>'Raw Data'!E185</f>
        <v>5</v>
      </c>
      <c r="F185" s="4">
        <f>'Raw Data'!F185</f>
        <v>186.28</v>
      </c>
      <c r="G185" s="4" t="str">
        <f>'Raw Data'!G185</f>
        <v>258 Main St</v>
      </c>
      <c r="H185" s="4" t="str">
        <f>'Raw Data'!H185</f>
        <v>Debit Card</v>
      </c>
      <c r="I185" s="4" t="str">
        <f>'Raw Data'!I185</f>
        <v>Delivered</v>
      </c>
      <c r="J185" s="4" t="str">
        <f>'Raw Data'!J185</f>
        <v>TRK16658182</v>
      </c>
      <c r="K185" s="4">
        <f>'Raw Data'!K185</f>
        <v>8</v>
      </c>
      <c r="L185" s="4" t="str">
        <f>IF('Raw Data'!L185="","No Coupon",'Raw Data'!L185)</f>
        <v>SAVE10</v>
      </c>
      <c r="M185" s="4" t="str">
        <f>'Raw Data'!M185</f>
        <v>Email</v>
      </c>
      <c r="N185" s="4">
        <f>'Raw Data'!N185</f>
        <v>931.4</v>
      </c>
    </row>
    <row r="186" spans="1:14" ht="15" customHeight="1" x14ac:dyDescent="0.2">
      <c r="A186" s="4" t="str">
        <f>'Raw Data'!A186</f>
        <v>ORD200184</v>
      </c>
      <c r="B186" s="6">
        <f>'Raw Data'!B186</f>
        <v>45386</v>
      </c>
      <c r="C186" s="4" t="str">
        <f>'Raw Data'!C186</f>
        <v>C65180</v>
      </c>
      <c r="D186" s="4" t="str">
        <f>'Raw Data'!D186</f>
        <v>Tablet</v>
      </c>
      <c r="E186" s="4">
        <f>'Raw Data'!E186</f>
        <v>4</v>
      </c>
      <c r="F186" s="4">
        <f>'Raw Data'!F186</f>
        <v>214.54</v>
      </c>
      <c r="G186" s="4" t="str">
        <f>'Raw Data'!G186</f>
        <v>231 Main St</v>
      </c>
      <c r="H186" s="4" t="str">
        <f>'Raw Data'!H186</f>
        <v>Gift Card</v>
      </c>
      <c r="I186" s="4" t="str">
        <f>'Raw Data'!I186</f>
        <v>Cancelled</v>
      </c>
      <c r="J186" s="4" t="str">
        <f>'Raw Data'!J186</f>
        <v>TRK39255469</v>
      </c>
      <c r="K186" s="4">
        <f>'Raw Data'!K186</f>
        <v>7</v>
      </c>
      <c r="L186" s="4" t="str">
        <f>IF('Raw Data'!L186="","No Coupon",'Raw Data'!L186)</f>
        <v>No Coupon</v>
      </c>
      <c r="M186" s="4" t="str">
        <f>'Raw Data'!M186</f>
        <v>Referral</v>
      </c>
      <c r="N186" s="4">
        <f>'Raw Data'!N186</f>
        <v>858.16</v>
      </c>
    </row>
    <row r="187" spans="1:14" ht="15" customHeight="1" x14ac:dyDescent="0.2">
      <c r="A187" s="4" t="str">
        <f>'Raw Data'!A187</f>
        <v>ORD200185</v>
      </c>
      <c r="B187" s="6">
        <f>'Raw Data'!B187</f>
        <v>45690</v>
      </c>
      <c r="C187" s="4" t="str">
        <f>'Raw Data'!C187</f>
        <v>C46877</v>
      </c>
      <c r="D187" s="4" t="str">
        <f>'Raw Data'!D187</f>
        <v>Laptop</v>
      </c>
      <c r="E187" s="4">
        <f>'Raw Data'!E187</f>
        <v>1</v>
      </c>
      <c r="F187" s="4">
        <f>'Raw Data'!F187</f>
        <v>210.7</v>
      </c>
      <c r="G187" s="4" t="str">
        <f>'Raw Data'!G187</f>
        <v>572 Main St</v>
      </c>
      <c r="H187" s="4" t="str">
        <f>'Raw Data'!H187</f>
        <v>Online</v>
      </c>
      <c r="I187" s="4" t="str">
        <f>'Raw Data'!I187</f>
        <v>Shipped</v>
      </c>
      <c r="J187" s="4" t="str">
        <f>'Raw Data'!J187</f>
        <v>TRK96935978</v>
      </c>
      <c r="K187" s="4">
        <f>'Raw Data'!K187</f>
        <v>2</v>
      </c>
      <c r="L187" s="4" t="str">
        <f>IF('Raw Data'!L187="","No Coupon",'Raw Data'!L187)</f>
        <v>WINTER15</v>
      </c>
      <c r="M187" s="4" t="str">
        <f>'Raw Data'!M187</f>
        <v>Referral</v>
      </c>
      <c r="N187" s="4">
        <f>'Raw Data'!N187</f>
        <v>210.7</v>
      </c>
    </row>
    <row r="188" spans="1:14" ht="15" customHeight="1" x14ac:dyDescent="0.2">
      <c r="A188" s="4" t="str">
        <f>'Raw Data'!A188</f>
        <v>ORD200186</v>
      </c>
      <c r="B188" s="6">
        <f>'Raw Data'!B188</f>
        <v>45267</v>
      </c>
      <c r="C188" s="4" t="str">
        <f>'Raw Data'!C188</f>
        <v>C30334</v>
      </c>
      <c r="D188" s="4" t="str">
        <f>'Raw Data'!D188</f>
        <v>Phone</v>
      </c>
      <c r="E188" s="4">
        <f>'Raw Data'!E188</f>
        <v>2</v>
      </c>
      <c r="F188" s="4">
        <f>'Raw Data'!F188</f>
        <v>133.55000000000001</v>
      </c>
      <c r="G188" s="4" t="str">
        <f>'Raw Data'!G188</f>
        <v>322 Main St</v>
      </c>
      <c r="H188" s="4" t="str">
        <f>'Raw Data'!H188</f>
        <v>Cash</v>
      </c>
      <c r="I188" s="4" t="str">
        <f>'Raw Data'!I188</f>
        <v>Pending</v>
      </c>
      <c r="J188" s="4" t="str">
        <f>'Raw Data'!J188</f>
        <v>TRK66388885</v>
      </c>
      <c r="K188" s="4">
        <f>'Raw Data'!K188</f>
        <v>7</v>
      </c>
      <c r="L188" s="4" t="str">
        <f>IF('Raw Data'!L188="","No Coupon",'Raw Data'!L188)</f>
        <v>FREESHIP</v>
      </c>
      <c r="M188" s="4" t="str">
        <f>'Raw Data'!M188</f>
        <v>Facebook</v>
      </c>
      <c r="N188" s="4">
        <f>'Raw Data'!N188</f>
        <v>267.10000000000002</v>
      </c>
    </row>
    <row r="189" spans="1:14" ht="15" customHeight="1" x14ac:dyDescent="0.2">
      <c r="A189" s="4" t="str">
        <f>'Raw Data'!A189</f>
        <v>ORD200187</v>
      </c>
      <c r="B189" s="6">
        <f>'Raw Data'!B189</f>
        <v>44965</v>
      </c>
      <c r="C189" s="4" t="str">
        <f>'Raw Data'!C189</f>
        <v>C21227</v>
      </c>
      <c r="D189" s="4" t="str">
        <f>'Raw Data'!D189</f>
        <v>Chair</v>
      </c>
      <c r="E189" s="4">
        <f>'Raw Data'!E189</f>
        <v>1</v>
      </c>
      <c r="F189" s="4">
        <f>'Raw Data'!F189</f>
        <v>590.87</v>
      </c>
      <c r="G189" s="4" t="str">
        <f>'Raw Data'!G189</f>
        <v>689 Main St</v>
      </c>
      <c r="H189" s="4" t="str">
        <f>'Raw Data'!H189</f>
        <v>Gift Card</v>
      </c>
      <c r="I189" s="4" t="str">
        <f>'Raw Data'!I189</f>
        <v>Returned</v>
      </c>
      <c r="J189" s="4" t="str">
        <f>'Raw Data'!J189</f>
        <v>TRK79129657</v>
      </c>
      <c r="K189" s="4">
        <f>'Raw Data'!K189</f>
        <v>6</v>
      </c>
      <c r="L189" s="4" t="str">
        <f>IF('Raw Data'!L189="","No Coupon",'Raw Data'!L189)</f>
        <v>FREESHIP</v>
      </c>
      <c r="M189" s="4" t="str">
        <f>'Raw Data'!M189</f>
        <v>Referral</v>
      </c>
      <c r="N189" s="4">
        <f>'Raw Data'!N189</f>
        <v>590.87</v>
      </c>
    </row>
    <row r="190" spans="1:14" ht="15" customHeight="1" x14ac:dyDescent="0.2">
      <c r="A190" s="4" t="str">
        <f>'Raw Data'!A190</f>
        <v>ORD200188</v>
      </c>
      <c r="B190" s="6">
        <f>'Raw Data'!B190</f>
        <v>45731</v>
      </c>
      <c r="C190" s="4" t="str">
        <f>'Raw Data'!C190</f>
        <v>C97715</v>
      </c>
      <c r="D190" s="4" t="str">
        <f>'Raw Data'!D190</f>
        <v>Chair</v>
      </c>
      <c r="E190" s="4">
        <f>'Raw Data'!E190</f>
        <v>2</v>
      </c>
      <c r="F190" s="4">
        <f>'Raw Data'!F190</f>
        <v>363.91</v>
      </c>
      <c r="G190" s="4" t="str">
        <f>'Raw Data'!G190</f>
        <v>927 Main St</v>
      </c>
      <c r="H190" s="4" t="str">
        <f>'Raw Data'!H190</f>
        <v>Gift Card</v>
      </c>
      <c r="I190" s="4" t="str">
        <f>'Raw Data'!I190</f>
        <v>Shipped</v>
      </c>
      <c r="J190" s="4" t="str">
        <f>'Raw Data'!J190</f>
        <v>TRK19515949</v>
      </c>
      <c r="K190" s="4">
        <f>'Raw Data'!K190</f>
        <v>2</v>
      </c>
      <c r="L190" s="4" t="str">
        <f>IF('Raw Data'!L190="","No Coupon",'Raw Data'!L190)</f>
        <v>FREESHIP</v>
      </c>
      <c r="M190" s="4" t="str">
        <f>'Raw Data'!M190</f>
        <v>Referral</v>
      </c>
      <c r="N190" s="4">
        <f>'Raw Data'!N190</f>
        <v>727.82</v>
      </c>
    </row>
    <row r="191" spans="1:14" ht="15" customHeight="1" x14ac:dyDescent="0.2">
      <c r="A191" s="4" t="str">
        <f>'Raw Data'!A191</f>
        <v>ORD200189</v>
      </c>
      <c r="B191" s="6">
        <f>'Raw Data'!B191</f>
        <v>45112</v>
      </c>
      <c r="C191" s="4" t="str">
        <f>'Raw Data'!C191</f>
        <v>C48939</v>
      </c>
      <c r="D191" s="4" t="str">
        <f>'Raw Data'!D191</f>
        <v>Printer</v>
      </c>
      <c r="E191" s="4">
        <f>'Raw Data'!E191</f>
        <v>5</v>
      </c>
      <c r="F191" s="4">
        <f>'Raw Data'!F191</f>
        <v>429.45</v>
      </c>
      <c r="G191" s="4" t="str">
        <f>'Raw Data'!G191</f>
        <v>597 Main St</v>
      </c>
      <c r="H191" s="4" t="str">
        <f>'Raw Data'!H191</f>
        <v>Gift Card</v>
      </c>
      <c r="I191" s="4" t="str">
        <f>'Raw Data'!I191</f>
        <v>Cancelled</v>
      </c>
      <c r="J191" s="4" t="str">
        <f>'Raw Data'!J191</f>
        <v>TRK62786764</v>
      </c>
      <c r="K191" s="4">
        <f>'Raw Data'!K191</f>
        <v>5</v>
      </c>
      <c r="L191" s="4" t="str">
        <f>IF('Raw Data'!L191="","No Coupon",'Raw Data'!L191)</f>
        <v>WINTER15</v>
      </c>
      <c r="M191" s="4" t="str">
        <f>'Raw Data'!M191</f>
        <v>Email</v>
      </c>
      <c r="N191" s="4">
        <f>'Raw Data'!N191</f>
        <v>2147.25</v>
      </c>
    </row>
    <row r="192" spans="1:14" ht="15" customHeight="1" x14ac:dyDescent="0.2">
      <c r="A192" s="4" t="str">
        <f>'Raw Data'!A192</f>
        <v>ORD200190</v>
      </c>
      <c r="B192" s="6">
        <f>'Raw Data'!B192</f>
        <v>45535</v>
      </c>
      <c r="C192" s="4" t="str">
        <f>'Raw Data'!C192</f>
        <v>C35483</v>
      </c>
      <c r="D192" s="4" t="str">
        <f>'Raw Data'!D192</f>
        <v>Printer</v>
      </c>
      <c r="E192" s="4">
        <f>'Raw Data'!E192</f>
        <v>3</v>
      </c>
      <c r="F192" s="4">
        <f>'Raw Data'!F192</f>
        <v>223.7</v>
      </c>
      <c r="G192" s="4" t="str">
        <f>'Raw Data'!G192</f>
        <v>725 Main St</v>
      </c>
      <c r="H192" s="4" t="str">
        <f>'Raw Data'!H192</f>
        <v>Cash</v>
      </c>
      <c r="I192" s="4" t="str">
        <f>'Raw Data'!I192</f>
        <v>Returned</v>
      </c>
      <c r="J192" s="4" t="str">
        <f>'Raw Data'!J192</f>
        <v>TRK79638203</v>
      </c>
      <c r="K192" s="4">
        <f>'Raw Data'!K192</f>
        <v>3</v>
      </c>
      <c r="L192" s="4" t="str">
        <f>IF('Raw Data'!L192="","No Coupon",'Raw Data'!L192)</f>
        <v>SAVE10</v>
      </c>
      <c r="M192" s="4" t="str">
        <f>'Raw Data'!M192</f>
        <v>Email</v>
      </c>
      <c r="N192" s="4">
        <f>'Raw Data'!N192</f>
        <v>671.1</v>
      </c>
    </row>
    <row r="193" spans="1:14" ht="15" customHeight="1" x14ac:dyDescent="0.2">
      <c r="A193" s="4" t="str">
        <f>'Raw Data'!A193</f>
        <v>ORD200191</v>
      </c>
      <c r="B193" s="6">
        <f>'Raw Data'!B193</f>
        <v>45724</v>
      </c>
      <c r="C193" s="4" t="str">
        <f>'Raw Data'!C193</f>
        <v>C51494</v>
      </c>
      <c r="D193" s="4" t="str">
        <f>'Raw Data'!D193</f>
        <v>Laptop</v>
      </c>
      <c r="E193" s="4">
        <f>'Raw Data'!E193</f>
        <v>2</v>
      </c>
      <c r="F193" s="4">
        <f>'Raw Data'!F193</f>
        <v>488.87</v>
      </c>
      <c r="G193" s="4" t="str">
        <f>'Raw Data'!G193</f>
        <v>505 Main St</v>
      </c>
      <c r="H193" s="4" t="str">
        <f>'Raw Data'!H193</f>
        <v>Online</v>
      </c>
      <c r="I193" s="4" t="str">
        <f>'Raw Data'!I193</f>
        <v>Cancelled</v>
      </c>
      <c r="J193" s="4" t="str">
        <f>'Raw Data'!J193</f>
        <v>TRK58520306</v>
      </c>
      <c r="K193" s="4">
        <f>'Raw Data'!K193</f>
        <v>4</v>
      </c>
      <c r="L193" s="4" t="str">
        <f>IF('Raw Data'!L193="","No Coupon",'Raw Data'!L193)</f>
        <v>FREESHIP</v>
      </c>
      <c r="M193" s="4" t="str">
        <f>'Raw Data'!M193</f>
        <v>Google</v>
      </c>
      <c r="N193" s="4">
        <f>'Raw Data'!N193</f>
        <v>977.74</v>
      </c>
    </row>
    <row r="194" spans="1:14" ht="15" customHeight="1" x14ac:dyDescent="0.2">
      <c r="A194" s="4" t="str">
        <f>'Raw Data'!A194</f>
        <v>ORD200192</v>
      </c>
      <c r="B194" s="6">
        <f>'Raw Data'!B194</f>
        <v>45149</v>
      </c>
      <c r="C194" s="4" t="str">
        <f>'Raw Data'!C194</f>
        <v>C58410</v>
      </c>
      <c r="D194" s="4" t="str">
        <f>'Raw Data'!D194</f>
        <v>Desk</v>
      </c>
      <c r="E194" s="4">
        <f>'Raw Data'!E194</f>
        <v>1</v>
      </c>
      <c r="F194" s="4">
        <f>'Raw Data'!F194</f>
        <v>645.46</v>
      </c>
      <c r="G194" s="4" t="str">
        <f>'Raw Data'!G194</f>
        <v>151 Main St</v>
      </c>
      <c r="H194" s="4" t="str">
        <f>'Raw Data'!H194</f>
        <v>Gift Card</v>
      </c>
      <c r="I194" s="4" t="str">
        <f>'Raw Data'!I194</f>
        <v>Cancelled</v>
      </c>
      <c r="J194" s="4" t="str">
        <f>'Raw Data'!J194</f>
        <v>TRK19749672</v>
      </c>
      <c r="K194" s="4">
        <f>'Raw Data'!K194</f>
        <v>5</v>
      </c>
      <c r="L194" s="4" t="str">
        <f>IF('Raw Data'!L194="","No Coupon",'Raw Data'!L194)</f>
        <v>SAVE10</v>
      </c>
      <c r="M194" s="4" t="str">
        <f>'Raw Data'!M194</f>
        <v>Google</v>
      </c>
      <c r="N194" s="4">
        <f>'Raw Data'!N194</f>
        <v>645.46</v>
      </c>
    </row>
    <row r="195" spans="1:14" ht="15" customHeight="1" x14ac:dyDescent="0.2">
      <c r="A195" s="4" t="str">
        <f>'Raw Data'!A195</f>
        <v>ORD200193</v>
      </c>
      <c r="B195" s="6">
        <f>'Raw Data'!B195</f>
        <v>45128</v>
      </c>
      <c r="C195" s="4" t="str">
        <f>'Raw Data'!C195</f>
        <v>C11644</v>
      </c>
      <c r="D195" s="4" t="str">
        <f>'Raw Data'!D195</f>
        <v>Printer</v>
      </c>
      <c r="E195" s="4">
        <f>'Raw Data'!E195</f>
        <v>1</v>
      </c>
      <c r="F195" s="4">
        <f>'Raw Data'!F195</f>
        <v>46.66</v>
      </c>
      <c r="G195" s="4" t="str">
        <f>'Raw Data'!G195</f>
        <v>429 Main St</v>
      </c>
      <c r="H195" s="4" t="str">
        <f>'Raw Data'!H195</f>
        <v>Cash</v>
      </c>
      <c r="I195" s="4" t="str">
        <f>'Raw Data'!I195</f>
        <v>Cancelled</v>
      </c>
      <c r="J195" s="4" t="str">
        <f>'Raw Data'!J195</f>
        <v>TRK81320339</v>
      </c>
      <c r="K195" s="4">
        <f>'Raw Data'!K195</f>
        <v>6</v>
      </c>
      <c r="L195" s="4" t="str">
        <f>IF('Raw Data'!L195="","No Coupon",'Raw Data'!L195)</f>
        <v>No Coupon</v>
      </c>
      <c r="M195" s="4" t="str">
        <f>'Raw Data'!M195</f>
        <v>Google</v>
      </c>
      <c r="N195" s="4">
        <f>'Raw Data'!N195</f>
        <v>46.66</v>
      </c>
    </row>
    <row r="196" spans="1:14" ht="15" customHeight="1" x14ac:dyDescent="0.2">
      <c r="A196" s="4" t="str">
        <f>'Raw Data'!A196</f>
        <v>ORD200194</v>
      </c>
      <c r="B196" s="6">
        <f>'Raw Data'!B196</f>
        <v>45451</v>
      </c>
      <c r="C196" s="4" t="str">
        <f>'Raw Data'!C196</f>
        <v>C53501</v>
      </c>
      <c r="D196" s="4" t="str">
        <f>'Raw Data'!D196</f>
        <v>Monitor</v>
      </c>
      <c r="E196" s="4">
        <f>'Raw Data'!E196</f>
        <v>1</v>
      </c>
      <c r="F196" s="4">
        <f>'Raw Data'!F196</f>
        <v>249.57</v>
      </c>
      <c r="G196" s="4" t="str">
        <f>'Raw Data'!G196</f>
        <v>899 Main St</v>
      </c>
      <c r="H196" s="4" t="str">
        <f>'Raw Data'!H196</f>
        <v>Cash</v>
      </c>
      <c r="I196" s="4" t="str">
        <f>'Raw Data'!I196</f>
        <v>Shipped</v>
      </c>
      <c r="J196" s="4" t="str">
        <f>'Raw Data'!J196</f>
        <v>TRK90144892</v>
      </c>
      <c r="K196" s="4">
        <f>'Raw Data'!K196</f>
        <v>3</v>
      </c>
      <c r="L196" s="4" t="str">
        <f>IF('Raw Data'!L196="","No Coupon",'Raw Data'!L196)</f>
        <v>FREESHIP</v>
      </c>
      <c r="M196" s="4" t="str">
        <f>'Raw Data'!M196</f>
        <v>Google</v>
      </c>
      <c r="N196" s="4">
        <f>'Raw Data'!N196</f>
        <v>249.57</v>
      </c>
    </row>
    <row r="197" spans="1:14" ht="15" customHeight="1" x14ac:dyDescent="0.2">
      <c r="A197" s="4" t="str">
        <f>'Raw Data'!A197</f>
        <v>ORD200195</v>
      </c>
      <c r="B197" s="6">
        <f>'Raw Data'!B197</f>
        <v>45404</v>
      </c>
      <c r="C197" s="4" t="str">
        <f>'Raw Data'!C197</f>
        <v>C63619</v>
      </c>
      <c r="D197" s="4" t="str">
        <f>'Raw Data'!D197</f>
        <v>Chair</v>
      </c>
      <c r="E197" s="4">
        <f>'Raw Data'!E197</f>
        <v>3</v>
      </c>
      <c r="F197" s="4">
        <f>'Raw Data'!F197</f>
        <v>619.21</v>
      </c>
      <c r="G197" s="4" t="str">
        <f>'Raw Data'!G197</f>
        <v>801 Main St</v>
      </c>
      <c r="H197" s="4" t="str">
        <f>'Raw Data'!H197</f>
        <v>Debit Card</v>
      </c>
      <c r="I197" s="4" t="str">
        <f>'Raw Data'!I197</f>
        <v>Cancelled</v>
      </c>
      <c r="J197" s="4" t="str">
        <f>'Raw Data'!J197</f>
        <v>TRK65385674</v>
      </c>
      <c r="K197" s="4">
        <f>'Raw Data'!K197</f>
        <v>6</v>
      </c>
      <c r="L197" s="4" t="str">
        <f>IF('Raw Data'!L197="","No Coupon",'Raw Data'!L197)</f>
        <v>No Coupon</v>
      </c>
      <c r="M197" s="4" t="str">
        <f>'Raw Data'!M197</f>
        <v>Email</v>
      </c>
      <c r="N197" s="4">
        <f>'Raw Data'!N197</f>
        <v>1857.63</v>
      </c>
    </row>
    <row r="198" spans="1:14" ht="15" customHeight="1" x14ac:dyDescent="0.2">
      <c r="A198" s="4" t="str">
        <f>'Raw Data'!A198</f>
        <v>ORD200196</v>
      </c>
      <c r="B198" s="6">
        <f>'Raw Data'!B198</f>
        <v>45681</v>
      </c>
      <c r="C198" s="4" t="str">
        <f>'Raw Data'!C198</f>
        <v>C40882</v>
      </c>
      <c r="D198" s="4" t="str">
        <f>'Raw Data'!D198</f>
        <v>Desk</v>
      </c>
      <c r="E198" s="4">
        <f>'Raw Data'!E198</f>
        <v>4</v>
      </c>
      <c r="F198" s="4">
        <f>'Raw Data'!F198</f>
        <v>217.13</v>
      </c>
      <c r="G198" s="4" t="str">
        <f>'Raw Data'!G198</f>
        <v>719 Main St</v>
      </c>
      <c r="H198" s="4" t="str">
        <f>'Raw Data'!H198</f>
        <v>Cash</v>
      </c>
      <c r="I198" s="4" t="str">
        <f>'Raw Data'!I198</f>
        <v>Delivered</v>
      </c>
      <c r="J198" s="4" t="str">
        <f>'Raw Data'!J198</f>
        <v>TRK64165503</v>
      </c>
      <c r="K198" s="4">
        <f>'Raw Data'!K198</f>
        <v>8</v>
      </c>
      <c r="L198" s="4" t="str">
        <f>IF('Raw Data'!L198="","No Coupon",'Raw Data'!L198)</f>
        <v>WINTER15</v>
      </c>
      <c r="M198" s="4" t="str">
        <f>'Raw Data'!M198</f>
        <v>Email</v>
      </c>
      <c r="N198" s="4">
        <f>'Raw Data'!N198</f>
        <v>868.52</v>
      </c>
    </row>
    <row r="199" spans="1:14" ht="15" customHeight="1" x14ac:dyDescent="0.2">
      <c r="A199" s="4" t="str">
        <f>'Raw Data'!A199</f>
        <v>ORD200197</v>
      </c>
      <c r="B199" s="6">
        <f>'Raw Data'!B199</f>
        <v>45165</v>
      </c>
      <c r="C199" s="4" t="str">
        <f>'Raw Data'!C199</f>
        <v>C80135</v>
      </c>
      <c r="D199" s="4" t="str">
        <f>'Raw Data'!D199</f>
        <v>Laptop</v>
      </c>
      <c r="E199" s="4">
        <f>'Raw Data'!E199</f>
        <v>5</v>
      </c>
      <c r="F199" s="4">
        <f>'Raw Data'!F199</f>
        <v>221.51</v>
      </c>
      <c r="G199" s="4" t="str">
        <f>'Raw Data'!G199</f>
        <v>723 Main St</v>
      </c>
      <c r="H199" s="4" t="str">
        <f>'Raw Data'!H199</f>
        <v>Cash</v>
      </c>
      <c r="I199" s="4" t="str">
        <f>'Raw Data'!I199</f>
        <v>Returned</v>
      </c>
      <c r="J199" s="4" t="str">
        <f>'Raw Data'!J199</f>
        <v>TRK95222269</v>
      </c>
      <c r="K199" s="4">
        <f>'Raw Data'!K199</f>
        <v>5</v>
      </c>
      <c r="L199" s="4" t="str">
        <f>IF('Raw Data'!L199="","No Coupon",'Raw Data'!L199)</f>
        <v>WINTER15</v>
      </c>
      <c r="M199" s="4" t="str">
        <f>'Raw Data'!M199</f>
        <v>Referral</v>
      </c>
      <c r="N199" s="4">
        <f>'Raw Data'!N199</f>
        <v>1107.55</v>
      </c>
    </row>
    <row r="200" spans="1:14" ht="15" customHeight="1" x14ac:dyDescent="0.2">
      <c r="A200" s="4" t="str">
        <f>'Raw Data'!A200</f>
        <v>ORD200198</v>
      </c>
      <c r="B200" s="6">
        <f>'Raw Data'!B200</f>
        <v>45454</v>
      </c>
      <c r="C200" s="4" t="str">
        <f>'Raw Data'!C200</f>
        <v>C37594</v>
      </c>
      <c r="D200" s="4" t="str">
        <f>'Raw Data'!D200</f>
        <v>Laptop</v>
      </c>
      <c r="E200" s="4">
        <f>'Raw Data'!E200</f>
        <v>4</v>
      </c>
      <c r="F200" s="4">
        <f>'Raw Data'!F200</f>
        <v>340.3</v>
      </c>
      <c r="G200" s="4" t="str">
        <f>'Raw Data'!G200</f>
        <v>926 Main St</v>
      </c>
      <c r="H200" s="4" t="str">
        <f>'Raw Data'!H200</f>
        <v>Cash</v>
      </c>
      <c r="I200" s="4" t="str">
        <f>'Raw Data'!I200</f>
        <v>Cancelled</v>
      </c>
      <c r="J200" s="4" t="str">
        <f>'Raw Data'!J200</f>
        <v>TRK94405162</v>
      </c>
      <c r="K200" s="4">
        <f>'Raw Data'!K200</f>
        <v>8</v>
      </c>
      <c r="L200" s="4" t="str">
        <f>IF('Raw Data'!L200="","No Coupon",'Raw Data'!L200)</f>
        <v>SAVE10</v>
      </c>
      <c r="M200" s="4" t="str">
        <f>'Raw Data'!M200</f>
        <v>Referral</v>
      </c>
      <c r="N200" s="4">
        <f>'Raw Data'!N200</f>
        <v>1361.2</v>
      </c>
    </row>
    <row r="201" spans="1:14" ht="15" customHeight="1" x14ac:dyDescent="0.2">
      <c r="A201" s="4" t="str">
        <f>'Raw Data'!A201</f>
        <v>ORD200199</v>
      </c>
      <c r="B201" s="6">
        <f>'Raw Data'!B201</f>
        <v>45680</v>
      </c>
      <c r="C201" s="4" t="str">
        <f>'Raw Data'!C201</f>
        <v>C87524</v>
      </c>
      <c r="D201" s="4" t="str">
        <f>'Raw Data'!D201</f>
        <v>Phone</v>
      </c>
      <c r="E201" s="4">
        <f>'Raw Data'!E201</f>
        <v>1</v>
      </c>
      <c r="F201" s="4">
        <f>'Raw Data'!F201</f>
        <v>625</v>
      </c>
      <c r="G201" s="4" t="str">
        <f>'Raw Data'!G201</f>
        <v>358 Main St</v>
      </c>
      <c r="H201" s="4" t="str">
        <f>'Raw Data'!H201</f>
        <v>Online</v>
      </c>
      <c r="I201" s="4" t="str">
        <f>'Raw Data'!I201</f>
        <v>Returned</v>
      </c>
      <c r="J201" s="4" t="str">
        <f>'Raw Data'!J201</f>
        <v>TRK21114341</v>
      </c>
      <c r="K201" s="4">
        <f>'Raw Data'!K201</f>
        <v>5</v>
      </c>
      <c r="L201" s="4" t="str">
        <f>IF('Raw Data'!L201="","No Coupon",'Raw Data'!L201)</f>
        <v>WINTER15</v>
      </c>
      <c r="M201" s="4" t="str">
        <f>'Raw Data'!M201</f>
        <v>Google</v>
      </c>
      <c r="N201" s="4">
        <f>'Raw Data'!N201</f>
        <v>625</v>
      </c>
    </row>
    <row r="202" spans="1:14" ht="15" customHeight="1" x14ac:dyDescent="0.2">
      <c r="A202" s="4" t="str">
        <f>'Raw Data'!A202</f>
        <v>ORD200200</v>
      </c>
      <c r="B202" s="6">
        <f>'Raw Data'!B202</f>
        <v>45815</v>
      </c>
      <c r="C202" s="4" t="str">
        <f>'Raw Data'!C202</f>
        <v>C97681</v>
      </c>
      <c r="D202" s="4" t="str">
        <f>'Raw Data'!D202</f>
        <v>Tablet</v>
      </c>
      <c r="E202" s="4">
        <f>'Raw Data'!E202</f>
        <v>5</v>
      </c>
      <c r="F202" s="4">
        <f>'Raw Data'!F202</f>
        <v>433.26</v>
      </c>
      <c r="G202" s="4" t="str">
        <f>'Raw Data'!G202</f>
        <v>895 Main St</v>
      </c>
      <c r="H202" s="4" t="str">
        <f>'Raw Data'!H202</f>
        <v>Credit Card</v>
      </c>
      <c r="I202" s="4" t="str">
        <f>'Raw Data'!I202</f>
        <v>Delivered</v>
      </c>
      <c r="J202" s="4" t="str">
        <f>'Raw Data'!J202</f>
        <v>TRK37531040</v>
      </c>
      <c r="K202" s="4">
        <f>'Raw Data'!K202</f>
        <v>9</v>
      </c>
      <c r="L202" s="4" t="str">
        <f>IF('Raw Data'!L202="","No Coupon",'Raw Data'!L202)</f>
        <v>SAVE10</v>
      </c>
      <c r="M202" s="4" t="str">
        <f>'Raw Data'!M202</f>
        <v>Google</v>
      </c>
      <c r="N202" s="4">
        <f>'Raw Data'!N202</f>
        <v>2166.3000000000002</v>
      </c>
    </row>
    <row r="203" spans="1:14" ht="15" customHeight="1" x14ac:dyDescent="0.2">
      <c r="A203" s="4" t="str">
        <f>'Raw Data'!A203</f>
        <v>ORD200201</v>
      </c>
      <c r="B203" s="6">
        <f>'Raw Data'!B203</f>
        <v>45095</v>
      </c>
      <c r="C203" s="4" t="str">
        <f>'Raw Data'!C203</f>
        <v>C10126</v>
      </c>
      <c r="D203" s="4" t="str">
        <f>'Raw Data'!D203</f>
        <v>Monitor</v>
      </c>
      <c r="E203" s="4">
        <f>'Raw Data'!E203</f>
        <v>2</v>
      </c>
      <c r="F203" s="4">
        <f>'Raw Data'!F203</f>
        <v>674.9</v>
      </c>
      <c r="G203" s="4" t="str">
        <f>'Raw Data'!G203</f>
        <v>146 Main St</v>
      </c>
      <c r="H203" s="4" t="str">
        <f>'Raw Data'!H203</f>
        <v>Online</v>
      </c>
      <c r="I203" s="4" t="str">
        <f>'Raw Data'!I203</f>
        <v>Shipped</v>
      </c>
      <c r="J203" s="4" t="str">
        <f>'Raw Data'!J203</f>
        <v>TRK75607531</v>
      </c>
      <c r="K203" s="4">
        <f>'Raw Data'!K203</f>
        <v>4</v>
      </c>
      <c r="L203" s="4" t="str">
        <f>IF('Raw Data'!L203="","No Coupon",'Raw Data'!L203)</f>
        <v>SAVE10</v>
      </c>
      <c r="M203" s="4" t="str">
        <f>'Raw Data'!M203</f>
        <v>Facebook</v>
      </c>
      <c r="N203" s="4">
        <f>'Raw Data'!N203</f>
        <v>1349.8</v>
      </c>
    </row>
    <row r="204" spans="1:14" ht="15" customHeight="1" x14ac:dyDescent="0.2">
      <c r="A204" s="4" t="str">
        <f>'Raw Data'!A204</f>
        <v>ORD200202</v>
      </c>
      <c r="B204" s="6">
        <f>'Raw Data'!B204</f>
        <v>45694</v>
      </c>
      <c r="C204" s="4" t="str">
        <f>'Raw Data'!C204</f>
        <v>C36938</v>
      </c>
      <c r="D204" s="4" t="str">
        <f>'Raw Data'!D204</f>
        <v>Monitor</v>
      </c>
      <c r="E204" s="4">
        <f>'Raw Data'!E204</f>
        <v>3</v>
      </c>
      <c r="F204" s="4">
        <f>'Raw Data'!F204</f>
        <v>253.98</v>
      </c>
      <c r="G204" s="4" t="str">
        <f>'Raw Data'!G204</f>
        <v>636 Main St</v>
      </c>
      <c r="H204" s="4" t="str">
        <f>'Raw Data'!H204</f>
        <v>Credit Card</v>
      </c>
      <c r="I204" s="4" t="str">
        <f>'Raw Data'!I204</f>
        <v>Cancelled</v>
      </c>
      <c r="J204" s="4" t="str">
        <f>'Raw Data'!J204</f>
        <v>TRK52522904</v>
      </c>
      <c r="K204" s="4">
        <f>'Raw Data'!K204</f>
        <v>3</v>
      </c>
      <c r="L204" s="4" t="str">
        <f>IF('Raw Data'!L204="","No Coupon",'Raw Data'!L204)</f>
        <v>FREESHIP</v>
      </c>
      <c r="M204" s="4" t="str">
        <f>'Raw Data'!M204</f>
        <v>Email</v>
      </c>
      <c r="N204" s="4">
        <f>'Raw Data'!N204</f>
        <v>761.94</v>
      </c>
    </row>
    <row r="205" spans="1:14" ht="15" customHeight="1" x14ac:dyDescent="0.2">
      <c r="A205" s="4" t="str">
        <f>'Raw Data'!A205</f>
        <v>ORD200203</v>
      </c>
      <c r="B205" s="6">
        <f>'Raw Data'!B205</f>
        <v>45678</v>
      </c>
      <c r="C205" s="4" t="str">
        <f>'Raw Data'!C205</f>
        <v>C99173</v>
      </c>
      <c r="D205" s="4" t="str">
        <f>'Raw Data'!D205</f>
        <v>Printer</v>
      </c>
      <c r="E205" s="4">
        <f>'Raw Data'!E205</f>
        <v>3</v>
      </c>
      <c r="F205" s="4">
        <f>'Raw Data'!F205</f>
        <v>356.84</v>
      </c>
      <c r="G205" s="4" t="str">
        <f>'Raw Data'!G205</f>
        <v>172 Main St</v>
      </c>
      <c r="H205" s="4" t="str">
        <f>'Raw Data'!H205</f>
        <v>Online</v>
      </c>
      <c r="I205" s="4" t="str">
        <f>'Raw Data'!I205</f>
        <v>Shipped</v>
      </c>
      <c r="J205" s="4" t="str">
        <f>'Raw Data'!J205</f>
        <v>TRK89849342</v>
      </c>
      <c r="K205" s="4">
        <f>'Raw Data'!K205</f>
        <v>5</v>
      </c>
      <c r="L205" s="4" t="str">
        <f>IF('Raw Data'!L205="","No Coupon",'Raw Data'!L205)</f>
        <v>SAVE10</v>
      </c>
      <c r="M205" s="4" t="str">
        <f>'Raw Data'!M205</f>
        <v>Instagram</v>
      </c>
      <c r="N205" s="4">
        <f>'Raw Data'!N205</f>
        <v>1070.52</v>
      </c>
    </row>
    <row r="206" spans="1:14" ht="15" customHeight="1" x14ac:dyDescent="0.2">
      <c r="A206" s="4" t="str">
        <f>'Raw Data'!A206</f>
        <v>ORD200204</v>
      </c>
      <c r="B206" s="6">
        <f>'Raw Data'!B206</f>
        <v>45174</v>
      </c>
      <c r="C206" s="4" t="str">
        <f>'Raw Data'!C206</f>
        <v>C99775</v>
      </c>
      <c r="D206" s="4" t="str">
        <f>'Raw Data'!D206</f>
        <v>Laptop</v>
      </c>
      <c r="E206" s="4">
        <f>'Raw Data'!E206</f>
        <v>4</v>
      </c>
      <c r="F206" s="4">
        <f>'Raw Data'!F206</f>
        <v>413.71</v>
      </c>
      <c r="G206" s="4" t="str">
        <f>'Raw Data'!G206</f>
        <v>478 Main St</v>
      </c>
      <c r="H206" s="4" t="str">
        <f>'Raw Data'!H206</f>
        <v>Gift Card</v>
      </c>
      <c r="I206" s="4" t="str">
        <f>'Raw Data'!I206</f>
        <v>Cancelled</v>
      </c>
      <c r="J206" s="4" t="str">
        <f>'Raw Data'!J206</f>
        <v>TRK21638425</v>
      </c>
      <c r="K206" s="4">
        <f>'Raw Data'!K206</f>
        <v>9</v>
      </c>
      <c r="L206" s="4" t="str">
        <f>IF('Raw Data'!L206="","No Coupon",'Raw Data'!L206)</f>
        <v>FREESHIP</v>
      </c>
      <c r="M206" s="4" t="str">
        <f>'Raw Data'!M206</f>
        <v>Facebook</v>
      </c>
      <c r="N206" s="4">
        <f>'Raw Data'!N206</f>
        <v>1654.84</v>
      </c>
    </row>
    <row r="207" spans="1:14" ht="15" customHeight="1" x14ac:dyDescent="0.2">
      <c r="A207" s="4" t="str">
        <f>'Raw Data'!A207</f>
        <v>ORD200205</v>
      </c>
      <c r="B207" s="6">
        <f>'Raw Data'!B207</f>
        <v>44989</v>
      </c>
      <c r="C207" s="4" t="str">
        <f>'Raw Data'!C207</f>
        <v>C19266</v>
      </c>
      <c r="D207" s="4" t="str">
        <f>'Raw Data'!D207</f>
        <v>Desk</v>
      </c>
      <c r="E207" s="4">
        <f>'Raw Data'!E207</f>
        <v>3</v>
      </c>
      <c r="F207" s="4">
        <f>'Raw Data'!F207</f>
        <v>147.38999999999999</v>
      </c>
      <c r="G207" s="4" t="str">
        <f>'Raw Data'!G207</f>
        <v>609 Main St</v>
      </c>
      <c r="H207" s="4" t="str">
        <f>'Raw Data'!H207</f>
        <v>Debit Card</v>
      </c>
      <c r="I207" s="4" t="str">
        <f>'Raw Data'!I207</f>
        <v>Returned</v>
      </c>
      <c r="J207" s="4" t="str">
        <f>'Raw Data'!J207</f>
        <v>TRK58357269</v>
      </c>
      <c r="K207" s="4">
        <f>'Raw Data'!K207</f>
        <v>3</v>
      </c>
      <c r="L207" s="4" t="str">
        <f>IF('Raw Data'!L207="","No Coupon",'Raw Data'!L207)</f>
        <v>No Coupon</v>
      </c>
      <c r="M207" s="4" t="str">
        <f>'Raw Data'!M207</f>
        <v>Email</v>
      </c>
      <c r="N207" s="4">
        <f>'Raw Data'!N207</f>
        <v>442.17</v>
      </c>
    </row>
    <row r="208" spans="1:14" ht="15" customHeight="1" x14ac:dyDescent="0.2">
      <c r="A208" s="4" t="str">
        <f>'Raw Data'!A208</f>
        <v>ORD200206</v>
      </c>
      <c r="B208" s="6">
        <f>'Raw Data'!B208</f>
        <v>45398</v>
      </c>
      <c r="C208" s="4" t="str">
        <f>'Raw Data'!C208</f>
        <v>C31072</v>
      </c>
      <c r="D208" s="4" t="str">
        <f>'Raw Data'!D208</f>
        <v>Laptop</v>
      </c>
      <c r="E208" s="4">
        <f>'Raw Data'!E208</f>
        <v>4</v>
      </c>
      <c r="F208" s="4">
        <f>'Raw Data'!F208</f>
        <v>229.1</v>
      </c>
      <c r="G208" s="4" t="str">
        <f>'Raw Data'!G208</f>
        <v>729 Main St</v>
      </c>
      <c r="H208" s="4" t="str">
        <f>'Raw Data'!H208</f>
        <v>Gift Card</v>
      </c>
      <c r="I208" s="4" t="str">
        <f>'Raw Data'!I208</f>
        <v>Returned</v>
      </c>
      <c r="J208" s="4" t="str">
        <f>'Raw Data'!J208</f>
        <v>TRK77172975</v>
      </c>
      <c r="K208" s="4">
        <f>'Raw Data'!K208</f>
        <v>8</v>
      </c>
      <c r="L208" s="4" t="str">
        <f>IF('Raw Data'!L208="","No Coupon",'Raw Data'!L208)</f>
        <v>WINTER15</v>
      </c>
      <c r="M208" s="4" t="str">
        <f>'Raw Data'!M208</f>
        <v>Email</v>
      </c>
      <c r="N208" s="4">
        <f>'Raw Data'!N208</f>
        <v>916.4</v>
      </c>
    </row>
    <row r="209" spans="1:14" ht="15" customHeight="1" x14ac:dyDescent="0.2">
      <c r="A209" s="4" t="str">
        <f>'Raw Data'!A209</f>
        <v>ORD200207</v>
      </c>
      <c r="B209" s="6">
        <f>'Raw Data'!B209</f>
        <v>45734</v>
      </c>
      <c r="C209" s="4" t="str">
        <f>'Raw Data'!C209</f>
        <v>C54595</v>
      </c>
      <c r="D209" s="4" t="str">
        <f>'Raw Data'!D209</f>
        <v>Phone</v>
      </c>
      <c r="E209" s="4">
        <f>'Raw Data'!E209</f>
        <v>1</v>
      </c>
      <c r="F209" s="4">
        <f>'Raw Data'!F209</f>
        <v>121.96</v>
      </c>
      <c r="G209" s="4" t="str">
        <f>'Raw Data'!G209</f>
        <v>999 Main St</v>
      </c>
      <c r="H209" s="4" t="str">
        <f>'Raw Data'!H209</f>
        <v>Debit Card</v>
      </c>
      <c r="I209" s="4" t="str">
        <f>'Raw Data'!I209</f>
        <v>Delivered</v>
      </c>
      <c r="J209" s="4" t="str">
        <f>'Raw Data'!J209</f>
        <v>TRK44416659</v>
      </c>
      <c r="K209" s="4">
        <f>'Raw Data'!K209</f>
        <v>3</v>
      </c>
      <c r="L209" s="4" t="str">
        <f>IF('Raw Data'!L209="","No Coupon",'Raw Data'!L209)</f>
        <v>No Coupon</v>
      </c>
      <c r="M209" s="4" t="str">
        <f>'Raw Data'!M209</f>
        <v>Google</v>
      </c>
      <c r="N209" s="4">
        <f>'Raw Data'!N209</f>
        <v>121.96</v>
      </c>
    </row>
    <row r="210" spans="1:14" ht="15" customHeight="1" x14ac:dyDescent="0.2">
      <c r="A210" s="4" t="str">
        <f>'Raw Data'!A210</f>
        <v>ORD200208</v>
      </c>
      <c r="B210" s="6">
        <f>'Raw Data'!B210</f>
        <v>45573</v>
      </c>
      <c r="C210" s="4" t="str">
        <f>'Raw Data'!C210</f>
        <v>C87777</v>
      </c>
      <c r="D210" s="4" t="str">
        <f>'Raw Data'!D210</f>
        <v>Desk</v>
      </c>
      <c r="E210" s="4">
        <f>'Raw Data'!E210</f>
        <v>2</v>
      </c>
      <c r="F210" s="4">
        <f>'Raw Data'!F210</f>
        <v>408.32</v>
      </c>
      <c r="G210" s="4" t="str">
        <f>'Raw Data'!G210</f>
        <v>597 Main St</v>
      </c>
      <c r="H210" s="4" t="str">
        <f>'Raw Data'!H210</f>
        <v>Online</v>
      </c>
      <c r="I210" s="4" t="str">
        <f>'Raw Data'!I210</f>
        <v>Shipped</v>
      </c>
      <c r="J210" s="4" t="str">
        <f>'Raw Data'!J210</f>
        <v>TRK29003608</v>
      </c>
      <c r="K210" s="4">
        <f>'Raw Data'!K210</f>
        <v>3</v>
      </c>
      <c r="L210" s="4" t="str">
        <f>IF('Raw Data'!L210="","No Coupon",'Raw Data'!L210)</f>
        <v>FREESHIP</v>
      </c>
      <c r="M210" s="4" t="str">
        <f>'Raw Data'!M210</f>
        <v>Facebook</v>
      </c>
      <c r="N210" s="4">
        <f>'Raw Data'!N210</f>
        <v>816.64</v>
      </c>
    </row>
    <row r="211" spans="1:14" ht="15" customHeight="1" x14ac:dyDescent="0.2">
      <c r="A211" s="4" t="str">
        <f>'Raw Data'!A211</f>
        <v>ORD200209</v>
      </c>
      <c r="B211" s="6">
        <f>'Raw Data'!B211</f>
        <v>45167</v>
      </c>
      <c r="C211" s="4" t="str">
        <f>'Raw Data'!C211</f>
        <v>C35854</v>
      </c>
      <c r="D211" s="4" t="str">
        <f>'Raw Data'!D211</f>
        <v>Tablet</v>
      </c>
      <c r="E211" s="4">
        <f>'Raw Data'!E211</f>
        <v>5</v>
      </c>
      <c r="F211" s="4">
        <f>'Raw Data'!F211</f>
        <v>187.97</v>
      </c>
      <c r="G211" s="4" t="str">
        <f>'Raw Data'!G211</f>
        <v>706 Main St</v>
      </c>
      <c r="H211" s="4" t="str">
        <f>'Raw Data'!H211</f>
        <v>Cash</v>
      </c>
      <c r="I211" s="4" t="str">
        <f>'Raw Data'!I211</f>
        <v>Returned</v>
      </c>
      <c r="J211" s="4" t="str">
        <f>'Raw Data'!J211</f>
        <v>TRK30615168</v>
      </c>
      <c r="K211" s="4">
        <f>'Raw Data'!K211</f>
        <v>9</v>
      </c>
      <c r="L211" s="4" t="str">
        <f>IF('Raw Data'!L211="","No Coupon",'Raw Data'!L211)</f>
        <v>SAVE10</v>
      </c>
      <c r="M211" s="4" t="str">
        <f>'Raw Data'!M211</f>
        <v>Google</v>
      </c>
      <c r="N211" s="4">
        <f>'Raw Data'!N211</f>
        <v>939.85</v>
      </c>
    </row>
    <row r="212" spans="1:14" ht="15" customHeight="1" x14ac:dyDescent="0.2">
      <c r="A212" s="4" t="str">
        <f>'Raw Data'!A212</f>
        <v>ORD200210</v>
      </c>
      <c r="B212" s="6">
        <f>'Raw Data'!B212</f>
        <v>45631</v>
      </c>
      <c r="C212" s="4" t="str">
        <f>'Raw Data'!C212</f>
        <v>C93821</v>
      </c>
      <c r="D212" s="4" t="str">
        <f>'Raw Data'!D212</f>
        <v>Chair</v>
      </c>
      <c r="E212" s="4">
        <f>'Raw Data'!E212</f>
        <v>3</v>
      </c>
      <c r="F212" s="4">
        <f>'Raw Data'!F212</f>
        <v>358.48</v>
      </c>
      <c r="G212" s="4" t="str">
        <f>'Raw Data'!G212</f>
        <v>513 Main St</v>
      </c>
      <c r="H212" s="4" t="str">
        <f>'Raw Data'!H212</f>
        <v>Gift Card</v>
      </c>
      <c r="I212" s="4" t="str">
        <f>'Raw Data'!I212</f>
        <v>Delivered</v>
      </c>
      <c r="J212" s="4" t="str">
        <f>'Raw Data'!J212</f>
        <v>TRK10658539</v>
      </c>
      <c r="K212" s="4">
        <f>'Raw Data'!K212</f>
        <v>7</v>
      </c>
      <c r="L212" s="4" t="str">
        <f>IF('Raw Data'!L212="","No Coupon",'Raw Data'!L212)</f>
        <v>FREESHIP</v>
      </c>
      <c r="M212" s="4" t="str">
        <f>'Raw Data'!M212</f>
        <v>Facebook</v>
      </c>
      <c r="N212" s="4">
        <f>'Raw Data'!N212</f>
        <v>1075.44</v>
      </c>
    </row>
    <row r="213" spans="1:14" ht="15" customHeight="1" x14ac:dyDescent="0.2">
      <c r="A213" s="4" t="str">
        <f>'Raw Data'!A213</f>
        <v>ORD200211</v>
      </c>
      <c r="B213" s="6">
        <f>'Raw Data'!B213</f>
        <v>45660</v>
      </c>
      <c r="C213" s="4" t="str">
        <f>'Raw Data'!C213</f>
        <v>C54390</v>
      </c>
      <c r="D213" s="4" t="str">
        <f>'Raw Data'!D213</f>
        <v>Printer</v>
      </c>
      <c r="E213" s="4">
        <f>'Raw Data'!E213</f>
        <v>3</v>
      </c>
      <c r="F213" s="4">
        <f>'Raw Data'!F213</f>
        <v>193.58</v>
      </c>
      <c r="G213" s="4" t="str">
        <f>'Raw Data'!G213</f>
        <v>185 Main St</v>
      </c>
      <c r="H213" s="4" t="str">
        <f>'Raw Data'!H213</f>
        <v>Gift Card</v>
      </c>
      <c r="I213" s="4" t="str">
        <f>'Raw Data'!I213</f>
        <v>Pending</v>
      </c>
      <c r="J213" s="4" t="str">
        <f>'Raw Data'!J213</f>
        <v>TRK83853742</v>
      </c>
      <c r="K213" s="4">
        <f>'Raw Data'!K213</f>
        <v>7</v>
      </c>
      <c r="L213" s="4" t="str">
        <f>IF('Raw Data'!L213="","No Coupon",'Raw Data'!L213)</f>
        <v>FREESHIP</v>
      </c>
      <c r="M213" s="4" t="str">
        <f>'Raw Data'!M213</f>
        <v>Email</v>
      </c>
      <c r="N213" s="4">
        <f>'Raw Data'!N213</f>
        <v>580.74</v>
      </c>
    </row>
    <row r="214" spans="1:14" ht="15" customHeight="1" x14ac:dyDescent="0.2">
      <c r="A214" s="4" t="str">
        <f>'Raw Data'!A214</f>
        <v>ORD200212</v>
      </c>
      <c r="B214" s="6">
        <f>'Raw Data'!B214</f>
        <v>45097</v>
      </c>
      <c r="C214" s="4" t="str">
        <f>'Raw Data'!C214</f>
        <v>C53215</v>
      </c>
      <c r="D214" s="4" t="str">
        <f>'Raw Data'!D214</f>
        <v>Monitor</v>
      </c>
      <c r="E214" s="4">
        <f>'Raw Data'!E214</f>
        <v>1</v>
      </c>
      <c r="F214" s="4">
        <f>'Raw Data'!F214</f>
        <v>265.38</v>
      </c>
      <c r="G214" s="4" t="str">
        <f>'Raw Data'!G214</f>
        <v>367 Main St</v>
      </c>
      <c r="H214" s="4" t="str">
        <f>'Raw Data'!H214</f>
        <v>Credit Card</v>
      </c>
      <c r="I214" s="4" t="str">
        <f>'Raw Data'!I214</f>
        <v>Cancelled</v>
      </c>
      <c r="J214" s="4" t="str">
        <f>'Raw Data'!J214</f>
        <v>TRK34751835</v>
      </c>
      <c r="K214" s="4">
        <f>'Raw Data'!K214</f>
        <v>6</v>
      </c>
      <c r="L214" s="4" t="str">
        <f>IF('Raw Data'!L214="","No Coupon",'Raw Data'!L214)</f>
        <v>WINTER15</v>
      </c>
      <c r="M214" s="4" t="str">
        <f>'Raw Data'!M214</f>
        <v>Email</v>
      </c>
      <c r="N214" s="4">
        <f>'Raw Data'!N214</f>
        <v>265.38</v>
      </c>
    </row>
    <row r="215" spans="1:14" ht="15" customHeight="1" x14ac:dyDescent="0.2">
      <c r="A215" s="4" t="str">
        <f>'Raw Data'!A215</f>
        <v>ORD200213</v>
      </c>
      <c r="B215" s="6">
        <f>'Raw Data'!B215</f>
        <v>45036</v>
      </c>
      <c r="C215" s="4" t="str">
        <f>'Raw Data'!C215</f>
        <v>C71122</v>
      </c>
      <c r="D215" s="4" t="str">
        <f>'Raw Data'!D215</f>
        <v>Laptop</v>
      </c>
      <c r="E215" s="4">
        <f>'Raw Data'!E215</f>
        <v>1</v>
      </c>
      <c r="F215" s="4">
        <f>'Raw Data'!F215</f>
        <v>634.4</v>
      </c>
      <c r="G215" s="4" t="str">
        <f>'Raw Data'!G215</f>
        <v>317 Main St</v>
      </c>
      <c r="H215" s="4" t="str">
        <f>'Raw Data'!H215</f>
        <v>Cash</v>
      </c>
      <c r="I215" s="4" t="str">
        <f>'Raw Data'!I215</f>
        <v>Cancelled</v>
      </c>
      <c r="J215" s="4" t="str">
        <f>'Raw Data'!J215</f>
        <v>TRK54757882</v>
      </c>
      <c r="K215" s="4">
        <f>'Raw Data'!K215</f>
        <v>6</v>
      </c>
      <c r="L215" s="4" t="str">
        <f>IF('Raw Data'!L215="","No Coupon",'Raw Data'!L215)</f>
        <v>SAVE10</v>
      </c>
      <c r="M215" s="4" t="str">
        <f>'Raw Data'!M215</f>
        <v>Email</v>
      </c>
      <c r="N215" s="4">
        <f>'Raw Data'!N215</f>
        <v>634.4</v>
      </c>
    </row>
    <row r="216" spans="1:14" ht="15" customHeight="1" x14ac:dyDescent="0.2">
      <c r="A216" s="4" t="str">
        <f>'Raw Data'!A216</f>
        <v>ORD200214</v>
      </c>
      <c r="B216" s="6">
        <f>'Raw Data'!B216</f>
        <v>45525</v>
      </c>
      <c r="C216" s="4" t="str">
        <f>'Raw Data'!C216</f>
        <v>C29483</v>
      </c>
      <c r="D216" s="4" t="str">
        <f>'Raw Data'!D216</f>
        <v>Desk</v>
      </c>
      <c r="E216" s="4">
        <f>'Raw Data'!E216</f>
        <v>4</v>
      </c>
      <c r="F216" s="4">
        <f>'Raw Data'!F216</f>
        <v>305.72000000000003</v>
      </c>
      <c r="G216" s="4" t="str">
        <f>'Raw Data'!G216</f>
        <v>673 Main St</v>
      </c>
      <c r="H216" s="4" t="str">
        <f>'Raw Data'!H216</f>
        <v>Online</v>
      </c>
      <c r="I216" s="4" t="str">
        <f>'Raw Data'!I216</f>
        <v>Delivered</v>
      </c>
      <c r="J216" s="4" t="str">
        <f>'Raw Data'!J216</f>
        <v>TRK89423603</v>
      </c>
      <c r="K216" s="4">
        <f>'Raw Data'!K216</f>
        <v>5</v>
      </c>
      <c r="L216" s="4" t="str">
        <f>IF('Raw Data'!L216="","No Coupon",'Raw Data'!L216)</f>
        <v>No Coupon</v>
      </c>
      <c r="M216" s="4" t="str">
        <f>'Raw Data'!M216</f>
        <v>Facebook</v>
      </c>
      <c r="N216" s="4">
        <f>'Raw Data'!N216</f>
        <v>1222.8800000000001</v>
      </c>
    </row>
    <row r="217" spans="1:14" ht="15" customHeight="1" x14ac:dyDescent="0.2">
      <c r="A217" s="4" t="str">
        <f>'Raw Data'!A217</f>
        <v>ORD200215</v>
      </c>
      <c r="B217" s="6">
        <f>'Raw Data'!B217</f>
        <v>45148</v>
      </c>
      <c r="C217" s="4" t="str">
        <f>'Raw Data'!C217</f>
        <v>C26767</v>
      </c>
      <c r="D217" s="4" t="str">
        <f>'Raw Data'!D217</f>
        <v>Printer</v>
      </c>
      <c r="E217" s="4">
        <f>'Raw Data'!E217</f>
        <v>1</v>
      </c>
      <c r="F217" s="4">
        <f>'Raw Data'!F217</f>
        <v>303.60000000000002</v>
      </c>
      <c r="G217" s="4" t="str">
        <f>'Raw Data'!G217</f>
        <v>432 Main St</v>
      </c>
      <c r="H217" s="4" t="str">
        <f>'Raw Data'!H217</f>
        <v>Cash</v>
      </c>
      <c r="I217" s="4" t="str">
        <f>'Raw Data'!I217</f>
        <v>Shipped</v>
      </c>
      <c r="J217" s="4" t="str">
        <f>'Raw Data'!J217</f>
        <v>TRK24585307</v>
      </c>
      <c r="K217" s="4">
        <f>'Raw Data'!K217</f>
        <v>5</v>
      </c>
      <c r="L217" s="4" t="str">
        <f>IF('Raw Data'!L217="","No Coupon",'Raw Data'!L217)</f>
        <v>FREESHIP</v>
      </c>
      <c r="M217" s="4" t="str">
        <f>'Raw Data'!M217</f>
        <v>Facebook</v>
      </c>
      <c r="N217" s="4">
        <f>'Raw Data'!N217</f>
        <v>303.60000000000002</v>
      </c>
    </row>
    <row r="218" spans="1:14" ht="15" customHeight="1" x14ac:dyDescent="0.2">
      <c r="A218" s="4" t="str">
        <f>'Raw Data'!A218</f>
        <v>ORD200216</v>
      </c>
      <c r="B218" s="6">
        <f>'Raw Data'!B218</f>
        <v>45762</v>
      </c>
      <c r="C218" s="4" t="str">
        <f>'Raw Data'!C218</f>
        <v>C70492</v>
      </c>
      <c r="D218" s="4" t="str">
        <f>'Raw Data'!D218</f>
        <v>Monitor</v>
      </c>
      <c r="E218" s="4">
        <f>'Raw Data'!E218</f>
        <v>4</v>
      </c>
      <c r="F218" s="4">
        <f>'Raw Data'!F218</f>
        <v>496</v>
      </c>
      <c r="G218" s="4" t="str">
        <f>'Raw Data'!G218</f>
        <v>811 Main St</v>
      </c>
      <c r="H218" s="4" t="str">
        <f>'Raw Data'!H218</f>
        <v>Online</v>
      </c>
      <c r="I218" s="4" t="str">
        <f>'Raw Data'!I218</f>
        <v>Cancelled</v>
      </c>
      <c r="J218" s="4" t="str">
        <f>'Raw Data'!J218</f>
        <v>TRK84625405</v>
      </c>
      <c r="K218" s="4">
        <f>'Raw Data'!K218</f>
        <v>8</v>
      </c>
      <c r="L218" s="4" t="str">
        <f>IF('Raw Data'!L218="","No Coupon",'Raw Data'!L218)</f>
        <v>WINTER15</v>
      </c>
      <c r="M218" s="4" t="str">
        <f>'Raw Data'!M218</f>
        <v>Google</v>
      </c>
      <c r="N218" s="4">
        <f>'Raw Data'!N218</f>
        <v>1984</v>
      </c>
    </row>
    <row r="219" spans="1:14" ht="15" customHeight="1" x14ac:dyDescent="0.2">
      <c r="A219" s="4" t="str">
        <f>'Raw Data'!A219</f>
        <v>ORD200217</v>
      </c>
      <c r="B219" s="6">
        <f>'Raw Data'!B219</f>
        <v>45432</v>
      </c>
      <c r="C219" s="4" t="str">
        <f>'Raw Data'!C219</f>
        <v>C61549</v>
      </c>
      <c r="D219" s="4" t="str">
        <f>'Raw Data'!D219</f>
        <v>Desk</v>
      </c>
      <c r="E219" s="4">
        <f>'Raw Data'!E219</f>
        <v>4</v>
      </c>
      <c r="F219" s="4">
        <f>'Raw Data'!F219</f>
        <v>321.51</v>
      </c>
      <c r="G219" s="4" t="str">
        <f>'Raw Data'!G219</f>
        <v>908 Main St</v>
      </c>
      <c r="H219" s="4" t="str">
        <f>'Raw Data'!H219</f>
        <v>Cash</v>
      </c>
      <c r="I219" s="4" t="str">
        <f>'Raw Data'!I219</f>
        <v>Returned</v>
      </c>
      <c r="J219" s="4" t="str">
        <f>'Raw Data'!J219</f>
        <v>TRK65596914</v>
      </c>
      <c r="K219" s="4">
        <f>'Raw Data'!K219</f>
        <v>9</v>
      </c>
      <c r="L219" s="4" t="str">
        <f>IF('Raw Data'!L219="","No Coupon",'Raw Data'!L219)</f>
        <v>No Coupon</v>
      </c>
      <c r="M219" s="4" t="str">
        <f>'Raw Data'!M219</f>
        <v>Google</v>
      </c>
      <c r="N219" s="4">
        <f>'Raw Data'!N219</f>
        <v>1286.04</v>
      </c>
    </row>
    <row r="220" spans="1:14" ht="15" customHeight="1" x14ac:dyDescent="0.2">
      <c r="A220" s="4" t="str">
        <f>'Raw Data'!A220</f>
        <v>ORD200218</v>
      </c>
      <c r="B220" s="6">
        <f>'Raw Data'!B220</f>
        <v>45044</v>
      </c>
      <c r="C220" s="4" t="str">
        <f>'Raw Data'!C220</f>
        <v>C11665</v>
      </c>
      <c r="D220" s="4" t="str">
        <f>'Raw Data'!D220</f>
        <v>Tablet</v>
      </c>
      <c r="E220" s="4">
        <f>'Raw Data'!E220</f>
        <v>3</v>
      </c>
      <c r="F220" s="4">
        <f>'Raw Data'!F220</f>
        <v>112.46</v>
      </c>
      <c r="G220" s="4" t="str">
        <f>'Raw Data'!G220</f>
        <v>882 Main St</v>
      </c>
      <c r="H220" s="4" t="str">
        <f>'Raw Data'!H220</f>
        <v>Gift Card</v>
      </c>
      <c r="I220" s="4" t="str">
        <f>'Raw Data'!I220</f>
        <v>Shipped</v>
      </c>
      <c r="J220" s="4" t="str">
        <f>'Raw Data'!J220</f>
        <v>TRK10993930</v>
      </c>
      <c r="K220" s="4">
        <f>'Raw Data'!K220</f>
        <v>6</v>
      </c>
      <c r="L220" s="4" t="str">
        <f>IF('Raw Data'!L220="","No Coupon",'Raw Data'!L220)</f>
        <v>SAVE10</v>
      </c>
      <c r="M220" s="4" t="str">
        <f>'Raw Data'!M220</f>
        <v>Instagram</v>
      </c>
      <c r="N220" s="4">
        <f>'Raw Data'!N220</f>
        <v>337.38</v>
      </c>
    </row>
    <row r="221" spans="1:14" ht="15" customHeight="1" x14ac:dyDescent="0.2">
      <c r="A221" s="4" t="str">
        <f>'Raw Data'!A221</f>
        <v>ORD200219</v>
      </c>
      <c r="B221" s="6">
        <f>'Raw Data'!B221</f>
        <v>45779</v>
      </c>
      <c r="C221" s="4" t="str">
        <f>'Raw Data'!C221</f>
        <v>C48946</v>
      </c>
      <c r="D221" s="4" t="str">
        <f>'Raw Data'!D221</f>
        <v>Laptop</v>
      </c>
      <c r="E221" s="4">
        <f>'Raw Data'!E221</f>
        <v>5</v>
      </c>
      <c r="F221" s="4">
        <f>'Raw Data'!F221</f>
        <v>61.97</v>
      </c>
      <c r="G221" s="4" t="str">
        <f>'Raw Data'!G221</f>
        <v>457 Main St</v>
      </c>
      <c r="H221" s="4" t="str">
        <f>'Raw Data'!H221</f>
        <v>Cash</v>
      </c>
      <c r="I221" s="4" t="str">
        <f>'Raw Data'!I221</f>
        <v>Delivered</v>
      </c>
      <c r="J221" s="4" t="str">
        <f>'Raw Data'!J221</f>
        <v>TRK99387220</v>
      </c>
      <c r="K221" s="4">
        <f>'Raw Data'!K221</f>
        <v>6</v>
      </c>
      <c r="L221" s="4" t="str">
        <f>IF('Raw Data'!L221="","No Coupon",'Raw Data'!L221)</f>
        <v>SAVE10</v>
      </c>
      <c r="M221" s="4" t="str">
        <f>'Raw Data'!M221</f>
        <v>Email</v>
      </c>
      <c r="N221" s="4">
        <f>'Raw Data'!N221</f>
        <v>309.85000000000002</v>
      </c>
    </row>
    <row r="222" spans="1:14" ht="15" customHeight="1" x14ac:dyDescent="0.2">
      <c r="A222" s="4" t="str">
        <f>'Raw Data'!A222</f>
        <v>ORD200220</v>
      </c>
      <c r="B222" s="6">
        <f>'Raw Data'!B222</f>
        <v>45125</v>
      </c>
      <c r="C222" s="4" t="str">
        <f>'Raw Data'!C222</f>
        <v>C79506</v>
      </c>
      <c r="D222" s="4" t="str">
        <f>'Raw Data'!D222</f>
        <v>Laptop</v>
      </c>
      <c r="E222" s="4">
        <f>'Raw Data'!E222</f>
        <v>2</v>
      </c>
      <c r="F222" s="4">
        <f>'Raw Data'!F222</f>
        <v>373.17</v>
      </c>
      <c r="G222" s="4" t="str">
        <f>'Raw Data'!G222</f>
        <v>497 Main St</v>
      </c>
      <c r="H222" s="4" t="str">
        <f>'Raw Data'!H222</f>
        <v>Credit Card</v>
      </c>
      <c r="I222" s="4" t="str">
        <f>'Raw Data'!I222</f>
        <v>Pending</v>
      </c>
      <c r="J222" s="4" t="str">
        <f>'Raw Data'!J222</f>
        <v>TRK95188748</v>
      </c>
      <c r="K222" s="4">
        <f>'Raw Data'!K222</f>
        <v>6</v>
      </c>
      <c r="L222" s="4" t="str">
        <f>IF('Raw Data'!L222="","No Coupon",'Raw Data'!L222)</f>
        <v>SAVE10</v>
      </c>
      <c r="M222" s="4" t="str">
        <f>'Raw Data'!M222</f>
        <v>Referral</v>
      </c>
      <c r="N222" s="4">
        <f>'Raw Data'!N222</f>
        <v>746.34</v>
      </c>
    </row>
    <row r="223" spans="1:14" ht="15" customHeight="1" x14ac:dyDescent="0.2">
      <c r="A223" s="4" t="str">
        <f>'Raw Data'!A223</f>
        <v>ORD200221</v>
      </c>
      <c r="B223" s="6">
        <f>'Raw Data'!B223</f>
        <v>45345</v>
      </c>
      <c r="C223" s="4" t="str">
        <f>'Raw Data'!C223</f>
        <v>C93473</v>
      </c>
      <c r="D223" s="4" t="str">
        <f>'Raw Data'!D223</f>
        <v>Tablet</v>
      </c>
      <c r="E223" s="4">
        <f>'Raw Data'!E223</f>
        <v>5</v>
      </c>
      <c r="F223" s="4">
        <f>'Raw Data'!F223</f>
        <v>639.37</v>
      </c>
      <c r="G223" s="4" t="str">
        <f>'Raw Data'!G223</f>
        <v>552 Main St</v>
      </c>
      <c r="H223" s="4" t="str">
        <f>'Raw Data'!H223</f>
        <v>Debit Card</v>
      </c>
      <c r="I223" s="4" t="str">
        <f>'Raw Data'!I223</f>
        <v>Pending</v>
      </c>
      <c r="J223" s="4" t="str">
        <f>'Raw Data'!J223</f>
        <v>TRK50003989</v>
      </c>
      <c r="K223" s="4">
        <f>'Raw Data'!K223</f>
        <v>6</v>
      </c>
      <c r="L223" s="4" t="str">
        <f>IF('Raw Data'!L223="","No Coupon",'Raw Data'!L223)</f>
        <v>SAVE10</v>
      </c>
      <c r="M223" s="4" t="str">
        <f>'Raw Data'!M223</f>
        <v>Google</v>
      </c>
      <c r="N223" s="4">
        <f>'Raw Data'!N223</f>
        <v>3196.85</v>
      </c>
    </row>
    <row r="224" spans="1:14" ht="15" customHeight="1" x14ac:dyDescent="0.2">
      <c r="A224" s="4" t="str">
        <f>'Raw Data'!A224</f>
        <v>ORD200222</v>
      </c>
      <c r="B224" s="6">
        <f>'Raw Data'!B224</f>
        <v>45050</v>
      </c>
      <c r="C224" s="4" t="str">
        <f>'Raw Data'!C224</f>
        <v>C43124</v>
      </c>
      <c r="D224" s="4" t="str">
        <f>'Raw Data'!D224</f>
        <v>Chair</v>
      </c>
      <c r="E224" s="4">
        <f>'Raw Data'!E224</f>
        <v>4</v>
      </c>
      <c r="F224" s="4">
        <f>'Raw Data'!F224</f>
        <v>693.36</v>
      </c>
      <c r="G224" s="4" t="str">
        <f>'Raw Data'!G224</f>
        <v>931 Main St</v>
      </c>
      <c r="H224" s="4" t="str">
        <f>'Raw Data'!H224</f>
        <v>Online</v>
      </c>
      <c r="I224" s="4" t="str">
        <f>'Raw Data'!I224</f>
        <v>Shipped</v>
      </c>
      <c r="J224" s="4" t="str">
        <f>'Raw Data'!J224</f>
        <v>TRK17293348</v>
      </c>
      <c r="K224" s="4">
        <f>'Raw Data'!K224</f>
        <v>8</v>
      </c>
      <c r="L224" s="4" t="str">
        <f>IF('Raw Data'!L224="","No Coupon",'Raw Data'!L224)</f>
        <v>No Coupon</v>
      </c>
      <c r="M224" s="4" t="str">
        <f>'Raw Data'!M224</f>
        <v>Instagram</v>
      </c>
      <c r="N224" s="4">
        <f>'Raw Data'!N224</f>
        <v>2773.44</v>
      </c>
    </row>
    <row r="225" spans="1:14" ht="15" customHeight="1" x14ac:dyDescent="0.2">
      <c r="A225" s="4" t="str">
        <f>'Raw Data'!A225</f>
        <v>ORD200223</v>
      </c>
      <c r="B225" s="6">
        <f>'Raw Data'!B225</f>
        <v>45546</v>
      </c>
      <c r="C225" s="4" t="str">
        <f>'Raw Data'!C225</f>
        <v>C22783</v>
      </c>
      <c r="D225" s="4" t="str">
        <f>'Raw Data'!D225</f>
        <v>Phone</v>
      </c>
      <c r="E225" s="4">
        <f>'Raw Data'!E225</f>
        <v>4</v>
      </c>
      <c r="F225" s="4">
        <f>'Raw Data'!F225</f>
        <v>692.91</v>
      </c>
      <c r="G225" s="4" t="str">
        <f>'Raw Data'!G225</f>
        <v>673 Main St</v>
      </c>
      <c r="H225" s="4" t="str">
        <f>'Raw Data'!H225</f>
        <v>Credit Card</v>
      </c>
      <c r="I225" s="4" t="str">
        <f>'Raw Data'!I225</f>
        <v>Pending</v>
      </c>
      <c r="J225" s="4" t="str">
        <f>'Raw Data'!J225</f>
        <v>TRK55009149</v>
      </c>
      <c r="K225" s="4">
        <f>'Raw Data'!K225</f>
        <v>9</v>
      </c>
      <c r="L225" s="4" t="str">
        <f>IF('Raw Data'!L225="","No Coupon",'Raw Data'!L225)</f>
        <v>SAVE10</v>
      </c>
      <c r="M225" s="4" t="str">
        <f>'Raw Data'!M225</f>
        <v>Instagram</v>
      </c>
      <c r="N225" s="4">
        <f>'Raw Data'!N225</f>
        <v>2771.64</v>
      </c>
    </row>
    <row r="226" spans="1:14" ht="15" customHeight="1" x14ac:dyDescent="0.2">
      <c r="A226" s="4" t="str">
        <f>'Raw Data'!A226</f>
        <v>ORD200224</v>
      </c>
      <c r="B226" s="6">
        <f>'Raw Data'!B226</f>
        <v>45192</v>
      </c>
      <c r="C226" s="4" t="str">
        <f>'Raw Data'!C226</f>
        <v>C18567</v>
      </c>
      <c r="D226" s="4" t="str">
        <f>'Raw Data'!D226</f>
        <v>Printer</v>
      </c>
      <c r="E226" s="4">
        <f>'Raw Data'!E226</f>
        <v>4</v>
      </c>
      <c r="F226" s="4">
        <f>'Raw Data'!F226</f>
        <v>91.46</v>
      </c>
      <c r="G226" s="4" t="str">
        <f>'Raw Data'!G226</f>
        <v>507 Main St</v>
      </c>
      <c r="H226" s="4" t="str">
        <f>'Raw Data'!H226</f>
        <v>Cash</v>
      </c>
      <c r="I226" s="4" t="str">
        <f>'Raw Data'!I226</f>
        <v>Cancelled</v>
      </c>
      <c r="J226" s="4" t="str">
        <f>'Raw Data'!J226</f>
        <v>TRK17554673</v>
      </c>
      <c r="K226" s="4">
        <f>'Raw Data'!K226</f>
        <v>9</v>
      </c>
      <c r="L226" s="4" t="str">
        <f>IF('Raw Data'!L226="","No Coupon",'Raw Data'!L226)</f>
        <v>SAVE10</v>
      </c>
      <c r="M226" s="4" t="str">
        <f>'Raw Data'!M226</f>
        <v>Referral</v>
      </c>
      <c r="N226" s="4">
        <f>'Raw Data'!N226</f>
        <v>365.84</v>
      </c>
    </row>
    <row r="227" spans="1:14" ht="15" customHeight="1" x14ac:dyDescent="0.2">
      <c r="A227" s="4" t="str">
        <f>'Raw Data'!A227</f>
        <v>ORD200225</v>
      </c>
      <c r="B227" s="6">
        <f>'Raw Data'!B227</f>
        <v>45364</v>
      </c>
      <c r="C227" s="4" t="str">
        <f>'Raw Data'!C227</f>
        <v>C99879</v>
      </c>
      <c r="D227" s="4" t="str">
        <f>'Raw Data'!D227</f>
        <v>Phone</v>
      </c>
      <c r="E227" s="4">
        <f>'Raw Data'!E227</f>
        <v>3</v>
      </c>
      <c r="F227" s="4">
        <f>'Raw Data'!F227</f>
        <v>273.95999999999998</v>
      </c>
      <c r="G227" s="4" t="str">
        <f>'Raw Data'!G227</f>
        <v>692 Main St</v>
      </c>
      <c r="H227" s="4" t="str">
        <f>'Raw Data'!H227</f>
        <v>Debit Card</v>
      </c>
      <c r="I227" s="4" t="str">
        <f>'Raw Data'!I227</f>
        <v>Returned</v>
      </c>
      <c r="J227" s="4" t="str">
        <f>'Raw Data'!J227</f>
        <v>TRK50246700</v>
      </c>
      <c r="K227" s="4">
        <f>'Raw Data'!K227</f>
        <v>8</v>
      </c>
      <c r="L227" s="4" t="str">
        <f>IF('Raw Data'!L227="","No Coupon",'Raw Data'!L227)</f>
        <v>SAVE10</v>
      </c>
      <c r="M227" s="4" t="str">
        <f>'Raw Data'!M227</f>
        <v>Google</v>
      </c>
      <c r="N227" s="4">
        <f>'Raw Data'!N227</f>
        <v>821.88</v>
      </c>
    </row>
    <row r="228" spans="1:14" ht="15" customHeight="1" x14ac:dyDescent="0.2">
      <c r="A228" s="4" t="str">
        <f>'Raw Data'!A228</f>
        <v>ORD200226</v>
      </c>
      <c r="B228" s="6">
        <f>'Raw Data'!B228</f>
        <v>45835</v>
      </c>
      <c r="C228" s="4" t="str">
        <f>'Raw Data'!C228</f>
        <v>C31501</v>
      </c>
      <c r="D228" s="4" t="str">
        <f>'Raw Data'!D228</f>
        <v>Desk</v>
      </c>
      <c r="E228" s="4">
        <f>'Raw Data'!E228</f>
        <v>3</v>
      </c>
      <c r="F228" s="4">
        <f>'Raw Data'!F228</f>
        <v>588.04999999999995</v>
      </c>
      <c r="G228" s="4" t="str">
        <f>'Raw Data'!G228</f>
        <v>242 Main St</v>
      </c>
      <c r="H228" s="4" t="str">
        <f>'Raw Data'!H228</f>
        <v>Gift Card</v>
      </c>
      <c r="I228" s="4" t="str">
        <f>'Raw Data'!I228</f>
        <v>Delivered</v>
      </c>
      <c r="J228" s="4" t="str">
        <f>'Raw Data'!J228</f>
        <v>TRK93063929</v>
      </c>
      <c r="K228" s="4">
        <f>'Raw Data'!K228</f>
        <v>8</v>
      </c>
      <c r="L228" s="4" t="str">
        <f>IF('Raw Data'!L228="","No Coupon",'Raw Data'!L228)</f>
        <v>No Coupon</v>
      </c>
      <c r="M228" s="4" t="str">
        <f>'Raw Data'!M228</f>
        <v>Instagram</v>
      </c>
      <c r="N228" s="4">
        <f>'Raw Data'!N228</f>
        <v>1764.15</v>
      </c>
    </row>
    <row r="229" spans="1:14" ht="15" customHeight="1" x14ac:dyDescent="0.2">
      <c r="A229" s="4" t="str">
        <f>'Raw Data'!A229</f>
        <v>ORD200227</v>
      </c>
      <c r="B229" s="6">
        <f>'Raw Data'!B229</f>
        <v>45232</v>
      </c>
      <c r="C229" s="4" t="str">
        <f>'Raw Data'!C229</f>
        <v>C93220</v>
      </c>
      <c r="D229" s="4" t="str">
        <f>'Raw Data'!D229</f>
        <v>Monitor</v>
      </c>
      <c r="E229" s="4">
        <f>'Raw Data'!E229</f>
        <v>2</v>
      </c>
      <c r="F229" s="4">
        <f>'Raw Data'!F229</f>
        <v>365.17</v>
      </c>
      <c r="G229" s="4" t="str">
        <f>'Raw Data'!G229</f>
        <v>353 Main St</v>
      </c>
      <c r="H229" s="4" t="str">
        <f>'Raw Data'!H229</f>
        <v>Online</v>
      </c>
      <c r="I229" s="4" t="str">
        <f>'Raw Data'!I229</f>
        <v>Cancelled</v>
      </c>
      <c r="J229" s="4" t="str">
        <f>'Raw Data'!J229</f>
        <v>TRK89023251</v>
      </c>
      <c r="K229" s="4">
        <f>'Raw Data'!K229</f>
        <v>4</v>
      </c>
      <c r="L229" s="4" t="str">
        <f>IF('Raw Data'!L229="","No Coupon",'Raw Data'!L229)</f>
        <v>FREESHIP</v>
      </c>
      <c r="M229" s="4" t="str">
        <f>'Raw Data'!M229</f>
        <v>Facebook</v>
      </c>
      <c r="N229" s="4">
        <f>'Raw Data'!N229</f>
        <v>730.34</v>
      </c>
    </row>
    <row r="230" spans="1:14" ht="15" customHeight="1" x14ac:dyDescent="0.2">
      <c r="A230" s="4" t="str">
        <f>'Raw Data'!A230</f>
        <v>ORD200228</v>
      </c>
      <c r="B230" s="6">
        <f>'Raw Data'!B230</f>
        <v>45063</v>
      </c>
      <c r="C230" s="4" t="str">
        <f>'Raw Data'!C230</f>
        <v>C57867</v>
      </c>
      <c r="D230" s="4" t="str">
        <f>'Raw Data'!D230</f>
        <v>Chair</v>
      </c>
      <c r="E230" s="4">
        <f>'Raw Data'!E230</f>
        <v>4</v>
      </c>
      <c r="F230" s="4">
        <f>'Raw Data'!F230</f>
        <v>385.92</v>
      </c>
      <c r="G230" s="4" t="str">
        <f>'Raw Data'!G230</f>
        <v>579 Main St</v>
      </c>
      <c r="H230" s="4" t="str">
        <f>'Raw Data'!H230</f>
        <v>Credit Card</v>
      </c>
      <c r="I230" s="4" t="str">
        <f>'Raw Data'!I230</f>
        <v>Cancelled</v>
      </c>
      <c r="J230" s="4" t="str">
        <f>'Raw Data'!J230</f>
        <v>TRK92055007</v>
      </c>
      <c r="K230" s="4">
        <f>'Raw Data'!K230</f>
        <v>8</v>
      </c>
      <c r="L230" s="4" t="str">
        <f>IF('Raw Data'!L230="","No Coupon",'Raw Data'!L230)</f>
        <v>No Coupon</v>
      </c>
      <c r="M230" s="4" t="str">
        <f>'Raw Data'!M230</f>
        <v>Instagram</v>
      </c>
      <c r="N230" s="4">
        <f>'Raw Data'!N230</f>
        <v>1543.68</v>
      </c>
    </row>
    <row r="231" spans="1:14" ht="15" customHeight="1" x14ac:dyDescent="0.2">
      <c r="A231" s="4" t="str">
        <f>'Raw Data'!A231</f>
        <v>ORD200229</v>
      </c>
      <c r="B231" s="6">
        <f>'Raw Data'!B231</f>
        <v>45744</v>
      </c>
      <c r="C231" s="4" t="str">
        <f>'Raw Data'!C231</f>
        <v>C62622</v>
      </c>
      <c r="D231" s="4" t="str">
        <f>'Raw Data'!D231</f>
        <v>Tablet</v>
      </c>
      <c r="E231" s="4">
        <f>'Raw Data'!E231</f>
        <v>1</v>
      </c>
      <c r="F231" s="4">
        <f>'Raw Data'!F231</f>
        <v>562.61</v>
      </c>
      <c r="G231" s="4" t="str">
        <f>'Raw Data'!G231</f>
        <v>762 Main St</v>
      </c>
      <c r="H231" s="4" t="str">
        <f>'Raw Data'!H231</f>
        <v>Credit Card</v>
      </c>
      <c r="I231" s="4" t="str">
        <f>'Raw Data'!I231</f>
        <v>Delivered</v>
      </c>
      <c r="J231" s="4" t="str">
        <f>'Raw Data'!J231</f>
        <v>TRK70997648</v>
      </c>
      <c r="K231" s="4">
        <f>'Raw Data'!K231</f>
        <v>3</v>
      </c>
      <c r="L231" s="4" t="str">
        <f>IF('Raw Data'!L231="","No Coupon",'Raw Data'!L231)</f>
        <v>WINTER15</v>
      </c>
      <c r="M231" s="4" t="str">
        <f>'Raw Data'!M231</f>
        <v>Facebook</v>
      </c>
      <c r="N231" s="4">
        <f>'Raw Data'!N231</f>
        <v>562.61</v>
      </c>
    </row>
    <row r="232" spans="1:14" ht="15" customHeight="1" x14ac:dyDescent="0.2">
      <c r="A232" s="4" t="str">
        <f>'Raw Data'!A232</f>
        <v>ORD200230</v>
      </c>
      <c r="B232" s="6">
        <f>'Raw Data'!B232</f>
        <v>45276</v>
      </c>
      <c r="C232" s="4" t="str">
        <f>'Raw Data'!C232</f>
        <v>C94595</v>
      </c>
      <c r="D232" s="4" t="str">
        <f>'Raw Data'!D232</f>
        <v>Desk</v>
      </c>
      <c r="E232" s="4">
        <f>'Raw Data'!E232</f>
        <v>4</v>
      </c>
      <c r="F232" s="4">
        <f>'Raw Data'!F232</f>
        <v>61.91</v>
      </c>
      <c r="G232" s="4" t="str">
        <f>'Raw Data'!G232</f>
        <v>948 Main St</v>
      </c>
      <c r="H232" s="4" t="str">
        <f>'Raw Data'!H232</f>
        <v>Gift Card</v>
      </c>
      <c r="I232" s="4" t="str">
        <f>'Raw Data'!I232</f>
        <v>Delivered</v>
      </c>
      <c r="J232" s="4" t="str">
        <f>'Raw Data'!J232</f>
        <v>TRK24497305</v>
      </c>
      <c r="K232" s="4">
        <f>'Raw Data'!K232</f>
        <v>6</v>
      </c>
      <c r="L232" s="4" t="str">
        <f>IF('Raw Data'!L232="","No Coupon",'Raw Data'!L232)</f>
        <v>WINTER15</v>
      </c>
      <c r="M232" s="4" t="str">
        <f>'Raw Data'!M232</f>
        <v>Email</v>
      </c>
      <c r="N232" s="4">
        <f>'Raw Data'!N232</f>
        <v>247.64</v>
      </c>
    </row>
    <row r="233" spans="1:14" ht="15" customHeight="1" x14ac:dyDescent="0.2">
      <c r="A233" s="4" t="str">
        <f>'Raw Data'!A233</f>
        <v>ORD200231</v>
      </c>
      <c r="B233" s="6">
        <f>'Raw Data'!B233</f>
        <v>45235</v>
      </c>
      <c r="C233" s="4" t="str">
        <f>'Raw Data'!C233</f>
        <v>C30955</v>
      </c>
      <c r="D233" s="4" t="str">
        <f>'Raw Data'!D233</f>
        <v>Phone</v>
      </c>
      <c r="E233" s="4">
        <f>'Raw Data'!E233</f>
        <v>4</v>
      </c>
      <c r="F233" s="4">
        <f>'Raw Data'!F233</f>
        <v>41.9</v>
      </c>
      <c r="G233" s="4" t="str">
        <f>'Raw Data'!G233</f>
        <v>327 Main St</v>
      </c>
      <c r="H233" s="4" t="str">
        <f>'Raw Data'!H233</f>
        <v>Gift Card</v>
      </c>
      <c r="I233" s="4" t="str">
        <f>'Raw Data'!I233</f>
        <v>Pending</v>
      </c>
      <c r="J233" s="4" t="str">
        <f>'Raw Data'!J233</f>
        <v>TRK46898848</v>
      </c>
      <c r="K233" s="4">
        <f>'Raw Data'!K233</f>
        <v>9</v>
      </c>
      <c r="L233" s="4" t="str">
        <f>IF('Raw Data'!L233="","No Coupon",'Raw Data'!L233)</f>
        <v>FREESHIP</v>
      </c>
      <c r="M233" s="4" t="str">
        <f>'Raw Data'!M233</f>
        <v>Instagram</v>
      </c>
      <c r="N233" s="4">
        <f>'Raw Data'!N233</f>
        <v>167.6</v>
      </c>
    </row>
    <row r="234" spans="1:14" ht="15" customHeight="1" x14ac:dyDescent="0.2">
      <c r="A234" s="4" t="str">
        <f>'Raw Data'!A234</f>
        <v>ORD200232</v>
      </c>
      <c r="B234" s="6">
        <f>'Raw Data'!B234</f>
        <v>45065</v>
      </c>
      <c r="C234" s="4" t="str">
        <f>'Raw Data'!C234</f>
        <v>C20731</v>
      </c>
      <c r="D234" s="4" t="str">
        <f>'Raw Data'!D234</f>
        <v>Printer</v>
      </c>
      <c r="E234" s="4">
        <f>'Raw Data'!E234</f>
        <v>4</v>
      </c>
      <c r="F234" s="4">
        <f>'Raw Data'!F234</f>
        <v>444.44</v>
      </c>
      <c r="G234" s="4" t="str">
        <f>'Raw Data'!G234</f>
        <v>610 Main St</v>
      </c>
      <c r="H234" s="4" t="str">
        <f>'Raw Data'!H234</f>
        <v>Debit Card</v>
      </c>
      <c r="I234" s="4" t="str">
        <f>'Raw Data'!I234</f>
        <v>Cancelled</v>
      </c>
      <c r="J234" s="4" t="str">
        <f>'Raw Data'!J234</f>
        <v>TRK75568437</v>
      </c>
      <c r="K234" s="4">
        <f>'Raw Data'!K234</f>
        <v>8</v>
      </c>
      <c r="L234" s="4" t="str">
        <f>IF('Raw Data'!L234="","No Coupon",'Raw Data'!L234)</f>
        <v>WINTER15</v>
      </c>
      <c r="M234" s="4" t="str">
        <f>'Raw Data'!M234</f>
        <v>Google</v>
      </c>
      <c r="N234" s="4">
        <f>'Raw Data'!N234</f>
        <v>1777.76</v>
      </c>
    </row>
    <row r="235" spans="1:14" ht="15" customHeight="1" x14ac:dyDescent="0.2">
      <c r="A235" s="4" t="str">
        <f>'Raw Data'!A235</f>
        <v>ORD200233</v>
      </c>
      <c r="B235" s="6">
        <f>'Raw Data'!B235</f>
        <v>45528</v>
      </c>
      <c r="C235" s="4" t="str">
        <f>'Raw Data'!C235</f>
        <v>C30168</v>
      </c>
      <c r="D235" s="4" t="str">
        <f>'Raw Data'!D235</f>
        <v>Phone</v>
      </c>
      <c r="E235" s="4">
        <f>'Raw Data'!E235</f>
        <v>3</v>
      </c>
      <c r="F235" s="4">
        <f>'Raw Data'!F235</f>
        <v>311.33</v>
      </c>
      <c r="G235" s="4" t="str">
        <f>'Raw Data'!G235</f>
        <v>146 Main St</v>
      </c>
      <c r="H235" s="4" t="str">
        <f>'Raw Data'!H235</f>
        <v>Cash</v>
      </c>
      <c r="I235" s="4" t="str">
        <f>'Raw Data'!I235</f>
        <v>Cancelled</v>
      </c>
      <c r="J235" s="4" t="str">
        <f>'Raw Data'!J235</f>
        <v>TRK73699939</v>
      </c>
      <c r="K235" s="4">
        <f>'Raw Data'!K235</f>
        <v>3</v>
      </c>
      <c r="L235" s="4" t="str">
        <f>IF('Raw Data'!L235="","No Coupon",'Raw Data'!L235)</f>
        <v>WINTER15</v>
      </c>
      <c r="M235" s="4" t="str">
        <f>'Raw Data'!M235</f>
        <v>Instagram</v>
      </c>
      <c r="N235" s="4">
        <f>'Raw Data'!N235</f>
        <v>933.99</v>
      </c>
    </row>
    <row r="236" spans="1:14" ht="15" customHeight="1" x14ac:dyDescent="0.2">
      <c r="A236" s="4" t="str">
        <f>'Raw Data'!A236</f>
        <v>ORD200234</v>
      </c>
      <c r="B236" s="6">
        <f>'Raw Data'!B236</f>
        <v>45622</v>
      </c>
      <c r="C236" s="4" t="str">
        <f>'Raw Data'!C236</f>
        <v>C79842</v>
      </c>
      <c r="D236" s="4" t="str">
        <f>'Raw Data'!D236</f>
        <v>Printer</v>
      </c>
      <c r="E236" s="4">
        <f>'Raw Data'!E236</f>
        <v>4</v>
      </c>
      <c r="F236" s="4">
        <f>'Raw Data'!F236</f>
        <v>236.41</v>
      </c>
      <c r="G236" s="4" t="str">
        <f>'Raw Data'!G236</f>
        <v>337 Main St</v>
      </c>
      <c r="H236" s="4" t="str">
        <f>'Raw Data'!H236</f>
        <v>Debit Card</v>
      </c>
      <c r="I236" s="4" t="str">
        <f>'Raw Data'!I236</f>
        <v>Pending</v>
      </c>
      <c r="J236" s="4" t="str">
        <f>'Raw Data'!J236</f>
        <v>TRK26957950</v>
      </c>
      <c r="K236" s="4">
        <f>'Raw Data'!K236</f>
        <v>7</v>
      </c>
      <c r="L236" s="4" t="str">
        <f>IF('Raw Data'!L236="","No Coupon",'Raw Data'!L236)</f>
        <v>SAVE10</v>
      </c>
      <c r="M236" s="4" t="str">
        <f>'Raw Data'!M236</f>
        <v>Google</v>
      </c>
      <c r="N236" s="4">
        <f>'Raw Data'!N236</f>
        <v>945.64</v>
      </c>
    </row>
    <row r="237" spans="1:14" ht="15" customHeight="1" x14ac:dyDescent="0.2">
      <c r="A237" s="4" t="str">
        <f>'Raw Data'!A237</f>
        <v>ORD200235</v>
      </c>
      <c r="B237" s="6">
        <f>'Raw Data'!B237</f>
        <v>44977</v>
      </c>
      <c r="C237" s="4" t="str">
        <f>'Raw Data'!C237</f>
        <v>C32854</v>
      </c>
      <c r="D237" s="4" t="str">
        <f>'Raw Data'!D237</f>
        <v>Desk</v>
      </c>
      <c r="E237" s="4">
        <f>'Raw Data'!E237</f>
        <v>1</v>
      </c>
      <c r="F237" s="4">
        <f>'Raw Data'!F237</f>
        <v>65.45</v>
      </c>
      <c r="G237" s="4" t="str">
        <f>'Raw Data'!G237</f>
        <v>815 Main St</v>
      </c>
      <c r="H237" s="4" t="str">
        <f>'Raw Data'!H237</f>
        <v>Cash</v>
      </c>
      <c r="I237" s="4" t="str">
        <f>'Raw Data'!I237</f>
        <v>Pending</v>
      </c>
      <c r="J237" s="4" t="str">
        <f>'Raw Data'!J237</f>
        <v>TRK30009218</v>
      </c>
      <c r="K237" s="4">
        <f>'Raw Data'!K237</f>
        <v>2</v>
      </c>
      <c r="L237" s="4" t="str">
        <f>IF('Raw Data'!L237="","No Coupon",'Raw Data'!L237)</f>
        <v>WINTER15</v>
      </c>
      <c r="M237" s="4" t="str">
        <f>'Raw Data'!M237</f>
        <v>Google</v>
      </c>
      <c r="N237" s="4">
        <f>'Raw Data'!N237</f>
        <v>65.45</v>
      </c>
    </row>
    <row r="238" spans="1:14" ht="15" customHeight="1" x14ac:dyDescent="0.2">
      <c r="A238" s="4" t="str">
        <f>'Raw Data'!A238</f>
        <v>ORD200236</v>
      </c>
      <c r="B238" s="6">
        <f>'Raw Data'!B238</f>
        <v>44927</v>
      </c>
      <c r="C238" s="4" t="str">
        <f>'Raw Data'!C238</f>
        <v>C14847</v>
      </c>
      <c r="D238" s="4" t="str">
        <f>'Raw Data'!D238</f>
        <v>Monitor</v>
      </c>
      <c r="E238" s="4">
        <f>'Raw Data'!E238</f>
        <v>1</v>
      </c>
      <c r="F238" s="4">
        <f>'Raw Data'!F238</f>
        <v>318.81</v>
      </c>
      <c r="G238" s="4" t="str">
        <f>'Raw Data'!G238</f>
        <v>562 Main St</v>
      </c>
      <c r="H238" s="4" t="str">
        <f>'Raw Data'!H238</f>
        <v>Debit Card</v>
      </c>
      <c r="I238" s="4" t="str">
        <f>'Raw Data'!I238</f>
        <v>Pending</v>
      </c>
      <c r="J238" s="4" t="str">
        <f>'Raw Data'!J238</f>
        <v>TRK39663243</v>
      </c>
      <c r="K238" s="4">
        <f>'Raw Data'!K238</f>
        <v>3</v>
      </c>
      <c r="L238" s="4" t="str">
        <f>IF('Raw Data'!L238="","No Coupon",'Raw Data'!L238)</f>
        <v>WINTER15</v>
      </c>
      <c r="M238" s="4" t="str">
        <f>'Raw Data'!M238</f>
        <v>Email</v>
      </c>
      <c r="N238" s="4">
        <f>'Raw Data'!N238</f>
        <v>318.81</v>
      </c>
    </row>
    <row r="239" spans="1:14" ht="15" customHeight="1" x14ac:dyDescent="0.2">
      <c r="A239" s="4" t="str">
        <f>'Raw Data'!A239</f>
        <v>ORD200237</v>
      </c>
      <c r="B239" s="6">
        <f>'Raw Data'!B239</f>
        <v>45365</v>
      </c>
      <c r="C239" s="4" t="str">
        <f>'Raw Data'!C239</f>
        <v>C88645</v>
      </c>
      <c r="D239" s="4" t="str">
        <f>'Raw Data'!D239</f>
        <v>Monitor</v>
      </c>
      <c r="E239" s="4">
        <f>'Raw Data'!E239</f>
        <v>3</v>
      </c>
      <c r="F239" s="4">
        <f>'Raw Data'!F239</f>
        <v>583.72</v>
      </c>
      <c r="G239" s="4" t="str">
        <f>'Raw Data'!G239</f>
        <v>783 Main St</v>
      </c>
      <c r="H239" s="4" t="str">
        <f>'Raw Data'!H239</f>
        <v>Credit Card</v>
      </c>
      <c r="I239" s="4" t="str">
        <f>'Raw Data'!I239</f>
        <v>Shipped</v>
      </c>
      <c r="J239" s="4" t="str">
        <f>'Raw Data'!J239</f>
        <v>TRK74097570</v>
      </c>
      <c r="K239" s="4">
        <f>'Raw Data'!K239</f>
        <v>5</v>
      </c>
      <c r="L239" s="4" t="str">
        <f>IF('Raw Data'!L239="","No Coupon",'Raw Data'!L239)</f>
        <v>FREESHIP</v>
      </c>
      <c r="M239" s="4" t="str">
        <f>'Raw Data'!M239</f>
        <v>Facebook</v>
      </c>
      <c r="N239" s="4">
        <f>'Raw Data'!N239</f>
        <v>1751.16</v>
      </c>
    </row>
    <row r="240" spans="1:14" ht="15" customHeight="1" x14ac:dyDescent="0.2">
      <c r="A240" s="4" t="str">
        <f>'Raw Data'!A240</f>
        <v>ORD200238</v>
      </c>
      <c r="B240" s="6">
        <f>'Raw Data'!B240</f>
        <v>45639</v>
      </c>
      <c r="C240" s="4" t="str">
        <f>'Raw Data'!C240</f>
        <v>C66149</v>
      </c>
      <c r="D240" s="4" t="str">
        <f>'Raw Data'!D240</f>
        <v>Desk</v>
      </c>
      <c r="E240" s="4">
        <f>'Raw Data'!E240</f>
        <v>4</v>
      </c>
      <c r="F240" s="4">
        <f>'Raw Data'!F240</f>
        <v>384.32</v>
      </c>
      <c r="G240" s="4" t="str">
        <f>'Raw Data'!G240</f>
        <v>770 Main St</v>
      </c>
      <c r="H240" s="4" t="str">
        <f>'Raw Data'!H240</f>
        <v>Credit Card</v>
      </c>
      <c r="I240" s="4" t="str">
        <f>'Raw Data'!I240</f>
        <v>Pending</v>
      </c>
      <c r="J240" s="4" t="str">
        <f>'Raw Data'!J240</f>
        <v>TRK76307307</v>
      </c>
      <c r="K240" s="4">
        <f>'Raw Data'!K240</f>
        <v>6</v>
      </c>
      <c r="L240" s="4" t="str">
        <f>IF('Raw Data'!L240="","No Coupon",'Raw Data'!L240)</f>
        <v>WINTER15</v>
      </c>
      <c r="M240" s="4" t="str">
        <f>'Raw Data'!M240</f>
        <v>Google</v>
      </c>
      <c r="N240" s="4">
        <f>'Raw Data'!N240</f>
        <v>1537.28</v>
      </c>
    </row>
    <row r="241" spans="1:14" ht="15" customHeight="1" x14ac:dyDescent="0.2">
      <c r="A241" s="4" t="str">
        <f>'Raw Data'!A241</f>
        <v>ORD200239</v>
      </c>
      <c r="B241" s="6">
        <f>'Raw Data'!B241</f>
        <v>45637</v>
      </c>
      <c r="C241" s="4" t="str">
        <f>'Raw Data'!C241</f>
        <v>C20256</v>
      </c>
      <c r="D241" s="4" t="str">
        <f>'Raw Data'!D241</f>
        <v>Tablet</v>
      </c>
      <c r="E241" s="4">
        <f>'Raw Data'!E241</f>
        <v>3</v>
      </c>
      <c r="F241" s="4">
        <f>'Raw Data'!F241</f>
        <v>538.74</v>
      </c>
      <c r="G241" s="4" t="str">
        <f>'Raw Data'!G241</f>
        <v>456 Main St</v>
      </c>
      <c r="H241" s="4" t="str">
        <f>'Raw Data'!H241</f>
        <v>Online</v>
      </c>
      <c r="I241" s="4" t="str">
        <f>'Raw Data'!I241</f>
        <v>Shipped</v>
      </c>
      <c r="J241" s="4" t="str">
        <f>'Raw Data'!J241</f>
        <v>TRK71127943</v>
      </c>
      <c r="K241" s="4">
        <f>'Raw Data'!K241</f>
        <v>6</v>
      </c>
      <c r="L241" s="4" t="str">
        <f>IF('Raw Data'!L241="","No Coupon",'Raw Data'!L241)</f>
        <v>FREESHIP</v>
      </c>
      <c r="M241" s="4" t="str">
        <f>'Raw Data'!M241</f>
        <v>Email</v>
      </c>
      <c r="N241" s="4">
        <f>'Raw Data'!N241</f>
        <v>1616.22</v>
      </c>
    </row>
    <row r="242" spans="1:14" ht="15" customHeight="1" x14ac:dyDescent="0.2">
      <c r="A242" s="4" t="str">
        <f>'Raw Data'!A242</f>
        <v>ORD200240</v>
      </c>
      <c r="B242" s="6">
        <f>'Raw Data'!B242</f>
        <v>45119</v>
      </c>
      <c r="C242" s="4" t="str">
        <f>'Raw Data'!C242</f>
        <v>C14983</v>
      </c>
      <c r="D242" s="4" t="str">
        <f>'Raw Data'!D242</f>
        <v>Tablet</v>
      </c>
      <c r="E242" s="4">
        <f>'Raw Data'!E242</f>
        <v>1</v>
      </c>
      <c r="F242" s="4">
        <f>'Raw Data'!F242</f>
        <v>17.239999999999998</v>
      </c>
      <c r="G242" s="4" t="str">
        <f>'Raw Data'!G242</f>
        <v>255 Main St</v>
      </c>
      <c r="H242" s="4" t="str">
        <f>'Raw Data'!H242</f>
        <v>Online</v>
      </c>
      <c r="I242" s="4" t="str">
        <f>'Raw Data'!I242</f>
        <v>Pending</v>
      </c>
      <c r="J242" s="4" t="str">
        <f>'Raw Data'!J242</f>
        <v>TRK93444157</v>
      </c>
      <c r="K242" s="4">
        <f>'Raw Data'!K242</f>
        <v>2</v>
      </c>
      <c r="L242" s="4" t="str">
        <f>IF('Raw Data'!L242="","No Coupon",'Raw Data'!L242)</f>
        <v>FREESHIP</v>
      </c>
      <c r="M242" s="4" t="str">
        <f>'Raw Data'!M242</f>
        <v>Instagram</v>
      </c>
      <c r="N242" s="4">
        <f>'Raw Data'!N242</f>
        <v>17.239999999999998</v>
      </c>
    </row>
    <row r="243" spans="1:14" ht="15" customHeight="1" x14ac:dyDescent="0.2">
      <c r="A243" s="4" t="str">
        <f>'Raw Data'!A243</f>
        <v>ORD200241</v>
      </c>
      <c r="B243" s="6">
        <f>'Raw Data'!B243</f>
        <v>45062</v>
      </c>
      <c r="C243" s="4" t="str">
        <f>'Raw Data'!C243</f>
        <v>C20817</v>
      </c>
      <c r="D243" s="4" t="str">
        <f>'Raw Data'!D243</f>
        <v>Chair</v>
      </c>
      <c r="E243" s="4">
        <f>'Raw Data'!E243</f>
        <v>5</v>
      </c>
      <c r="F243" s="4">
        <f>'Raw Data'!F243</f>
        <v>615.66999999999996</v>
      </c>
      <c r="G243" s="4" t="str">
        <f>'Raw Data'!G243</f>
        <v>407 Main St</v>
      </c>
      <c r="H243" s="4" t="str">
        <f>'Raw Data'!H243</f>
        <v>Online</v>
      </c>
      <c r="I243" s="4" t="str">
        <f>'Raw Data'!I243</f>
        <v>Pending</v>
      </c>
      <c r="J243" s="4" t="str">
        <f>'Raw Data'!J243</f>
        <v>TRK44164590</v>
      </c>
      <c r="K243" s="4">
        <f>'Raw Data'!K243</f>
        <v>6</v>
      </c>
      <c r="L243" s="4" t="str">
        <f>IF('Raw Data'!L243="","No Coupon",'Raw Data'!L243)</f>
        <v>SAVE10</v>
      </c>
      <c r="M243" s="4" t="str">
        <f>'Raw Data'!M243</f>
        <v>Email</v>
      </c>
      <c r="N243" s="4">
        <f>'Raw Data'!N243</f>
        <v>3078.35</v>
      </c>
    </row>
    <row r="244" spans="1:14" ht="15" customHeight="1" x14ac:dyDescent="0.2">
      <c r="A244" s="4" t="str">
        <f>'Raw Data'!A244</f>
        <v>ORD200242</v>
      </c>
      <c r="B244" s="6">
        <f>'Raw Data'!B244</f>
        <v>45055</v>
      </c>
      <c r="C244" s="4" t="str">
        <f>'Raw Data'!C244</f>
        <v>C94921</v>
      </c>
      <c r="D244" s="4" t="str">
        <f>'Raw Data'!D244</f>
        <v>Printer</v>
      </c>
      <c r="E244" s="4">
        <f>'Raw Data'!E244</f>
        <v>2</v>
      </c>
      <c r="F244" s="4">
        <f>'Raw Data'!F244</f>
        <v>219.1</v>
      </c>
      <c r="G244" s="4" t="str">
        <f>'Raw Data'!G244</f>
        <v>134 Main St</v>
      </c>
      <c r="H244" s="4" t="str">
        <f>'Raw Data'!H244</f>
        <v>Online</v>
      </c>
      <c r="I244" s="4" t="str">
        <f>'Raw Data'!I244</f>
        <v>Pending</v>
      </c>
      <c r="J244" s="4" t="str">
        <f>'Raw Data'!J244</f>
        <v>TRK97794327</v>
      </c>
      <c r="K244" s="4">
        <f>'Raw Data'!K244</f>
        <v>4</v>
      </c>
      <c r="L244" s="4" t="str">
        <f>IF('Raw Data'!L244="","No Coupon",'Raw Data'!L244)</f>
        <v>SAVE10</v>
      </c>
      <c r="M244" s="4" t="str">
        <f>'Raw Data'!M244</f>
        <v>Referral</v>
      </c>
      <c r="N244" s="4">
        <f>'Raw Data'!N244</f>
        <v>438.2</v>
      </c>
    </row>
    <row r="245" spans="1:14" ht="15" customHeight="1" x14ac:dyDescent="0.2">
      <c r="A245" s="4" t="str">
        <f>'Raw Data'!A245</f>
        <v>ORD200243</v>
      </c>
      <c r="B245" s="6">
        <f>'Raw Data'!B245</f>
        <v>45786</v>
      </c>
      <c r="C245" s="4" t="str">
        <f>'Raw Data'!C245</f>
        <v>C54725</v>
      </c>
      <c r="D245" s="4" t="str">
        <f>'Raw Data'!D245</f>
        <v>Chair</v>
      </c>
      <c r="E245" s="4">
        <f>'Raw Data'!E245</f>
        <v>2</v>
      </c>
      <c r="F245" s="4">
        <f>'Raw Data'!F245</f>
        <v>144.66</v>
      </c>
      <c r="G245" s="4" t="str">
        <f>'Raw Data'!G245</f>
        <v>506 Main St</v>
      </c>
      <c r="H245" s="4" t="str">
        <f>'Raw Data'!H245</f>
        <v>Online</v>
      </c>
      <c r="I245" s="4" t="str">
        <f>'Raw Data'!I245</f>
        <v>Cancelled</v>
      </c>
      <c r="J245" s="4" t="str">
        <f>'Raw Data'!J245</f>
        <v>TRK30601940</v>
      </c>
      <c r="K245" s="4">
        <f>'Raw Data'!K245</f>
        <v>7</v>
      </c>
      <c r="L245" s="4" t="str">
        <f>IF('Raw Data'!L245="","No Coupon",'Raw Data'!L245)</f>
        <v>FREESHIP</v>
      </c>
      <c r="M245" s="4" t="str">
        <f>'Raw Data'!M245</f>
        <v>Google</v>
      </c>
      <c r="N245" s="4">
        <f>'Raw Data'!N245</f>
        <v>289.32</v>
      </c>
    </row>
    <row r="246" spans="1:14" ht="15" customHeight="1" x14ac:dyDescent="0.2">
      <c r="A246" s="4" t="str">
        <f>'Raw Data'!A246</f>
        <v>ORD200244</v>
      </c>
      <c r="B246" s="6">
        <f>'Raw Data'!B246</f>
        <v>44973</v>
      </c>
      <c r="C246" s="4" t="str">
        <f>'Raw Data'!C246</f>
        <v>C98096</v>
      </c>
      <c r="D246" s="4" t="str">
        <f>'Raw Data'!D246</f>
        <v>Desk</v>
      </c>
      <c r="E246" s="4">
        <f>'Raw Data'!E246</f>
        <v>2</v>
      </c>
      <c r="F246" s="4">
        <f>'Raw Data'!F246</f>
        <v>317.77</v>
      </c>
      <c r="G246" s="4" t="str">
        <f>'Raw Data'!G246</f>
        <v>838 Main St</v>
      </c>
      <c r="H246" s="4" t="str">
        <f>'Raw Data'!H246</f>
        <v>Debit Card</v>
      </c>
      <c r="I246" s="4" t="str">
        <f>'Raw Data'!I246</f>
        <v>Cancelled</v>
      </c>
      <c r="J246" s="4" t="str">
        <f>'Raw Data'!J246</f>
        <v>TRK51518631</v>
      </c>
      <c r="K246" s="4">
        <f>'Raw Data'!K246</f>
        <v>4</v>
      </c>
      <c r="L246" s="4" t="str">
        <f>IF('Raw Data'!L246="","No Coupon",'Raw Data'!L246)</f>
        <v>WINTER15</v>
      </c>
      <c r="M246" s="4" t="str">
        <f>'Raw Data'!M246</f>
        <v>Facebook</v>
      </c>
      <c r="N246" s="4">
        <f>'Raw Data'!N246</f>
        <v>635.54</v>
      </c>
    </row>
    <row r="247" spans="1:14" ht="15" customHeight="1" x14ac:dyDescent="0.2">
      <c r="A247" s="4" t="str">
        <f>'Raw Data'!A247</f>
        <v>ORD200245</v>
      </c>
      <c r="B247" s="6">
        <f>'Raw Data'!B247</f>
        <v>45767</v>
      </c>
      <c r="C247" s="4" t="str">
        <f>'Raw Data'!C247</f>
        <v>C12667</v>
      </c>
      <c r="D247" s="4" t="str">
        <f>'Raw Data'!D247</f>
        <v>Laptop</v>
      </c>
      <c r="E247" s="4">
        <f>'Raw Data'!E247</f>
        <v>1</v>
      </c>
      <c r="F247" s="4">
        <f>'Raw Data'!F247</f>
        <v>223.3</v>
      </c>
      <c r="G247" s="4" t="str">
        <f>'Raw Data'!G247</f>
        <v>306 Main St</v>
      </c>
      <c r="H247" s="4" t="str">
        <f>'Raw Data'!H247</f>
        <v>Online</v>
      </c>
      <c r="I247" s="4" t="str">
        <f>'Raw Data'!I247</f>
        <v>Returned</v>
      </c>
      <c r="J247" s="4" t="str">
        <f>'Raw Data'!J247</f>
        <v>TRK25390491</v>
      </c>
      <c r="K247" s="4">
        <f>'Raw Data'!K247</f>
        <v>1</v>
      </c>
      <c r="L247" s="4" t="str">
        <f>IF('Raw Data'!L247="","No Coupon",'Raw Data'!L247)</f>
        <v>No Coupon</v>
      </c>
      <c r="M247" s="4" t="str">
        <f>'Raw Data'!M247</f>
        <v>Facebook</v>
      </c>
      <c r="N247" s="4">
        <f>'Raw Data'!N247</f>
        <v>223.3</v>
      </c>
    </row>
    <row r="248" spans="1:14" ht="15" customHeight="1" x14ac:dyDescent="0.2">
      <c r="A248" s="4" t="str">
        <f>'Raw Data'!A248</f>
        <v>ORD200246</v>
      </c>
      <c r="B248" s="6">
        <f>'Raw Data'!B248</f>
        <v>45534</v>
      </c>
      <c r="C248" s="4" t="str">
        <f>'Raw Data'!C248</f>
        <v>C55354</v>
      </c>
      <c r="D248" s="4" t="str">
        <f>'Raw Data'!D248</f>
        <v>Desk</v>
      </c>
      <c r="E248" s="4">
        <f>'Raw Data'!E248</f>
        <v>2</v>
      </c>
      <c r="F248" s="4">
        <f>'Raw Data'!F248</f>
        <v>342.11</v>
      </c>
      <c r="G248" s="4" t="str">
        <f>'Raw Data'!G248</f>
        <v>164 Main St</v>
      </c>
      <c r="H248" s="4" t="str">
        <f>'Raw Data'!H248</f>
        <v>Gift Card</v>
      </c>
      <c r="I248" s="4" t="str">
        <f>'Raw Data'!I248</f>
        <v>Shipped</v>
      </c>
      <c r="J248" s="4" t="str">
        <f>'Raw Data'!J248</f>
        <v>TRK15439493</v>
      </c>
      <c r="K248" s="4">
        <f>'Raw Data'!K248</f>
        <v>2</v>
      </c>
      <c r="L248" s="4" t="str">
        <f>IF('Raw Data'!L248="","No Coupon",'Raw Data'!L248)</f>
        <v>WINTER15</v>
      </c>
      <c r="M248" s="4" t="str">
        <f>'Raw Data'!M248</f>
        <v>Instagram</v>
      </c>
      <c r="N248" s="4">
        <f>'Raw Data'!N248</f>
        <v>684.22</v>
      </c>
    </row>
    <row r="249" spans="1:14" ht="15" customHeight="1" x14ac:dyDescent="0.2">
      <c r="A249" s="4" t="str">
        <f>'Raw Data'!A249</f>
        <v>ORD200247</v>
      </c>
      <c r="B249" s="6">
        <f>'Raw Data'!B249</f>
        <v>45127</v>
      </c>
      <c r="C249" s="4" t="str">
        <f>'Raw Data'!C249</f>
        <v>C14600</v>
      </c>
      <c r="D249" s="4" t="str">
        <f>'Raw Data'!D249</f>
        <v>Printer</v>
      </c>
      <c r="E249" s="4">
        <f>'Raw Data'!E249</f>
        <v>2</v>
      </c>
      <c r="F249" s="4">
        <f>'Raw Data'!F249</f>
        <v>220.9</v>
      </c>
      <c r="G249" s="4" t="str">
        <f>'Raw Data'!G249</f>
        <v>785 Main St</v>
      </c>
      <c r="H249" s="4" t="str">
        <f>'Raw Data'!H249</f>
        <v>Gift Card</v>
      </c>
      <c r="I249" s="4" t="str">
        <f>'Raw Data'!I249</f>
        <v>Shipped</v>
      </c>
      <c r="J249" s="4" t="str">
        <f>'Raw Data'!J249</f>
        <v>TRK84984764</v>
      </c>
      <c r="K249" s="4">
        <f>'Raw Data'!K249</f>
        <v>4</v>
      </c>
      <c r="L249" s="4" t="str">
        <f>IF('Raw Data'!L249="","No Coupon",'Raw Data'!L249)</f>
        <v>No Coupon</v>
      </c>
      <c r="M249" s="4" t="str">
        <f>'Raw Data'!M249</f>
        <v>Email</v>
      </c>
      <c r="N249" s="4">
        <f>'Raw Data'!N249</f>
        <v>441.8</v>
      </c>
    </row>
    <row r="250" spans="1:14" ht="15" customHeight="1" x14ac:dyDescent="0.2">
      <c r="A250" s="4" t="str">
        <f>'Raw Data'!A250</f>
        <v>ORD200248</v>
      </c>
      <c r="B250" s="6">
        <f>'Raw Data'!B250</f>
        <v>45109</v>
      </c>
      <c r="C250" s="4" t="str">
        <f>'Raw Data'!C250</f>
        <v>C97187</v>
      </c>
      <c r="D250" s="4" t="str">
        <f>'Raw Data'!D250</f>
        <v>Laptop</v>
      </c>
      <c r="E250" s="4">
        <f>'Raw Data'!E250</f>
        <v>1</v>
      </c>
      <c r="F250" s="4">
        <f>'Raw Data'!F250</f>
        <v>670.54</v>
      </c>
      <c r="G250" s="4" t="str">
        <f>'Raw Data'!G250</f>
        <v>471 Main St</v>
      </c>
      <c r="H250" s="4" t="str">
        <f>'Raw Data'!H250</f>
        <v>Cash</v>
      </c>
      <c r="I250" s="4" t="str">
        <f>'Raw Data'!I250</f>
        <v>Shipped</v>
      </c>
      <c r="J250" s="4" t="str">
        <f>'Raw Data'!J250</f>
        <v>TRK62283713</v>
      </c>
      <c r="K250" s="4">
        <f>'Raw Data'!K250</f>
        <v>6</v>
      </c>
      <c r="L250" s="4" t="str">
        <f>IF('Raw Data'!L250="","No Coupon",'Raw Data'!L250)</f>
        <v>FREESHIP</v>
      </c>
      <c r="M250" s="4" t="str">
        <f>'Raw Data'!M250</f>
        <v>Referral</v>
      </c>
      <c r="N250" s="4">
        <f>'Raw Data'!N250</f>
        <v>670.54</v>
      </c>
    </row>
    <row r="251" spans="1:14" ht="15" customHeight="1" x14ac:dyDescent="0.2">
      <c r="A251" s="4" t="str">
        <f>'Raw Data'!A251</f>
        <v>ORD200249</v>
      </c>
      <c r="B251" s="6">
        <f>'Raw Data'!B251</f>
        <v>45329</v>
      </c>
      <c r="C251" s="4" t="str">
        <f>'Raw Data'!C251</f>
        <v>C39106</v>
      </c>
      <c r="D251" s="4" t="str">
        <f>'Raw Data'!D251</f>
        <v>Printer</v>
      </c>
      <c r="E251" s="4">
        <f>'Raw Data'!E251</f>
        <v>1</v>
      </c>
      <c r="F251" s="4">
        <f>'Raw Data'!F251</f>
        <v>546.19000000000005</v>
      </c>
      <c r="G251" s="4" t="str">
        <f>'Raw Data'!G251</f>
        <v>245 Main St</v>
      </c>
      <c r="H251" s="4" t="str">
        <f>'Raw Data'!H251</f>
        <v>Cash</v>
      </c>
      <c r="I251" s="4" t="str">
        <f>'Raw Data'!I251</f>
        <v>Pending</v>
      </c>
      <c r="J251" s="4" t="str">
        <f>'Raw Data'!J251</f>
        <v>TRK35464433</v>
      </c>
      <c r="K251" s="4">
        <f>'Raw Data'!K251</f>
        <v>5</v>
      </c>
      <c r="L251" s="4" t="str">
        <f>IF('Raw Data'!L251="","No Coupon",'Raw Data'!L251)</f>
        <v>FREESHIP</v>
      </c>
      <c r="M251" s="4" t="str">
        <f>'Raw Data'!M251</f>
        <v>Referral</v>
      </c>
      <c r="N251" s="4">
        <f>'Raw Data'!N251</f>
        <v>546.19000000000005</v>
      </c>
    </row>
    <row r="252" spans="1:14" ht="15" customHeight="1" x14ac:dyDescent="0.2">
      <c r="A252" s="4" t="str">
        <f>'Raw Data'!A252</f>
        <v>ORD200250</v>
      </c>
      <c r="B252" s="6">
        <f>'Raw Data'!B252</f>
        <v>45021</v>
      </c>
      <c r="C252" s="4" t="str">
        <f>'Raw Data'!C252</f>
        <v>C93379</v>
      </c>
      <c r="D252" s="4" t="str">
        <f>'Raw Data'!D252</f>
        <v>Desk</v>
      </c>
      <c r="E252" s="4">
        <f>'Raw Data'!E252</f>
        <v>3</v>
      </c>
      <c r="F252" s="4">
        <f>'Raw Data'!F252</f>
        <v>42.95</v>
      </c>
      <c r="G252" s="4" t="str">
        <f>'Raw Data'!G252</f>
        <v>318 Main St</v>
      </c>
      <c r="H252" s="4" t="str">
        <f>'Raw Data'!H252</f>
        <v>Gift Card</v>
      </c>
      <c r="I252" s="4" t="str">
        <f>'Raw Data'!I252</f>
        <v>Returned</v>
      </c>
      <c r="J252" s="4" t="str">
        <f>'Raw Data'!J252</f>
        <v>TRK67954150</v>
      </c>
      <c r="K252" s="4">
        <f>'Raw Data'!K252</f>
        <v>8</v>
      </c>
      <c r="L252" s="4" t="str">
        <f>IF('Raw Data'!L252="","No Coupon",'Raw Data'!L252)</f>
        <v>SAVE10</v>
      </c>
      <c r="M252" s="4" t="str">
        <f>'Raw Data'!M252</f>
        <v>Email</v>
      </c>
      <c r="N252" s="4">
        <f>'Raw Data'!N252</f>
        <v>128.85</v>
      </c>
    </row>
    <row r="253" spans="1:14" ht="15" customHeight="1" x14ac:dyDescent="0.2">
      <c r="A253" s="4" t="str">
        <f>'Raw Data'!A253</f>
        <v>ORD200251</v>
      </c>
      <c r="B253" s="6">
        <f>'Raw Data'!B253</f>
        <v>45792</v>
      </c>
      <c r="C253" s="4" t="str">
        <f>'Raw Data'!C253</f>
        <v>C93175</v>
      </c>
      <c r="D253" s="4" t="str">
        <f>'Raw Data'!D253</f>
        <v>Monitor</v>
      </c>
      <c r="E253" s="4">
        <f>'Raw Data'!E253</f>
        <v>4</v>
      </c>
      <c r="F253" s="4">
        <f>'Raw Data'!F253</f>
        <v>14.69</v>
      </c>
      <c r="G253" s="4" t="str">
        <f>'Raw Data'!G253</f>
        <v>814 Main St</v>
      </c>
      <c r="H253" s="4" t="str">
        <f>'Raw Data'!H253</f>
        <v>Cash</v>
      </c>
      <c r="I253" s="4" t="str">
        <f>'Raw Data'!I253</f>
        <v>Cancelled</v>
      </c>
      <c r="J253" s="4" t="str">
        <f>'Raw Data'!J253</f>
        <v>TRK32995144</v>
      </c>
      <c r="K253" s="4">
        <f>'Raw Data'!K253</f>
        <v>9</v>
      </c>
      <c r="L253" s="4" t="str">
        <f>IF('Raw Data'!L253="","No Coupon",'Raw Data'!L253)</f>
        <v>No Coupon</v>
      </c>
      <c r="M253" s="4" t="str">
        <f>'Raw Data'!M253</f>
        <v>Email</v>
      </c>
      <c r="N253" s="4">
        <f>'Raw Data'!N253</f>
        <v>58.76</v>
      </c>
    </row>
    <row r="254" spans="1:14" ht="15" customHeight="1" x14ac:dyDescent="0.2">
      <c r="A254" s="4" t="str">
        <f>'Raw Data'!A254</f>
        <v>ORD200252</v>
      </c>
      <c r="B254" s="6">
        <f>'Raw Data'!B254</f>
        <v>45555</v>
      </c>
      <c r="C254" s="4" t="str">
        <f>'Raw Data'!C254</f>
        <v>C19648</v>
      </c>
      <c r="D254" s="4" t="str">
        <f>'Raw Data'!D254</f>
        <v>Phone</v>
      </c>
      <c r="E254" s="4">
        <f>'Raw Data'!E254</f>
        <v>4</v>
      </c>
      <c r="F254" s="4">
        <f>'Raw Data'!F254</f>
        <v>668.36</v>
      </c>
      <c r="G254" s="4" t="str">
        <f>'Raw Data'!G254</f>
        <v>821 Main St</v>
      </c>
      <c r="H254" s="4" t="str">
        <f>'Raw Data'!H254</f>
        <v>Gift Card</v>
      </c>
      <c r="I254" s="4" t="str">
        <f>'Raw Data'!I254</f>
        <v>Cancelled</v>
      </c>
      <c r="J254" s="4" t="str">
        <f>'Raw Data'!J254</f>
        <v>TRK51297879</v>
      </c>
      <c r="K254" s="4">
        <f>'Raw Data'!K254</f>
        <v>5</v>
      </c>
      <c r="L254" s="4" t="str">
        <f>IF('Raw Data'!L254="","No Coupon",'Raw Data'!L254)</f>
        <v>FREESHIP</v>
      </c>
      <c r="M254" s="4" t="str">
        <f>'Raw Data'!M254</f>
        <v>Facebook</v>
      </c>
      <c r="N254" s="4">
        <f>'Raw Data'!N254</f>
        <v>2673.44</v>
      </c>
    </row>
    <row r="255" spans="1:14" ht="15" customHeight="1" x14ac:dyDescent="0.2">
      <c r="A255" s="4" t="str">
        <f>'Raw Data'!A255</f>
        <v>ORD200253</v>
      </c>
      <c r="B255" s="6">
        <f>'Raw Data'!B255</f>
        <v>45374</v>
      </c>
      <c r="C255" s="4" t="str">
        <f>'Raw Data'!C255</f>
        <v>C14891</v>
      </c>
      <c r="D255" s="4" t="str">
        <f>'Raw Data'!D255</f>
        <v>Chair</v>
      </c>
      <c r="E255" s="4">
        <f>'Raw Data'!E255</f>
        <v>4</v>
      </c>
      <c r="F255" s="4">
        <f>'Raw Data'!F255</f>
        <v>413.74</v>
      </c>
      <c r="G255" s="4" t="str">
        <f>'Raw Data'!G255</f>
        <v>743 Main St</v>
      </c>
      <c r="H255" s="4" t="str">
        <f>'Raw Data'!H255</f>
        <v>Gift Card</v>
      </c>
      <c r="I255" s="4" t="str">
        <f>'Raw Data'!I255</f>
        <v>Returned</v>
      </c>
      <c r="J255" s="4" t="str">
        <f>'Raw Data'!J255</f>
        <v>TRK79471534</v>
      </c>
      <c r="K255" s="4">
        <f>'Raw Data'!K255</f>
        <v>7</v>
      </c>
      <c r="L255" s="4" t="str">
        <f>IF('Raw Data'!L255="","No Coupon",'Raw Data'!L255)</f>
        <v>FREESHIP</v>
      </c>
      <c r="M255" s="4" t="str">
        <f>'Raw Data'!M255</f>
        <v>Instagram</v>
      </c>
      <c r="N255" s="4">
        <f>'Raw Data'!N255</f>
        <v>1654.96</v>
      </c>
    </row>
    <row r="256" spans="1:14" ht="15" customHeight="1" x14ac:dyDescent="0.2">
      <c r="A256" s="4" t="str">
        <f>'Raw Data'!A256</f>
        <v>ORD200254</v>
      </c>
      <c r="B256" s="6">
        <f>'Raw Data'!B256</f>
        <v>45286</v>
      </c>
      <c r="C256" s="4" t="str">
        <f>'Raw Data'!C256</f>
        <v>C10866</v>
      </c>
      <c r="D256" s="4" t="str">
        <f>'Raw Data'!D256</f>
        <v>Monitor</v>
      </c>
      <c r="E256" s="4">
        <f>'Raw Data'!E256</f>
        <v>3</v>
      </c>
      <c r="F256" s="4">
        <f>'Raw Data'!F256</f>
        <v>263.19</v>
      </c>
      <c r="G256" s="4" t="str">
        <f>'Raw Data'!G256</f>
        <v>770 Main St</v>
      </c>
      <c r="H256" s="4" t="str">
        <f>'Raw Data'!H256</f>
        <v>Online</v>
      </c>
      <c r="I256" s="4" t="str">
        <f>'Raw Data'!I256</f>
        <v>Delivered</v>
      </c>
      <c r="J256" s="4" t="str">
        <f>'Raw Data'!J256</f>
        <v>TRK34809583</v>
      </c>
      <c r="K256" s="4">
        <f>'Raw Data'!K256</f>
        <v>5</v>
      </c>
      <c r="L256" s="4" t="str">
        <f>IF('Raw Data'!L256="","No Coupon",'Raw Data'!L256)</f>
        <v>No Coupon</v>
      </c>
      <c r="M256" s="4" t="str">
        <f>'Raw Data'!M256</f>
        <v>Instagram</v>
      </c>
      <c r="N256" s="4">
        <f>'Raw Data'!N256</f>
        <v>789.57</v>
      </c>
    </row>
    <row r="257" spans="1:14" ht="15" customHeight="1" x14ac:dyDescent="0.2">
      <c r="A257" s="4" t="str">
        <f>'Raw Data'!A257</f>
        <v>ORD200255</v>
      </c>
      <c r="B257" s="6">
        <f>'Raw Data'!B257</f>
        <v>45425</v>
      </c>
      <c r="C257" s="4" t="str">
        <f>'Raw Data'!C257</f>
        <v>C47283</v>
      </c>
      <c r="D257" s="4" t="str">
        <f>'Raw Data'!D257</f>
        <v>Monitor</v>
      </c>
      <c r="E257" s="4">
        <f>'Raw Data'!E257</f>
        <v>1</v>
      </c>
      <c r="F257" s="4">
        <f>'Raw Data'!F257</f>
        <v>263.95999999999998</v>
      </c>
      <c r="G257" s="4" t="str">
        <f>'Raw Data'!G257</f>
        <v>806 Main St</v>
      </c>
      <c r="H257" s="4" t="str">
        <f>'Raw Data'!H257</f>
        <v>Gift Card</v>
      </c>
      <c r="I257" s="4" t="str">
        <f>'Raw Data'!I257</f>
        <v>Returned</v>
      </c>
      <c r="J257" s="4" t="str">
        <f>'Raw Data'!J257</f>
        <v>TRK56235117</v>
      </c>
      <c r="K257" s="4">
        <f>'Raw Data'!K257</f>
        <v>2</v>
      </c>
      <c r="L257" s="4" t="str">
        <f>IF('Raw Data'!L257="","No Coupon",'Raw Data'!L257)</f>
        <v>SAVE10</v>
      </c>
      <c r="M257" s="4" t="str">
        <f>'Raw Data'!M257</f>
        <v>Google</v>
      </c>
      <c r="N257" s="4">
        <f>'Raw Data'!N257</f>
        <v>263.95999999999998</v>
      </c>
    </row>
    <row r="258" spans="1:14" ht="15" customHeight="1" x14ac:dyDescent="0.2">
      <c r="A258" s="4" t="str">
        <f>'Raw Data'!A258</f>
        <v>ORD200256</v>
      </c>
      <c r="B258" s="6">
        <f>'Raw Data'!B258</f>
        <v>45838</v>
      </c>
      <c r="C258" s="4" t="str">
        <f>'Raw Data'!C258</f>
        <v>C94323</v>
      </c>
      <c r="D258" s="4" t="str">
        <f>'Raw Data'!D258</f>
        <v>Chair</v>
      </c>
      <c r="E258" s="4">
        <f>'Raw Data'!E258</f>
        <v>5</v>
      </c>
      <c r="F258" s="4">
        <f>'Raw Data'!F258</f>
        <v>75.81</v>
      </c>
      <c r="G258" s="4" t="str">
        <f>'Raw Data'!G258</f>
        <v>463 Main St</v>
      </c>
      <c r="H258" s="4" t="str">
        <f>'Raw Data'!H258</f>
        <v>Gift Card</v>
      </c>
      <c r="I258" s="4" t="str">
        <f>'Raw Data'!I258</f>
        <v>Returned</v>
      </c>
      <c r="J258" s="4" t="str">
        <f>'Raw Data'!J258</f>
        <v>TRK22663277</v>
      </c>
      <c r="K258" s="4">
        <f>'Raw Data'!K258</f>
        <v>10</v>
      </c>
      <c r="L258" s="4" t="str">
        <f>IF('Raw Data'!L258="","No Coupon",'Raw Data'!L258)</f>
        <v>WINTER15</v>
      </c>
      <c r="M258" s="4" t="str">
        <f>'Raw Data'!M258</f>
        <v>Instagram</v>
      </c>
      <c r="N258" s="4">
        <f>'Raw Data'!N258</f>
        <v>379.05</v>
      </c>
    </row>
    <row r="259" spans="1:14" ht="15" customHeight="1" x14ac:dyDescent="0.2">
      <c r="A259" s="4" t="str">
        <f>'Raw Data'!A259</f>
        <v>ORD200257</v>
      </c>
      <c r="B259" s="6">
        <f>'Raw Data'!B259</f>
        <v>45405</v>
      </c>
      <c r="C259" s="4" t="str">
        <f>'Raw Data'!C259</f>
        <v>C89732</v>
      </c>
      <c r="D259" s="4" t="str">
        <f>'Raw Data'!D259</f>
        <v>Phone</v>
      </c>
      <c r="E259" s="4">
        <f>'Raw Data'!E259</f>
        <v>1</v>
      </c>
      <c r="F259" s="4">
        <f>'Raw Data'!F259</f>
        <v>406.22</v>
      </c>
      <c r="G259" s="4" t="str">
        <f>'Raw Data'!G259</f>
        <v>712 Main St</v>
      </c>
      <c r="H259" s="4" t="str">
        <f>'Raw Data'!H259</f>
        <v>Credit Card</v>
      </c>
      <c r="I259" s="4" t="str">
        <f>'Raw Data'!I259</f>
        <v>Cancelled</v>
      </c>
      <c r="J259" s="4" t="str">
        <f>'Raw Data'!J259</f>
        <v>TRK41059233</v>
      </c>
      <c r="K259" s="4">
        <f>'Raw Data'!K259</f>
        <v>5</v>
      </c>
      <c r="L259" s="4" t="str">
        <f>IF('Raw Data'!L259="","No Coupon",'Raw Data'!L259)</f>
        <v>SAVE10</v>
      </c>
      <c r="M259" s="4" t="str">
        <f>'Raw Data'!M259</f>
        <v>Referral</v>
      </c>
      <c r="N259" s="4">
        <f>'Raw Data'!N259</f>
        <v>406.22</v>
      </c>
    </row>
    <row r="260" spans="1:14" ht="15" customHeight="1" x14ac:dyDescent="0.2">
      <c r="A260" s="4" t="str">
        <f>'Raw Data'!A260</f>
        <v>ORD200258</v>
      </c>
      <c r="B260" s="6">
        <f>'Raw Data'!B260</f>
        <v>45348</v>
      </c>
      <c r="C260" s="4" t="str">
        <f>'Raw Data'!C260</f>
        <v>C87764</v>
      </c>
      <c r="D260" s="4" t="str">
        <f>'Raw Data'!D260</f>
        <v>Tablet</v>
      </c>
      <c r="E260" s="4">
        <f>'Raw Data'!E260</f>
        <v>2</v>
      </c>
      <c r="F260" s="4">
        <f>'Raw Data'!F260</f>
        <v>103.41</v>
      </c>
      <c r="G260" s="4" t="str">
        <f>'Raw Data'!G260</f>
        <v>294 Main St</v>
      </c>
      <c r="H260" s="4" t="str">
        <f>'Raw Data'!H260</f>
        <v>Online</v>
      </c>
      <c r="I260" s="4" t="str">
        <f>'Raw Data'!I260</f>
        <v>Shipped</v>
      </c>
      <c r="J260" s="4" t="str">
        <f>'Raw Data'!J260</f>
        <v>TRK94082469</v>
      </c>
      <c r="K260" s="4">
        <f>'Raw Data'!K260</f>
        <v>2</v>
      </c>
      <c r="L260" s="4" t="str">
        <f>IF('Raw Data'!L260="","No Coupon",'Raw Data'!L260)</f>
        <v>FREESHIP</v>
      </c>
      <c r="M260" s="4" t="str">
        <f>'Raw Data'!M260</f>
        <v>Referral</v>
      </c>
      <c r="N260" s="4">
        <f>'Raw Data'!N260</f>
        <v>206.82</v>
      </c>
    </row>
    <row r="261" spans="1:14" ht="15" customHeight="1" x14ac:dyDescent="0.2">
      <c r="A261" s="4" t="str">
        <f>'Raw Data'!A261</f>
        <v>ORD200259</v>
      </c>
      <c r="B261" s="6">
        <f>'Raw Data'!B261</f>
        <v>45088</v>
      </c>
      <c r="C261" s="4" t="str">
        <f>'Raw Data'!C261</f>
        <v>C20977</v>
      </c>
      <c r="D261" s="4" t="str">
        <f>'Raw Data'!D261</f>
        <v>Chair</v>
      </c>
      <c r="E261" s="4">
        <f>'Raw Data'!E261</f>
        <v>4</v>
      </c>
      <c r="F261" s="4">
        <f>'Raw Data'!F261</f>
        <v>435.12</v>
      </c>
      <c r="G261" s="4" t="str">
        <f>'Raw Data'!G261</f>
        <v>636 Main St</v>
      </c>
      <c r="H261" s="4" t="str">
        <f>'Raw Data'!H261</f>
        <v>Credit Card</v>
      </c>
      <c r="I261" s="4" t="str">
        <f>'Raw Data'!I261</f>
        <v>Delivered</v>
      </c>
      <c r="J261" s="4" t="str">
        <f>'Raw Data'!J261</f>
        <v>TRK54991561</v>
      </c>
      <c r="K261" s="4">
        <f>'Raw Data'!K261</f>
        <v>9</v>
      </c>
      <c r="L261" s="4" t="str">
        <f>IF('Raw Data'!L261="","No Coupon",'Raw Data'!L261)</f>
        <v>SAVE10</v>
      </c>
      <c r="M261" s="4" t="str">
        <f>'Raw Data'!M261</f>
        <v>Instagram</v>
      </c>
      <c r="N261" s="4">
        <f>'Raw Data'!N261</f>
        <v>1740.48</v>
      </c>
    </row>
    <row r="262" spans="1:14" ht="15" customHeight="1" x14ac:dyDescent="0.2">
      <c r="A262" s="4" t="str">
        <f>'Raw Data'!A262</f>
        <v>ORD200260</v>
      </c>
      <c r="B262" s="6">
        <f>'Raw Data'!B262</f>
        <v>45063</v>
      </c>
      <c r="C262" s="4" t="str">
        <f>'Raw Data'!C262</f>
        <v>C12245</v>
      </c>
      <c r="D262" s="4" t="str">
        <f>'Raw Data'!D262</f>
        <v>Monitor</v>
      </c>
      <c r="E262" s="4">
        <f>'Raw Data'!E262</f>
        <v>2</v>
      </c>
      <c r="F262" s="4">
        <f>'Raw Data'!F262</f>
        <v>407.79</v>
      </c>
      <c r="G262" s="4" t="str">
        <f>'Raw Data'!G262</f>
        <v>153 Main St</v>
      </c>
      <c r="H262" s="4" t="str">
        <f>'Raw Data'!H262</f>
        <v>Debit Card</v>
      </c>
      <c r="I262" s="4" t="str">
        <f>'Raw Data'!I262</f>
        <v>Shipped</v>
      </c>
      <c r="J262" s="4" t="str">
        <f>'Raw Data'!J262</f>
        <v>TRK22000463</v>
      </c>
      <c r="K262" s="4">
        <f>'Raw Data'!K262</f>
        <v>3</v>
      </c>
      <c r="L262" s="4" t="str">
        <f>IF('Raw Data'!L262="","No Coupon",'Raw Data'!L262)</f>
        <v>No Coupon</v>
      </c>
      <c r="M262" s="4" t="str">
        <f>'Raw Data'!M262</f>
        <v>Google</v>
      </c>
      <c r="N262" s="4">
        <f>'Raw Data'!N262</f>
        <v>815.58</v>
      </c>
    </row>
    <row r="263" spans="1:14" ht="15" customHeight="1" x14ac:dyDescent="0.2">
      <c r="A263" s="4" t="str">
        <f>'Raw Data'!A263</f>
        <v>ORD200261</v>
      </c>
      <c r="B263" s="6">
        <f>'Raw Data'!B263</f>
        <v>45805</v>
      </c>
      <c r="C263" s="4" t="str">
        <f>'Raw Data'!C263</f>
        <v>C68976</v>
      </c>
      <c r="D263" s="4" t="str">
        <f>'Raw Data'!D263</f>
        <v>Phone</v>
      </c>
      <c r="E263" s="4">
        <f>'Raw Data'!E263</f>
        <v>5</v>
      </c>
      <c r="F263" s="4">
        <f>'Raw Data'!F263</f>
        <v>173.65</v>
      </c>
      <c r="G263" s="4" t="str">
        <f>'Raw Data'!G263</f>
        <v>460 Main St</v>
      </c>
      <c r="H263" s="4" t="str">
        <f>'Raw Data'!H263</f>
        <v>Gift Card</v>
      </c>
      <c r="I263" s="4" t="str">
        <f>'Raw Data'!I263</f>
        <v>Delivered</v>
      </c>
      <c r="J263" s="4" t="str">
        <f>'Raw Data'!J263</f>
        <v>TRK25491356</v>
      </c>
      <c r="K263" s="4">
        <f>'Raw Data'!K263</f>
        <v>9</v>
      </c>
      <c r="L263" s="4" t="str">
        <f>IF('Raw Data'!L263="","No Coupon",'Raw Data'!L263)</f>
        <v>SAVE10</v>
      </c>
      <c r="M263" s="4" t="str">
        <f>'Raw Data'!M263</f>
        <v>Email</v>
      </c>
      <c r="N263" s="4">
        <f>'Raw Data'!N263</f>
        <v>868.25</v>
      </c>
    </row>
    <row r="264" spans="1:14" ht="15" customHeight="1" x14ac:dyDescent="0.2">
      <c r="A264" s="4" t="str">
        <f>'Raw Data'!A264</f>
        <v>ORD200262</v>
      </c>
      <c r="B264" s="6">
        <f>'Raw Data'!B264</f>
        <v>44936</v>
      </c>
      <c r="C264" s="4" t="str">
        <f>'Raw Data'!C264</f>
        <v>C69476</v>
      </c>
      <c r="D264" s="4" t="str">
        <f>'Raw Data'!D264</f>
        <v>Phone</v>
      </c>
      <c r="E264" s="4">
        <f>'Raw Data'!E264</f>
        <v>4</v>
      </c>
      <c r="F264" s="4">
        <f>'Raw Data'!F264</f>
        <v>249.07</v>
      </c>
      <c r="G264" s="4" t="str">
        <f>'Raw Data'!G264</f>
        <v>642 Main St</v>
      </c>
      <c r="H264" s="4" t="str">
        <f>'Raw Data'!H264</f>
        <v>Credit Card</v>
      </c>
      <c r="I264" s="4" t="str">
        <f>'Raw Data'!I264</f>
        <v>Returned</v>
      </c>
      <c r="J264" s="4" t="str">
        <f>'Raw Data'!J264</f>
        <v>TRK65869386</v>
      </c>
      <c r="K264" s="4">
        <f>'Raw Data'!K264</f>
        <v>5</v>
      </c>
      <c r="L264" s="4" t="str">
        <f>IF('Raw Data'!L264="","No Coupon",'Raw Data'!L264)</f>
        <v>WINTER15</v>
      </c>
      <c r="M264" s="4" t="str">
        <f>'Raw Data'!M264</f>
        <v>Referral</v>
      </c>
      <c r="N264" s="4">
        <f>'Raw Data'!N264</f>
        <v>996.28</v>
      </c>
    </row>
    <row r="265" spans="1:14" ht="15" customHeight="1" x14ac:dyDescent="0.2">
      <c r="A265" s="4" t="str">
        <f>'Raw Data'!A265</f>
        <v>ORD200263</v>
      </c>
      <c r="B265" s="6">
        <f>'Raw Data'!B265</f>
        <v>45010</v>
      </c>
      <c r="C265" s="4" t="str">
        <f>'Raw Data'!C265</f>
        <v>C71040</v>
      </c>
      <c r="D265" s="4" t="str">
        <f>'Raw Data'!D265</f>
        <v>Phone</v>
      </c>
      <c r="E265" s="4">
        <f>'Raw Data'!E265</f>
        <v>4</v>
      </c>
      <c r="F265" s="4">
        <f>'Raw Data'!F265</f>
        <v>434.85</v>
      </c>
      <c r="G265" s="4" t="str">
        <f>'Raw Data'!G265</f>
        <v>250 Main St</v>
      </c>
      <c r="H265" s="4" t="str">
        <f>'Raw Data'!H265</f>
        <v>Credit Card</v>
      </c>
      <c r="I265" s="4" t="str">
        <f>'Raw Data'!I265</f>
        <v>Pending</v>
      </c>
      <c r="J265" s="4" t="str">
        <f>'Raw Data'!J265</f>
        <v>TRK41397604</v>
      </c>
      <c r="K265" s="4">
        <f>'Raw Data'!K265</f>
        <v>4</v>
      </c>
      <c r="L265" s="4" t="str">
        <f>IF('Raw Data'!L265="","No Coupon",'Raw Data'!L265)</f>
        <v>WINTER15</v>
      </c>
      <c r="M265" s="4" t="str">
        <f>'Raw Data'!M265</f>
        <v>Google</v>
      </c>
      <c r="N265" s="4">
        <f>'Raw Data'!N265</f>
        <v>1739.4</v>
      </c>
    </row>
    <row r="266" spans="1:14" ht="15" customHeight="1" x14ac:dyDescent="0.2">
      <c r="A266" s="4" t="str">
        <f>'Raw Data'!A266</f>
        <v>ORD200264</v>
      </c>
      <c r="B266" s="6">
        <f>'Raw Data'!B266</f>
        <v>45507</v>
      </c>
      <c r="C266" s="4" t="str">
        <f>'Raw Data'!C266</f>
        <v>C71035</v>
      </c>
      <c r="D266" s="4" t="str">
        <f>'Raw Data'!D266</f>
        <v>Tablet</v>
      </c>
      <c r="E266" s="4">
        <f>'Raw Data'!E266</f>
        <v>1</v>
      </c>
      <c r="F266" s="4">
        <f>'Raw Data'!F266</f>
        <v>436.77</v>
      </c>
      <c r="G266" s="4" t="str">
        <f>'Raw Data'!G266</f>
        <v>977 Main St</v>
      </c>
      <c r="H266" s="4" t="str">
        <f>'Raw Data'!H266</f>
        <v>Cash</v>
      </c>
      <c r="I266" s="4" t="str">
        <f>'Raw Data'!I266</f>
        <v>Returned</v>
      </c>
      <c r="J266" s="4" t="str">
        <f>'Raw Data'!J266</f>
        <v>TRK19599578</v>
      </c>
      <c r="K266" s="4">
        <f>'Raw Data'!K266</f>
        <v>5</v>
      </c>
      <c r="L266" s="4" t="str">
        <f>IF('Raw Data'!L266="","No Coupon",'Raw Data'!L266)</f>
        <v>FREESHIP</v>
      </c>
      <c r="M266" s="4" t="str">
        <f>'Raw Data'!M266</f>
        <v>Google</v>
      </c>
      <c r="N266" s="4">
        <f>'Raw Data'!N266</f>
        <v>436.77</v>
      </c>
    </row>
    <row r="267" spans="1:14" ht="15" customHeight="1" x14ac:dyDescent="0.2">
      <c r="A267" s="4" t="str">
        <f>'Raw Data'!A267</f>
        <v>ORD200265</v>
      </c>
      <c r="B267" s="6">
        <f>'Raw Data'!B267</f>
        <v>45282</v>
      </c>
      <c r="C267" s="4" t="str">
        <f>'Raw Data'!C267</f>
        <v>C20752</v>
      </c>
      <c r="D267" s="4" t="str">
        <f>'Raw Data'!D267</f>
        <v>Printer</v>
      </c>
      <c r="E267" s="4">
        <f>'Raw Data'!E267</f>
        <v>1</v>
      </c>
      <c r="F267" s="4">
        <f>'Raw Data'!F267</f>
        <v>572.13</v>
      </c>
      <c r="G267" s="4" t="str">
        <f>'Raw Data'!G267</f>
        <v>150 Main St</v>
      </c>
      <c r="H267" s="4" t="str">
        <f>'Raw Data'!H267</f>
        <v>Debit Card</v>
      </c>
      <c r="I267" s="4" t="str">
        <f>'Raw Data'!I267</f>
        <v>Cancelled</v>
      </c>
      <c r="J267" s="4" t="str">
        <f>'Raw Data'!J267</f>
        <v>TRK22298450</v>
      </c>
      <c r="K267" s="4">
        <f>'Raw Data'!K267</f>
        <v>4</v>
      </c>
      <c r="L267" s="4" t="str">
        <f>IF('Raw Data'!L267="","No Coupon",'Raw Data'!L267)</f>
        <v>SAVE10</v>
      </c>
      <c r="M267" s="4" t="str">
        <f>'Raw Data'!M267</f>
        <v>Google</v>
      </c>
      <c r="N267" s="4">
        <f>'Raw Data'!N267</f>
        <v>572.13</v>
      </c>
    </row>
    <row r="268" spans="1:14" ht="15" customHeight="1" x14ac:dyDescent="0.2">
      <c r="A268" s="4" t="str">
        <f>'Raw Data'!A268</f>
        <v>ORD200266</v>
      </c>
      <c r="B268" s="6">
        <f>'Raw Data'!B268</f>
        <v>45451</v>
      </c>
      <c r="C268" s="4" t="str">
        <f>'Raw Data'!C268</f>
        <v>C38840</v>
      </c>
      <c r="D268" s="4" t="str">
        <f>'Raw Data'!D268</f>
        <v>Chair</v>
      </c>
      <c r="E268" s="4">
        <f>'Raw Data'!E268</f>
        <v>4</v>
      </c>
      <c r="F268" s="4">
        <f>'Raw Data'!F268</f>
        <v>583.07000000000005</v>
      </c>
      <c r="G268" s="4" t="str">
        <f>'Raw Data'!G268</f>
        <v>589 Main St</v>
      </c>
      <c r="H268" s="4" t="str">
        <f>'Raw Data'!H268</f>
        <v>Credit Card</v>
      </c>
      <c r="I268" s="4" t="str">
        <f>'Raw Data'!I268</f>
        <v>Cancelled</v>
      </c>
      <c r="J268" s="4" t="str">
        <f>'Raw Data'!J268</f>
        <v>TRK48484633</v>
      </c>
      <c r="K268" s="4">
        <f>'Raw Data'!K268</f>
        <v>6</v>
      </c>
      <c r="L268" s="4" t="str">
        <f>IF('Raw Data'!L268="","No Coupon",'Raw Data'!L268)</f>
        <v>FREESHIP</v>
      </c>
      <c r="M268" s="4" t="str">
        <f>'Raw Data'!M268</f>
        <v>Referral</v>
      </c>
      <c r="N268" s="4">
        <f>'Raw Data'!N268</f>
        <v>2332.2800000000002</v>
      </c>
    </row>
    <row r="269" spans="1:14" ht="15" customHeight="1" x14ac:dyDescent="0.2">
      <c r="A269" s="4" t="str">
        <f>'Raw Data'!A269</f>
        <v>ORD200267</v>
      </c>
      <c r="B269" s="6">
        <f>'Raw Data'!B269</f>
        <v>45764</v>
      </c>
      <c r="C269" s="4" t="str">
        <f>'Raw Data'!C269</f>
        <v>C84480</v>
      </c>
      <c r="D269" s="4" t="str">
        <f>'Raw Data'!D269</f>
        <v>Chair</v>
      </c>
      <c r="E269" s="4">
        <f>'Raw Data'!E269</f>
        <v>5</v>
      </c>
      <c r="F269" s="4">
        <f>'Raw Data'!F269</f>
        <v>468.51</v>
      </c>
      <c r="G269" s="4" t="str">
        <f>'Raw Data'!G269</f>
        <v>803 Main St</v>
      </c>
      <c r="H269" s="4" t="str">
        <f>'Raw Data'!H269</f>
        <v>Debit Card</v>
      </c>
      <c r="I269" s="4" t="str">
        <f>'Raw Data'!I269</f>
        <v>Delivered</v>
      </c>
      <c r="J269" s="4" t="str">
        <f>'Raw Data'!J269</f>
        <v>TRK62361867</v>
      </c>
      <c r="K269" s="4">
        <f>'Raw Data'!K269</f>
        <v>9</v>
      </c>
      <c r="L269" s="4" t="str">
        <f>IF('Raw Data'!L269="","No Coupon",'Raw Data'!L269)</f>
        <v>No Coupon</v>
      </c>
      <c r="M269" s="4" t="str">
        <f>'Raw Data'!M269</f>
        <v>Facebook</v>
      </c>
      <c r="N269" s="4">
        <f>'Raw Data'!N269</f>
        <v>2342.5500000000002</v>
      </c>
    </row>
    <row r="270" spans="1:14" ht="15" customHeight="1" x14ac:dyDescent="0.2">
      <c r="A270" s="4" t="str">
        <f>'Raw Data'!A270</f>
        <v>ORD200268</v>
      </c>
      <c r="B270" s="6">
        <f>'Raw Data'!B270</f>
        <v>45149</v>
      </c>
      <c r="C270" s="4" t="str">
        <f>'Raw Data'!C270</f>
        <v>C37032</v>
      </c>
      <c r="D270" s="4" t="str">
        <f>'Raw Data'!D270</f>
        <v>Phone</v>
      </c>
      <c r="E270" s="4">
        <f>'Raw Data'!E270</f>
        <v>2</v>
      </c>
      <c r="F270" s="4">
        <f>'Raw Data'!F270</f>
        <v>423.88</v>
      </c>
      <c r="G270" s="4" t="str">
        <f>'Raw Data'!G270</f>
        <v>655 Main St</v>
      </c>
      <c r="H270" s="4" t="str">
        <f>'Raw Data'!H270</f>
        <v>Debit Card</v>
      </c>
      <c r="I270" s="4" t="str">
        <f>'Raw Data'!I270</f>
        <v>Delivered</v>
      </c>
      <c r="J270" s="4" t="str">
        <f>'Raw Data'!J270</f>
        <v>TRK48639226</v>
      </c>
      <c r="K270" s="4">
        <f>'Raw Data'!K270</f>
        <v>7</v>
      </c>
      <c r="L270" s="4" t="str">
        <f>IF('Raw Data'!L270="","No Coupon",'Raw Data'!L270)</f>
        <v>SAVE10</v>
      </c>
      <c r="M270" s="4" t="str">
        <f>'Raw Data'!M270</f>
        <v>Referral</v>
      </c>
      <c r="N270" s="4">
        <f>'Raw Data'!N270</f>
        <v>847.76</v>
      </c>
    </row>
    <row r="271" spans="1:14" ht="15" customHeight="1" x14ac:dyDescent="0.2">
      <c r="A271" s="4" t="str">
        <f>'Raw Data'!A271</f>
        <v>ORD200269</v>
      </c>
      <c r="B271" s="6">
        <f>'Raw Data'!B271</f>
        <v>45255</v>
      </c>
      <c r="C271" s="4" t="str">
        <f>'Raw Data'!C271</f>
        <v>C48942</v>
      </c>
      <c r="D271" s="4" t="str">
        <f>'Raw Data'!D271</f>
        <v>Tablet</v>
      </c>
      <c r="E271" s="4">
        <f>'Raw Data'!E271</f>
        <v>4</v>
      </c>
      <c r="F271" s="4">
        <f>'Raw Data'!F271</f>
        <v>663.67</v>
      </c>
      <c r="G271" s="4" t="str">
        <f>'Raw Data'!G271</f>
        <v>129 Main St</v>
      </c>
      <c r="H271" s="4" t="str">
        <f>'Raw Data'!H271</f>
        <v>Credit Card</v>
      </c>
      <c r="I271" s="4" t="str">
        <f>'Raw Data'!I271</f>
        <v>Pending</v>
      </c>
      <c r="J271" s="4" t="str">
        <f>'Raw Data'!J271</f>
        <v>TRK29355120</v>
      </c>
      <c r="K271" s="4">
        <f>'Raw Data'!K271</f>
        <v>7</v>
      </c>
      <c r="L271" s="4" t="str">
        <f>IF('Raw Data'!L271="","No Coupon",'Raw Data'!L271)</f>
        <v>FREESHIP</v>
      </c>
      <c r="M271" s="4" t="str">
        <f>'Raw Data'!M271</f>
        <v>Google</v>
      </c>
      <c r="N271" s="4">
        <f>'Raw Data'!N271</f>
        <v>2654.68</v>
      </c>
    </row>
    <row r="272" spans="1:14" ht="15" customHeight="1" x14ac:dyDescent="0.2">
      <c r="A272" s="4" t="str">
        <f>'Raw Data'!A272</f>
        <v>ORD200270</v>
      </c>
      <c r="B272" s="6">
        <f>'Raw Data'!B272</f>
        <v>45081</v>
      </c>
      <c r="C272" s="4" t="str">
        <f>'Raw Data'!C272</f>
        <v>C13540</v>
      </c>
      <c r="D272" s="4" t="str">
        <f>'Raw Data'!D272</f>
        <v>Printer</v>
      </c>
      <c r="E272" s="4">
        <f>'Raw Data'!E272</f>
        <v>4</v>
      </c>
      <c r="F272" s="4">
        <f>'Raw Data'!F272</f>
        <v>309.91000000000003</v>
      </c>
      <c r="G272" s="4" t="str">
        <f>'Raw Data'!G272</f>
        <v>127 Main St</v>
      </c>
      <c r="H272" s="4" t="str">
        <f>'Raw Data'!H272</f>
        <v>Debit Card</v>
      </c>
      <c r="I272" s="4" t="str">
        <f>'Raw Data'!I272</f>
        <v>Shipped</v>
      </c>
      <c r="J272" s="4" t="str">
        <f>'Raw Data'!J272</f>
        <v>TRK81087373</v>
      </c>
      <c r="K272" s="4">
        <f>'Raw Data'!K272</f>
        <v>5</v>
      </c>
      <c r="L272" s="4" t="str">
        <f>IF('Raw Data'!L272="","No Coupon",'Raw Data'!L272)</f>
        <v>WINTER15</v>
      </c>
      <c r="M272" s="4" t="str">
        <f>'Raw Data'!M272</f>
        <v>Google</v>
      </c>
      <c r="N272" s="4">
        <f>'Raw Data'!N272</f>
        <v>1239.6400000000001</v>
      </c>
    </row>
    <row r="273" spans="1:14" ht="15" customHeight="1" x14ac:dyDescent="0.2">
      <c r="A273" s="4" t="str">
        <f>'Raw Data'!A273</f>
        <v>ORD200271</v>
      </c>
      <c r="B273" s="6">
        <f>'Raw Data'!B273</f>
        <v>45013</v>
      </c>
      <c r="C273" s="4" t="str">
        <f>'Raw Data'!C273</f>
        <v>C59572</v>
      </c>
      <c r="D273" s="4" t="str">
        <f>'Raw Data'!D273</f>
        <v>Monitor</v>
      </c>
      <c r="E273" s="4">
        <f>'Raw Data'!E273</f>
        <v>1</v>
      </c>
      <c r="F273" s="4">
        <f>'Raw Data'!F273</f>
        <v>542.07000000000005</v>
      </c>
      <c r="G273" s="4" t="str">
        <f>'Raw Data'!G273</f>
        <v>791 Main St</v>
      </c>
      <c r="H273" s="4" t="str">
        <f>'Raw Data'!H273</f>
        <v>Cash</v>
      </c>
      <c r="I273" s="4" t="str">
        <f>'Raw Data'!I273</f>
        <v>Shipped</v>
      </c>
      <c r="J273" s="4" t="str">
        <f>'Raw Data'!J273</f>
        <v>TRK16792991</v>
      </c>
      <c r="K273" s="4">
        <f>'Raw Data'!K273</f>
        <v>6</v>
      </c>
      <c r="L273" s="4" t="str">
        <f>IF('Raw Data'!L273="","No Coupon",'Raw Data'!L273)</f>
        <v>WINTER15</v>
      </c>
      <c r="M273" s="4" t="str">
        <f>'Raw Data'!M273</f>
        <v>Referral</v>
      </c>
      <c r="N273" s="4">
        <f>'Raw Data'!N273</f>
        <v>542.07000000000005</v>
      </c>
    </row>
    <row r="274" spans="1:14" ht="15" customHeight="1" x14ac:dyDescent="0.2">
      <c r="A274" s="4" t="str">
        <f>'Raw Data'!A274</f>
        <v>ORD200272</v>
      </c>
      <c r="B274" s="6">
        <f>'Raw Data'!B274</f>
        <v>45188</v>
      </c>
      <c r="C274" s="4" t="str">
        <f>'Raw Data'!C274</f>
        <v>C29758</v>
      </c>
      <c r="D274" s="4" t="str">
        <f>'Raw Data'!D274</f>
        <v>Chair</v>
      </c>
      <c r="E274" s="4">
        <f>'Raw Data'!E274</f>
        <v>2</v>
      </c>
      <c r="F274" s="4">
        <f>'Raw Data'!F274</f>
        <v>399.32</v>
      </c>
      <c r="G274" s="4" t="str">
        <f>'Raw Data'!G274</f>
        <v>119 Main St</v>
      </c>
      <c r="H274" s="4" t="str">
        <f>'Raw Data'!H274</f>
        <v>Online</v>
      </c>
      <c r="I274" s="4" t="str">
        <f>'Raw Data'!I274</f>
        <v>Pending</v>
      </c>
      <c r="J274" s="4" t="str">
        <f>'Raw Data'!J274</f>
        <v>TRK12990043</v>
      </c>
      <c r="K274" s="4">
        <f>'Raw Data'!K274</f>
        <v>6</v>
      </c>
      <c r="L274" s="4" t="str">
        <f>IF('Raw Data'!L274="","No Coupon",'Raw Data'!L274)</f>
        <v>WINTER15</v>
      </c>
      <c r="M274" s="4" t="str">
        <f>'Raw Data'!M274</f>
        <v>Instagram</v>
      </c>
      <c r="N274" s="4">
        <f>'Raw Data'!N274</f>
        <v>798.64</v>
      </c>
    </row>
    <row r="275" spans="1:14" ht="15" customHeight="1" x14ac:dyDescent="0.2">
      <c r="A275" s="4" t="str">
        <f>'Raw Data'!A275</f>
        <v>ORD200273</v>
      </c>
      <c r="B275" s="6">
        <f>'Raw Data'!B275</f>
        <v>45592</v>
      </c>
      <c r="C275" s="4" t="str">
        <f>'Raw Data'!C275</f>
        <v>C11849</v>
      </c>
      <c r="D275" s="4" t="str">
        <f>'Raw Data'!D275</f>
        <v>Tablet</v>
      </c>
      <c r="E275" s="4">
        <f>'Raw Data'!E275</f>
        <v>2</v>
      </c>
      <c r="F275" s="4">
        <f>'Raw Data'!F275</f>
        <v>238.25</v>
      </c>
      <c r="G275" s="4" t="str">
        <f>'Raw Data'!G275</f>
        <v>974 Main St</v>
      </c>
      <c r="H275" s="4" t="str">
        <f>'Raw Data'!H275</f>
        <v>Online</v>
      </c>
      <c r="I275" s="4" t="str">
        <f>'Raw Data'!I275</f>
        <v>Cancelled</v>
      </c>
      <c r="J275" s="4" t="str">
        <f>'Raw Data'!J275</f>
        <v>TRK91195261</v>
      </c>
      <c r="K275" s="4">
        <f>'Raw Data'!K275</f>
        <v>7</v>
      </c>
      <c r="L275" s="4" t="str">
        <f>IF('Raw Data'!L275="","No Coupon",'Raw Data'!L275)</f>
        <v>FREESHIP</v>
      </c>
      <c r="M275" s="4" t="str">
        <f>'Raw Data'!M275</f>
        <v>Email</v>
      </c>
      <c r="N275" s="4">
        <f>'Raw Data'!N275</f>
        <v>476.5</v>
      </c>
    </row>
    <row r="276" spans="1:14" ht="15" customHeight="1" x14ac:dyDescent="0.2">
      <c r="A276" s="4" t="str">
        <f>'Raw Data'!A276</f>
        <v>ORD200274</v>
      </c>
      <c r="B276" s="6">
        <f>'Raw Data'!B276</f>
        <v>44961</v>
      </c>
      <c r="C276" s="4" t="str">
        <f>'Raw Data'!C276</f>
        <v>C50967</v>
      </c>
      <c r="D276" s="4" t="str">
        <f>'Raw Data'!D276</f>
        <v>Phone</v>
      </c>
      <c r="E276" s="4">
        <f>'Raw Data'!E276</f>
        <v>2</v>
      </c>
      <c r="F276" s="4">
        <f>'Raw Data'!F276</f>
        <v>182.4</v>
      </c>
      <c r="G276" s="4" t="str">
        <f>'Raw Data'!G276</f>
        <v>884 Main St</v>
      </c>
      <c r="H276" s="4" t="str">
        <f>'Raw Data'!H276</f>
        <v>Gift Card</v>
      </c>
      <c r="I276" s="4" t="str">
        <f>'Raw Data'!I276</f>
        <v>Cancelled</v>
      </c>
      <c r="J276" s="4" t="str">
        <f>'Raw Data'!J276</f>
        <v>TRK65300814</v>
      </c>
      <c r="K276" s="4">
        <f>'Raw Data'!K276</f>
        <v>5</v>
      </c>
      <c r="L276" s="4" t="str">
        <f>IF('Raw Data'!L276="","No Coupon",'Raw Data'!L276)</f>
        <v>SAVE10</v>
      </c>
      <c r="M276" s="4" t="str">
        <f>'Raw Data'!M276</f>
        <v>Referral</v>
      </c>
      <c r="N276" s="4">
        <f>'Raw Data'!N276</f>
        <v>364.8</v>
      </c>
    </row>
    <row r="277" spans="1:14" ht="15" customHeight="1" x14ac:dyDescent="0.2">
      <c r="A277" s="4" t="str">
        <f>'Raw Data'!A277</f>
        <v>ORD200275</v>
      </c>
      <c r="B277" s="6">
        <f>'Raw Data'!B277</f>
        <v>45234</v>
      </c>
      <c r="C277" s="4" t="str">
        <f>'Raw Data'!C277</f>
        <v>C80735</v>
      </c>
      <c r="D277" s="4" t="str">
        <f>'Raw Data'!D277</f>
        <v>Chair</v>
      </c>
      <c r="E277" s="4">
        <f>'Raw Data'!E277</f>
        <v>2</v>
      </c>
      <c r="F277" s="4">
        <f>'Raw Data'!F277</f>
        <v>65.069999999999993</v>
      </c>
      <c r="G277" s="4" t="str">
        <f>'Raw Data'!G277</f>
        <v>360 Main St</v>
      </c>
      <c r="H277" s="4" t="str">
        <f>'Raw Data'!H277</f>
        <v>Credit Card</v>
      </c>
      <c r="I277" s="4" t="str">
        <f>'Raw Data'!I277</f>
        <v>Cancelled</v>
      </c>
      <c r="J277" s="4" t="str">
        <f>'Raw Data'!J277</f>
        <v>TRK99880231</v>
      </c>
      <c r="K277" s="4">
        <f>'Raw Data'!K277</f>
        <v>4</v>
      </c>
      <c r="L277" s="4" t="str">
        <f>IF('Raw Data'!L277="","No Coupon",'Raw Data'!L277)</f>
        <v>SAVE10</v>
      </c>
      <c r="M277" s="4" t="str">
        <f>'Raw Data'!M277</f>
        <v>Google</v>
      </c>
      <c r="N277" s="4">
        <f>'Raw Data'!N277</f>
        <v>130.13999999999999</v>
      </c>
    </row>
    <row r="278" spans="1:14" ht="15" customHeight="1" x14ac:dyDescent="0.2">
      <c r="A278" s="4" t="str">
        <f>'Raw Data'!A278</f>
        <v>ORD200276</v>
      </c>
      <c r="B278" s="6">
        <f>'Raw Data'!B278</f>
        <v>45745</v>
      </c>
      <c r="C278" s="4" t="str">
        <f>'Raw Data'!C278</f>
        <v>C99050</v>
      </c>
      <c r="D278" s="4" t="str">
        <f>'Raw Data'!D278</f>
        <v>Printer</v>
      </c>
      <c r="E278" s="4">
        <f>'Raw Data'!E278</f>
        <v>2</v>
      </c>
      <c r="F278" s="4">
        <f>'Raw Data'!F278</f>
        <v>600.57000000000005</v>
      </c>
      <c r="G278" s="4" t="str">
        <f>'Raw Data'!G278</f>
        <v>654 Main St</v>
      </c>
      <c r="H278" s="4" t="str">
        <f>'Raw Data'!H278</f>
        <v>Debit Card</v>
      </c>
      <c r="I278" s="4" t="str">
        <f>'Raw Data'!I278</f>
        <v>Returned</v>
      </c>
      <c r="J278" s="4" t="str">
        <f>'Raw Data'!J278</f>
        <v>TRK56927089</v>
      </c>
      <c r="K278" s="4">
        <f>'Raw Data'!K278</f>
        <v>3</v>
      </c>
      <c r="L278" s="4" t="str">
        <f>IF('Raw Data'!L278="","No Coupon",'Raw Data'!L278)</f>
        <v>WINTER15</v>
      </c>
      <c r="M278" s="4" t="str">
        <f>'Raw Data'!M278</f>
        <v>Instagram</v>
      </c>
      <c r="N278" s="4">
        <f>'Raw Data'!N278</f>
        <v>1201.1400000000001</v>
      </c>
    </row>
    <row r="279" spans="1:14" ht="15" customHeight="1" x14ac:dyDescent="0.2">
      <c r="A279" s="4" t="str">
        <f>'Raw Data'!A279</f>
        <v>ORD200277</v>
      </c>
      <c r="B279" s="6">
        <f>'Raw Data'!B279</f>
        <v>45544</v>
      </c>
      <c r="C279" s="4" t="str">
        <f>'Raw Data'!C279</f>
        <v>C11210</v>
      </c>
      <c r="D279" s="4" t="str">
        <f>'Raw Data'!D279</f>
        <v>Chair</v>
      </c>
      <c r="E279" s="4">
        <f>'Raw Data'!E279</f>
        <v>5</v>
      </c>
      <c r="F279" s="4">
        <f>'Raw Data'!F279</f>
        <v>90.92</v>
      </c>
      <c r="G279" s="4" t="str">
        <f>'Raw Data'!G279</f>
        <v>910 Main St</v>
      </c>
      <c r="H279" s="4" t="str">
        <f>'Raw Data'!H279</f>
        <v>Credit Card</v>
      </c>
      <c r="I279" s="4" t="str">
        <f>'Raw Data'!I279</f>
        <v>Delivered</v>
      </c>
      <c r="J279" s="4" t="str">
        <f>'Raw Data'!J279</f>
        <v>TRK44929965</v>
      </c>
      <c r="K279" s="4">
        <f>'Raw Data'!K279</f>
        <v>9</v>
      </c>
      <c r="L279" s="4" t="str">
        <f>IF('Raw Data'!L279="","No Coupon",'Raw Data'!L279)</f>
        <v>SAVE10</v>
      </c>
      <c r="M279" s="4" t="str">
        <f>'Raw Data'!M279</f>
        <v>Facebook</v>
      </c>
      <c r="N279" s="4">
        <f>'Raw Data'!N279</f>
        <v>454.6</v>
      </c>
    </row>
    <row r="280" spans="1:14" ht="15" customHeight="1" x14ac:dyDescent="0.2">
      <c r="A280" s="4" t="str">
        <f>'Raw Data'!A280</f>
        <v>ORD200278</v>
      </c>
      <c r="B280" s="6">
        <f>'Raw Data'!B280</f>
        <v>45614</v>
      </c>
      <c r="C280" s="4" t="str">
        <f>'Raw Data'!C280</f>
        <v>C46015</v>
      </c>
      <c r="D280" s="4" t="str">
        <f>'Raw Data'!D280</f>
        <v>Laptop</v>
      </c>
      <c r="E280" s="4">
        <f>'Raw Data'!E280</f>
        <v>5</v>
      </c>
      <c r="F280" s="4">
        <f>'Raw Data'!F280</f>
        <v>362.46</v>
      </c>
      <c r="G280" s="4" t="str">
        <f>'Raw Data'!G280</f>
        <v>299 Main St</v>
      </c>
      <c r="H280" s="4" t="str">
        <f>'Raw Data'!H280</f>
        <v>Cash</v>
      </c>
      <c r="I280" s="4" t="str">
        <f>'Raw Data'!I280</f>
        <v>Delivered</v>
      </c>
      <c r="J280" s="4" t="str">
        <f>'Raw Data'!J280</f>
        <v>TRK46598430</v>
      </c>
      <c r="K280" s="4">
        <f>'Raw Data'!K280</f>
        <v>6</v>
      </c>
      <c r="L280" s="4" t="str">
        <f>IF('Raw Data'!L280="","No Coupon",'Raw Data'!L280)</f>
        <v>FREESHIP</v>
      </c>
      <c r="M280" s="4" t="str">
        <f>'Raw Data'!M280</f>
        <v>Instagram</v>
      </c>
      <c r="N280" s="4">
        <f>'Raw Data'!N280</f>
        <v>1812.3</v>
      </c>
    </row>
    <row r="281" spans="1:14" ht="15" customHeight="1" x14ac:dyDescent="0.2">
      <c r="A281" s="4" t="str">
        <f>'Raw Data'!A281</f>
        <v>ORD200279</v>
      </c>
      <c r="B281" s="6">
        <f>'Raw Data'!B281</f>
        <v>45219</v>
      </c>
      <c r="C281" s="4" t="str">
        <f>'Raw Data'!C281</f>
        <v>C69167</v>
      </c>
      <c r="D281" s="4" t="str">
        <f>'Raw Data'!D281</f>
        <v>Chair</v>
      </c>
      <c r="E281" s="4">
        <f>'Raw Data'!E281</f>
        <v>3</v>
      </c>
      <c r="F281" s="4">
        <f>'Raw Data'!F281</f>
        <v>55.01</v>
      </c>
      <c r="G281" s="4" t="str">
        <f>'Raw Data'!G281</f>
        <v>263 Main St</v>
      </c>
      <c r="H281" s="4" t="str">
        <f>'Raw Data'!H281</f>
        <v>Online</v>
      </c>
      <c r="I281" s="4" t="str">
        <f>'Raw Data'!I281</f>
        <v>Pending</v>
      </c>
      <c r="J281" s="4" t="str">
        <f>'Raw Data'!J281</f>
        <v>TRK12425655</v>
      </c>
      <c r="K281" s="4">
        <f>'Raw Data'!K281</f>
        <v>7</v>
      </c>
      <c r="L281" s="4" t="str">
        <f>IF('Raw Data'!L281="","No Coupon",'Raw Data'!L281)</f>
        <v>WINTER15</v>
      </c>
      <c r="M281" s="4" t="str">
        <f>'Raw Data'!M281</f>
        <v>Email</v>
      </c>
      <c r="N281" s="4">
        <f>'Raw Data'!N281</f>
        <v>165.03</v>
      </c>
    </row>
    <row r="282" spans="1:14" ht="15" customHeight="1" x14ac:dyDescent="0.2">
      <c r="A282" s="4" t="str">
        <f>'Raw Data'!A282</f>
        <v>ORD200280</v>
      </c>
      <c r="B282" s="6">
        <f>'Raw Data'!B282</f>
        <v>45012</v>
      </c>
      <c r="C282" s="4" t="str">
        <f>'Raw Data'!C282</f>
        <v>C55388</v>
      </c>
      <c r="D282" s="4" t="str">
        <f>'Raw Data'!D282</f>
        <v>Tablet</v>
      </c>
      <c r="E282" s="4">
        <f>'Raw Data'!E282</f>
        <v>3</v>
      </c>
      <c r="F282" s="4">
        <f>'Raw Data'!F282</f>
        <v>404.62</v>
      </c>
      <c r="G282" s="4" t="str">
        <f>'Raw Data'!G282</f>
        <v>740 Main St</v>
      </c>
      <c r="H282" s="4" t="str">
        <f>'Raw Data'!H282</f>
        <v>Gift Card</v>
      </c>
      <c r="I282" s="4" t="str">
        <f>'Raw Data'!I282</f>
        <v>Delivered</v>
      </c>
      <c r="J282" s="4" t="str">
        <f>'Raw Data'!J282</f>
        <v>TRK75741001</v>
      </c>
      <c r="K282" s="4">
        <f>'Raw Data'!K282</f>
        <v>6</v>
      </c>
      <c r="L282" s="4" t="str">
        <f>IF('Raw Data'!L282="","No Coupon",'Raw Data'!L282)</f>
        <v>FREESHIP</v>
      </c>
      <c r="M282" s="4" t="str">
        <f>'Raw Data'!M282</f>
        <v>Instagram</v>
      </c>
      <c r="N282" s="4">
        <f>'Raw Data'!N282</f>
        <v>1213.8599999999999</v>
      </c>
    </row>
    <row r="283" spans="1:14" ht="15" customHeight="1" x14ac:dyDescent="0.2">
      <c r="A283" s="4" t="str">
        <f>'Raw Data'!A283</f>
        <v>ORD200281</v>
      </c>
      <c r="B283" s="6">
        <f>'Raw Data'!B283</f>
        <v>45134</v>
      </c>
      <c r="C283" s="4" t="str">
        <f>'Raw Data'!C283</f>
        <v>C87181</v>
      </c>
      <c r="D283" s="4" t="str">
        <f>'Raw Data'!D283</f>
        <v>Desk</v>
      </c>
      <c r="E283" s="4">
        <f>'Raw Data'!E283</f>
        <v>4</v>
      </c>
      <c r="F283" s="4">
        <f>'Raw Data'!F283</f>
        <v>654.79</v>
      </c>
      <c r="G283" s="4" t="str">
        <f>'Raw Data'!G283</f>
        <v>195 Main St</v>
      </c>
      <c r="H283" s="4" t="str">
        <f>'Raw Data'!H283</f>
        <v>Cash</v>
      </c>
      <c r="I283" s="4" t="str">
        <f>'Raw Data'!I283</f>
        <v>Pending</v>
      </c>
      <c r="J283" s="4" t="str">
        <f>'Raw Data'!J283</f>
        <v>TRK60093390</v>
      </c>
      <c r="K283" s="4">
        <f>'Raw Data'!K283</f>
        <v>9</v>
      </c>
      <c r="L283" s="4" t="str">
        <f>IF('Raw Data'!L283="","No Coupon",'Raw Data'!L283)</f>
        <v>No Coupon</v>
      </c>
      <c r="M283" s="4" t="str">
        <f>'Raw Data'!M283</f>
        <v>Referral</v>
      </c>
      <c r="N283" s="4">
        <f>'Raw Data'!N283</f>
        <v>2619.16</v>
      </c>
    </row>
    <row r="284" spans="1:14" ht="15" customHeight="1" x14ac:dyDescent="0.2">
      <c r="A284" s="4" t="str">
        <f>'Raw Data'!A284</f>
        <v>ORD200282</v>
      </c>
      <c r="B284" s="6">
        <f>'Raw Data'!B284</f>
        <v>45769</v>
      </c>
      <c r="C284" s="4" t="str">
        <f>'Raw Data'!C284</f>
        <v>C30411</v>
      </c>
      <c r="D284" s="4" t="str">
        <f>'Raw Data'!D284</f>
        <v>Printer</v>
      </c>
      <c r="E284" s="4">
        <f>'Raw Data'!E284</f>
        <v>4</v>
      </c>
      <c r="F284" s="4">
        <f>'Raw Data'!F284</f>
        <v>637.79</v>
      </c>
      <c r="G284" s="4" t="str">
        <f>'Raw Data'!G284</f>
        <v>375 Main St</v>
      </c>
      <c r="H284" s="4" t="str">
        <f>'Raw Data'!H284</f>
        <v>Gift Card</v>
      </c>
      <c r="I284" s="4" t="str">
        <f>'Raw Data'!I284</f>
        <v>Cancelled</v>
      </c>
      <c r="J284" s="4" t="str">
        <f>'Raw Data'!J284</f>
        <v>TRK71810536</v>
      </c>
      <c r="K284" s="4">
        <f>'Raw Data'!K284</f>
        <v>9</v>
      </c>
      <c r="L284" s="4" t="str">
        <f>IF('Raw Data'!L284="","No Coupon",'Raw Data'!L284)</f>
        <v>FREESHIP</v>
      </c>
      <c r="M284" s="4" t="str">
        <f>'Raw Data'!M284</f>
        <v>Google</v>
      </c>
      <c r="N284" s="4">
        <f>'Raw Data'!N284</f>
        <v>2551.16</v>
      </c>
    </row>
    <row r="285" spans="1:14" ht="15" customHeight="1" x14ac:dyDescent="0.2">
      <c r="A285" s="4" t="str">
        <f>'Raw Data'!A285</f>
        <v>ORD200283</v>
      </c>
      <c r="B285" s="6">
        <f>'Raw Data'!B285</f>
        <v>45716</v>
      </c>
      <c r="C285" s="4" t="str">
        <f>'Raw Data'!C285</f>
        <v>C39638</v>
      </c>
      <c r="D285" s="4" t="str">
        <f>'Raw Data'!D285</f>
        <v>Laptop</v>
      </c>
      <c r="E285" s="4">
        <f>'Raw Data'!E285</f>
        <v>4</v>
      </c>
      <c r="F285" s="4">
        <f>'Raw Data'!F285</f>
        <v>540.33000000000004</v>
      </c>
      <c r="G285" s="4" t="str">
        <f>'Raw Data'!G285</f>
        <v>990 Main St</v>
      </c>
      <c r="H285" s="4" t="str">
        <f>'Raw Data'!H285</f>
        <v>Cash</v>
      </c>
      <c r="I285" s="4" t="str">
        <f>'Raw Data'!I285</f>
        <v>Shipped</v>
      </c>
      <c r="J285" s="4" t="str">
        <f>'Raw Data'!J285</f>
        <v>TRK69745608</v>
      </c>
      <c r="K285" s="4">
        <f>'Raw Data'!K285</f>
        <v>6</v>
      </c>
      <c r="L285" s="4" t="str">
        <f>IF('Raw Data'!L285="","No Coupon",'Raw Data'!L285)</f>
        <v>No Coupon</v>
      </c>
      <c r="M285" s="4" t="str">
        <f>'Raw Data'!M285</f>
        <v>Google</v>
      </c>
      <c r="N285" s="4">
        <f>'Raw Data'!N285</f>
        <v>2161.3200000000002</v>
      </c>
    </row>
    <row r="286" spans="1:14" ht="15" customHeight="1" x14ac:dyDescent="0.2">
      <c r="A286" s="4" t="str">
        <f>'Raw Data'!A286</f>
        <v>ORD200284</v>
      </c>
      <c r="B286" s="6">
        <f>'Raw Data'!B286</f>
        <v>44973</v>
      </c>
      <c r="C286" s="4" t="str">
        <f>'Raw Data'!C286</f>
        <v>C27203</v>
      </c>
      <c r="D286" s="4" t="str">
        <f>'Raw Data'!D286</f>
        <v>Laptop</v>
      </c>
      <c r="E286" s="4">
        <f>'Raw Data'!E286</f>
        <v>5</v>
      </c>
      <c r="F286" s="4">
        <f>'Raw Data'!F286</f>
        <v>208.17</v>
      </c>
      <c r="G286" s="4" t="str">
        <f>'Raw Data'!G286</f>
        <v>516 Main St</v>
      </c>
      <c r="H286" s="4" t="str">
        <f>'Raw Data'!H286</f>
        <v>Credit Card</v>
      </c>
      <c r="I286" s="4" t="str">
        <f>'Raw Data'!I286</f>
        <v>Returned</v>
      </c>
      <c r="J286" s="4" t="str">
        <f>'Raw Data'!J286</f>
        <v>TRK22023906</v>
      </c>
      <c r="K286" s="4">
        <f>'Raw Data'!K286</f>
        <v>6</v>
      </c>
      <c r="L286" s="4" t="str">
        <f>IF('Raw Data'!L286="","No Coupon",'Raw Data'!L286)</f>
        <v>SAVE10</v>
      </c>
      <c r="M286" s="4" t="str">
        <f>'Raw Data'!M286</f>
        <v>Facebook</v>
      </c>
      <c r="N286" s="4">
        <f>'Raw Data'!N286</f>
        <v>1040.8499999999999</v>
      </c>
    </row>
    <row r="287" spans="1:14" ht="15" customHeight="1" x14ac:dyDescent="0.2">
      <c r="A287" s="4" t="str">
        <f>'Raw Data'!A287</f>
        <v>ORD200285</v>
      </c>
      <c r="B287" s="6">
        <f>'Raw Data'!B287</f>
        <v>45818</v>
      </c>
      <c r="C287" s="4" t="str">
        <f>'Raw Data'!C287</f>
        <v>C67583</v>
      </c>
      <c r="D287" s="4" t="str">
        <f>'Raw Data'!D287</f>
        <v>Phone</v>
      </c>
      <c r="E287" s="4">
        <f>'Raw Data'!E287</f>
        <v>1</v>
      </c>
      <c r="F287" s="4">
        <f>'Raw Data'!F287</f>
        <v>338.31</v>
      </c>
      <c r="G287" s="4" t="str">
        <f>'Raw Data'!G287</f>
        <v>974 Main St</v>
      </c>
      <c r="H287" s="4" t="str">
        <f>'Raw Data'!H287</f>
        <v>Online</v>
      </c>
      <c r="I287" s="4" t="str">
        <f>'Raw Data'!I287</f>
        <v>Delivered</v>
      </c>
      <c r="J287" s="4" t="str">
        <f>'Raw Data'!J287</f>
        <v>TRK93281700</v>
      </c>
      <c r="K287" s="4">
        <f>'Raw Data'!K287</f>
        <v>3</v>
      </c>
      <c r="L287" s="4" t="str">
        <f>IF('Raw Data'!L287="","No Coupon",'Raw Data'!L287)</f>
        <v>No Coupon</v>
      </c>
      <c r="M287" s="4" t="str">
        <f>'Raw Data'!M287</f>
        <v>Google</v>
      </c>
      <c r="N287" s="4">
        <f>'Raw Data'!N287</f>
        <v>338.31</v>
      </c>
    </row>
    <row r="288" spans="1:14" ht="15" customHeight="1" x14ac:dyDescent="0.2">
      <c r="A288" s="4" t="str">
        <f>'Raw Data'!A288</f>
        <v>ORD200286</v>
      </c>
      <c r="B288" s="6">
        <f>'Raw Data'!B288</f>
        <v>45754</v>
      </c>
      <c r="C288" s="4" t="str">
        <f>'Raw Data'!C288</f>
        <v>C70554</v>
      </c>
      <c r="D288" s="4" t="str">
        <f>'Raw Data'!D288</f>
        <v>Monitor</v>
      </c>
      <c r="E288" s="4">
        <f>'Raw Data'!E288</f>
        <v>3</v>
      </c>
      <c r="F288" s="4">
        <f>'Raw Data'!F288</f>
        <v>139.44999999999999</v>
      </c>
      <c r="G288" s="4" t="str">
        <f>'Raw Data'!G288</f>
        <v>187 Main St</v>
      </c>
      <c r="H288" s="4" t="str">
        <f>'Raw Data'!H288</f>
        <v>Gift Card</v>
      </c>
      <c r="I288" s="4" t="str">
        <f>'Raw Data'!I288</f>
        <v>Returned</v>
      </c>
      <c r="J288" s="4" t="str">
        <f>'Raw Data'!J288</f>
        <v>TRK61086952</v>
      </c>
      <c r="K288" s="4">
        <f>'Raw Data'!K288</f>
        <v>8</v>
      </c>
      <c r="L288" s="4" t="str">
        <f>IF('Raw Data'!L288="","No Coupon",'Raw Data'!L288)</f>
        <v>WINTER15</v>
      </c>
      <c r="M288" s="4" t="str">
        <f>'Raw Data'!M288</f>
        <v>Google</v>
      </c>
      <c r="N288" s="4">
        <f>'Raw Data'!N288</f>
        <v>418.35</v>
      </c>
    </row>
    <row r="289" spans="1:14" ht="15" customHeight="1" x14ac:dyDescent="0.2">
      <c r="A289" s="4" t="str">
        <f>'Raw Data'!A289</f>
        <v>ORD200287</v>
      </c>
      <c r="B289" s="6">
        <f>'Raw Data'!B289</f>
        <v>45254</v>
      </c>
      <c r="C289" s="4" t="str">
        <f>'Raw Data'!C289</f>
        <v>C70437</v>
      </c>
      <c r="D289" s="4" t="str">
        <f>'Raw Data'!D289</f>
        <v>Chair</v>
      </c>
      <c r="E289" s="4">
        <f>'Raw Data'!E289</f>
        <v>4</v>
      </c>
      <c r="F289" s="4">
        <f>'Raw Data'!F289</f>
        <v>655.17999999999995</v>
      </c>
      <c r="G289" s="4" t="str">
        <f>'Raw Data'!G289</f>
        <v>630 Main St</v>
      </c>
      <c r="H289" s="4" t="str">
        <f>'Raw Data'!H289</f>
        <v>Online</v>
      </c>
      <c r="I289" s="4" t="str">
        <f>'Raw Data'!I289</f>
        <v>Shipped</v>
      </c>
      <c r="J289" s="4" t="str">
        <f>'Raw Data'!J289</f>
        <v>TRK26628830</v>
      </c>
      <c r="K289" s="4">
        <f>'Raw Data'!K289</f>
        <v>5</v>
      </c>
      <c r="L289" s="4" t="str">
        <f>IF('Raw Data'!L289="","No Coupon",'Raw Data'!L289)</f>
        <v>No Coupon</v>
      </c>
      <c r="M289" s="4" t="str">
        <f>'Raw Data'!M289</f>
        <v>Facebook</v>
      </c>
      <c r="N289" s="4">
        <f>'Raw Data'!N289</f>
        <v>2620.7199999999998</v>
      </c>
    </row>
    <row r="290" spans="1:14" ht="15" customHeight="1" x14ac:dyDescent="0.2">
      <c r="A290" s="4" t="str">
        <f>'Raw Data'!A290</f>
        <v>ORD200288</v>
      </c>
      <c r="B290" s="6">
        <f>'Raw Data'!B290</f>
        <v>44997</v>
      </c>
      <c r="C290" s="4" t="str">
        <f>'Raw Data'!C290</f>
        <v>C97643</v>
      </c>
      <c r="D290" s="4" t="str">
        <f>'Raw Data'!D290</f>
        <v>Laptop</v>
      </c>
      <c r="E290" s="4">
        <f>'Raw Data'!E290</f>
        <v>4</v>
      </c>
      <c r="F290" s="4">
        <f>'Raw Data'!F290</f>
        <v>512.75</v>
      </c>
      <c r="G290" s="4" t="str">
        <f>'Raw Data'!G290</f>
        <v>537 Main St</v>
      </c>
      <c r="H290" s="4" t="str">
        <f>'Raw Data'!H290</f>
        <v>Debit Card</v>
      </c>
      <c r="I290" s="4" t="str">
        <f>'Raw Data'!I290</f>
        <v>Returned</v>
      </c>
      <c r="J290" s="4" t="str">
        <f>'Raw Data'!J290</f>
        <v>TRK60831391</v>
      </c>
      <c r="K290" s="4">
        <f>'Raw Data'!K290</f>
        <v>8</v>
      </c>
      <c r="L290" s="4" t="str">
        <f>IF('Raw Data'!L290="","No Coupon",'Raw Data'!L290)</f>
        <v>WINTER15</v>
      </c>
      <c r="M290" s="4" t="str">
        <f>'Raw Data'!M290</f>
        <v>Google</v>
      </c>
      <c r="N290" s="4">
        <f>'Raw Data'!N290</f>
        <v>2051</v>
      </c>
    </row>
    <row r="291" spans="1:14" ht="15" customHeight="1" x14ac:dyDescent="0.2">
      <c r="A291" s="4" t="str">
        <f>'Raw Data'!A291</f>
        <v>ORD200289</v>
      </c>
      <c r="B291" s="6">
        <f>'Raw Data'!B291</f>
        <v>45133</v>
      </c>
      <c r="C291" s="4" t="str">
        <f>'Raw Data'!C291</f>
        <v>C17136</v>
      </c>
      <c r="D291" s="4" t="str">
        <f>'Raw Data'!D291</f>
        <v>Chair</v>
      </c>
      <c r="E291" s="4">
        <f>'Raw Data'!E291</f>
        <v>4</v>
      </c>
      <c r="F291" s="4">
        <f>'Raw Data'!F291</f>
        <v>160.49</v>
      </c>
      <c r="G291" s="4" t="str">
        <f>'Raw Data'!G291</f>
        <v>333 Main St</v>
      </c>
      <c r="H291" s="4" t="str">
        <f>'Raw Data'!H291</f>
        <v>Credit Card</v>
      </c>
      <c r="I291" s="4" t="str">
        <f>'Raw Data'!I291</f>
        <v>Shipped</v>
      </c>
      <c r="J291" s="4" t="str">
        <f>'Raw Data'!J291</f>
        <v>TRK55362541</v>
      </c>
      <c r="K291" s="4">
        <f>'Raw Data'!K291</f>
        <v>8</v>
      </c>
      <c r="L291" s="4" t="str">
        <f>IF('Raw Data'!L291="","No Coupon",'Raw Data'!L291)</f>
        <v>WINTER15</v>
      </c>
      <c r="M291" s="4" t="str">
        <f>'Raw Data'!M291</f>
        <v>Referral</v>
      </c>
      <c r="N291" s="4">
        <f>'Raw Data'!N291</f>
        <v>641.96</v>
      </c>
    </row>
    <row r="292" spans="1:14" ht="15" customHeight="1" x14ac:dyDescent="0.2">
      <c r="A292" s="4" t="str">
        <f>'Raw Data'!A292</f>
        <v>ORD200290</v>
      </c>
      <c r="B292" s="6">
        <f>'Raw Data'!B292</f>
        <v>45051</v>
      </c>
      <c r="C292" s="4" t="str">
        <f>'Raw Data'!C292</f>
        <v>C24901</v>
      </c>
      <c r="D292" s="4" t="str">
        <f>'Raw Data'!D292</f>
        <v>Chair</v>
      </c>
      <c r="E292" s="4">
        <f>'Raw Data'!E292</f>
        <v>3</v>
      </c>
      <c r="F292" s="4">
        <f>'Raw Data'!F292</f>
        <v>99.9</v>
      </c>
      <c r="G292" s="4" t="str">
        <f>'Raw Data'!G292</f>
        <v>258 Main St</v>
      </c>
      <c r="H292" s="4" t="str">
        <f>'Raw Data'!H292</f>
        <v>Cash</v>
      </c>
      <c r="I292" s="4" t="str">
        <f>'Raw Data'!I292</f>
        <v>Delivered</v>
      </c>
      <c r="J292" s="4" t="str">
        <f>'Raw Data'!J292</f>
        <v>TRK14029489</v>
      </c>
      <c r="K292" s="4">
        <f>'Raw Data'!K292</f>
        <v>8</v>
      </c>
      <c r="L292" s="4" t="str">
        <f>IF('Raw Data'!L292="","No Coupon",'Raw Data'!L292)</f>
        <v>FREESHIP</v>
      </c>
      <c r="M292" s="4" t="str">
        <f>'Raw Data'!M292</f>
        <v>Facebook</v>
      </c>
      <c r="N292" s="4">
        <f>'Raw Data'!N292</f>
        <v>299.7</v>
      </c>
    </row>
    <row r="293" spans="1:14" ht="15" customHeight="1" x14ac:dyDescent="0.2">
      <c r="A293" s="4" t="str">
        <f>'Raw Data'!A293</f>
        <v>ORD200291</v>
      </c>
      <c r="B293" s="6">
        <f>'Raw Data'!B293</f>
        <v>45424</v>
      </c>
      <c r="C293" s="4" t="str">
        <f>'Raw Data'!C293</f>
        <v>C61521</v>
      </c>
      <c r="D293" s="4" t="str">
        <f>'Raw Data'!D293</f>
        <v>Phone</v>
      </c>
      <c r="E293" s="4">
        <f>'Raw Data'!E293</f>
        <v>2</v>
      </c>
      <c r="F293" s="4">
        <f>'Raw Data'!F293</f>
        <v>345.01</v>
      </c>
      <c r="G293" s="4" t="str">
        <f>'Raw Data'!G293</f>
        <v>670 Main St</v>
      </c>
      <c r="H293" s="4" t="str">
        <f>'Raw Data'!H293</f>
        <v>Credit Card</v>
      </c>
      <c r="I293" s="4" t="str">
        <f>'Raw Data'!I293</f>
        <v>Delivered</v>
      </c>
      <c r="J293" s="4" t="str">
        <f>'Raw Data'!J293</f>
        <v>TRK93676567</v>
      </c>
      <c r="K293" s="4">
        <f>'Raw Data'!K293</f>
        <v>6</v>
      </c>
      <c r="L293" s="4" t="str">
        <f>IF('Raw Data'!L293="","No Coupon",'Raw Data'!L293)</f>
        <v>FREESHIP</v>
      </c>
      <c r="M293" s="4" t="str">
        <f>'Raw Data'!M293</f>
        <v>Google</v>
      </c>
      <c r="N293" s="4">
        <f>'Raw Data'!N293</f>
        <v>690.02</v>
      </c>
    </row>
    <row r="294" spans="1:14" ht="15" customHeight="1" x14ac:dyDescent="0.2">
      <c r="A294" s="4" t="str">
        <f>'Raw Data'!A294</f>
        <v>ORD200292</v>
      </c>
      <c r="B294" s="6">
        <f>'Raw Data'!B294</f>
        <v>45672</v>
      </c>
      <c r="C294" s="4" t="str">
        <f>'Raw Data'!C294</f>
        <v>C39639</v>
      </c>
      <c r="D294" s="4" t="str">
        <f>'Raw Data'!D294</f>
        <v>Monitor</v>
      </c>
      <c r="E294" s="4">
        <f>'Raw Data'!E294</f>
        <v>1</v>
      </c>
      <c r="F294" s="4">
        <f>'Raw Data'!F294</f>
        <v>65.95</v>
      </c>
      <c r="G294" s="4" t="str">
        <f>'Raw Data'!G294</f>
        <v>185 Main St</v>
      </c>
      <c r="H294" s="4" t="str">
        <f>'Raw Data'!H294</f>
        <v>Credit Card</v>
      </c>
      <c r="I294" s="4" t="str">
        <f>'Raw Data'!I294</f>
        <v>Delivered</v>
      </c>
      <c r="J294" s="4" t="str">
        <f>'Raw Data'!J294</f>
        <v>TRK31042152</v>
      </c>
      <c r="K294" s="4">
        <f>'Raw Data'!K294</f>
        <v>5</v>
      </c>
      <c r="L294" s="4" t="str">
        <f>IF('Raw Data'!L294="","No Coupon",'Raw Data'!L294)</f>
        <v>No Coupon</v>
      </c>
      <c r="M294" s="4" t="str">
        <f>'Raw Data'!M294</f>
        <v>Facebook</v>
      </c>
      <c r="N294" s="4">
        <f>'Raw Data'!N294</f>
        <v>65.95</v>
      </c>
    </row>
    <row r="295" spans="1:14" ht="15" customHeight="1" x14ac:dyDescent="0.2">
      <c r="A295" s="4" t="str">
        <f>'Raw Data'!A295</f>
        <v>ORD200293</v>
      </c>
      <c r="B295" s="6">
        <f>'Raw Data'!B295</f>
        <v>44973</v>
      </c>
      <c r="C295" s="4" t="str">
        <f>'Raw Data'!C295</f>
        <v>C33220</v>
      </c>
      <c r="D295" s="4" t="str">
        <f>'Raw Data'!D295</f>
        <v>Tablet</v>
      </c>
      <c r="E295" s="4">
        <f>'Raw Data'!E295</f>
        <v>4</v>
      </c>
      <c r="F295" s="4">
        <f>'Raw Data'!F295</f>
        <v>463.04</v>
      </c>
      <c r="G295" s="4" t="str">
        <f>'Raw Data'!G295</f>
        <v>564 Main St</v>
      </c>
      <c r="H295" s="4" t="str">
        <f>'Raw Data'!H295</f>
        <v>Gift Card</v>
      </c>
      <c r="I295" s="4" t="str">
        <f>'Raw Data'!I295</f>
        <v>Returned</v>
      </c>
      <c r="J295" s="4" t="str">
        <f>'Raw Data'!J295</f>
        <v>TRK40450219</v>
      </c>
      <c r="K295" s="4">
        <f>'Raw Data'!K295</f>
        <v>9</v>
      </c>
      <c r="L295" s="4" t="str">
        <f>IF('Raw Data'!L295="","No Coupon",'Raw Data'!L295)</f>
        <v>No Coupon</v>
      </c>
      <c r="M295" s="4" t="str">
        <f>'Raw Data'!M295</f>
        <v>Instagram</v>
      </c>
      <c r="N295" s="4">
        <f>'Raw Data'!N295</f>
        <v>1852.16</v>
      </c>
    </row>
    <row r="296" spans="1:14" ht="15" customHeight="1" x14ac:dyDescent="0.2">
      <c r="A296" s="4" t="str">
        <f>'Raw Data'!A296</f>
        <v>ORD200294</v>
      </c>
      <c r="B296" s="6">
        <f>'Raw Data'!B296</f>
        <v>45748</v>
      </c>
      <c r="C296" s="4" t="str">
        <f>'Raw Data'!C296</f>
        <v>C65414</v>
      </c>
      <c r="D296" s="4" t="str">
        <f>'Raw Data'!D296</f>
        <v>Phone</v>
      </c>
      <c r="E296" s="4">
        <f>'Raw Data'!E296</f>
        <v>2</v>
      </c>
      <c r="F296" s="4">
        <f>'Raw Data'!F296</f>
        <v>297.70999999999998</v>
      </c>
      <c r="G296" s="4" t="str">
        <f>'Raw Data'!G296</f>
        <v>208 Main St</v>
      </c>
      <c r="H296" s="4" t="str">
        <f>'Raw Data'!H296</f>
        <v>Online</v>
      </c>
      <c r="I296" s="4" t="str">
        <f>'Raw Data'!I296</f>
        <v>Shipped</v>
      </c>
      <c r="J296" s="4" t="str">
        <f>'Raw Data'!J296</f>
        <v>TRK67562517</v>
      </c>
      <c r="K296" s="4">
        <f>'Raw Data'!K296</f>
        <v>7</v>
      </c>
      <c r="L296" s="4" t="str">
        <f>IF('Raw Data'!L296="","No Coupon",'Raw Data'!L296)</f>
        <v>SAVE10</v>
      </c>
      <c r="M296" s="4" t="str">
        <f>'Raw Data'!M296</f>
        <v>Referral</v>
      </c>
      <c r="N296" s="4">
        <f>'Raw Data'!N296</f>
        <v>595.41999999999996</v>
      </c>
    </row>
    <row r="297" spans="1:14" ht="15" customHeight="1" x14ac:dyDescent="0.2">
      <c r="A297" s="4" t="str">
        <f>'Raw Data'!A297</f>
        <v>ORD200295</v>
      </c>
      <c r="B297" s="6">
        <f>'Raw Data'!B297</f>
        <v>44951</v>
      </c>
      <c r="C297" s="4" t="str">
        <f>'Raw Data'!C297</f>
        <v>C49009</v>
      </c>
      <c r="D297" s="4" t="str">
        <f>'Raw Data'!D297</f>
        <v>Printer</v>
      </c>
      <c r="E297" s="4">
        <f>'Raw Data'!E297</f>
        <v>5</v>
      </c>
      <c r="F297" s="4">
        <f>'Raw Data'!F297</f>
        <v>107.48</v>
      </c>
      <c r="G297" s="4" t="str">
        <f>'Raw Data'!G297</f>
        <v>278 Main St</v>
      </c>
      <c r="H297" s="4" t="str">
        <f>'Raw Data'!H297</f>
        <v>Debit Card</v>
      </c>
      <c r="I297" s="4" t="str">
        <f>'Raw Data'!I297</f>
        <v>Cancelled</v>
      </c>
      <c r="J297" s="4" t="str">
        <f>'Raw Data'!J297</f>
        <v>TRK46285799</v>
      </c>
      <c r="K297" s="4">
        <f>'Raw Data'!K297</f>
        <v>9</v>
      </c>
      <c r="L297" s="4" t="str">
        <f>IF('Raw Data'!L297="","No Coupon",'Raw Data'!L297)</f>
        <v>FREESHIP</v>
      </c>
      <c r="M297" s="4" t="str">
        <f>'Raw Data'!M297</f>
        <v>Email</v>
      </c>
      <c r="N297" s="4">
        <f>'Raw Data'!N297</f>
        <v>537.4</v>
      </c>
    </row>
    <row r="298" spans="1:14" ht="15" customHeight="1" x14ac:dyDescent="0.2">
      <c r="A298" s="4" t="str">
        <f>'Raw Data'!A298</f>
        <v>ORD200296</v>
      </c>
      <c r="B298" s="6">
        <f>'Raw Data'!B298</f>
        <v>45462</v>
      </c>
      <c r="C298" s="4" t="str">
        <f>'Raw Data'!C298</f>
        <v>C48453</v>
      </c>
      <c r="D298" s="4" t="str">
        <f>'Raw Data'!D298</f>
        <v>Desk</v>
      </c>
      <c r="E298" s="4">
        <f>'Raw Data'!E298</f>
        <v>5</v>
      </c>
      <c r="F298" s="4">
        <f>'Raw Data'!F298</f>
        <v>638.79999999999995</v>
      </c>
      <c r="G298" s="4" t="str">
        <f>'Raw Data'!G298</f>
        <v>434 Main St</v>
      </c>
      <c r="H298" s="4" t="str">
        <f>'Raw Data'!H298</f>
        <v>Debit Card</v>
      </c>
      <c r="I298" s="4" t="str">
        <f>'Raw Data'!I298</f>
        <v>Cancelled</v>
      </c>
      <c r="J298" s="4" t="str">
        <f>'Raw Data'!J298</f>
        <v>TRK52110494</v>
      </c>
      <c r="K298" s="4">
        <f>'Raw Data'!K298</f>
        <v>10</v>
      </c>
      <c r="L298" s="4" t="str">
        <f>IF('Raw Data'!L298="","No Coupon",'Raw Data'!L298)</f>
        <v>WINTER15</v>
      </c>
      <c r="M298" s="4" t="str">
        <f>'Raw Data'!M298</f>
        <v>Referral</v>
      </c>
      <c r="N298" s="4">
        <f>'Raw Data'!N298</f>
        <v>3194</v>
      </c>
    </row>
    <row r="299" spans="1:14" ht="15" customHeight="1" x14ac:dyDescent="0.2">
      <c r="A299" s="4" t="str">
        <f>'Raw Data'!A299</f>
        <v>ORD200297</v>
      </c>
      <c r="B299" s="6">
        <f>'Raw Data'!B299</f>
        <v>44979</v>
      </c>
      <c r="C299" s="4" t="str">
        <f>'Raw Data'!C299</f>
        <v>C68078</v>
      </c>
      <c r="D299" s="4" t="str">
        <f>'Raw Data'!D299</f>
        <v>Desk</v>
      </c>
      <c r="E299" s="4">
        <f>'Raw Data'!E299</f>
        <v>2</v>
      </c>
      <c r="F299" s="4">
        <f>'Raw Data'!F299</f>
        <v>493.88</v>
      </c>
      <c r="G299" s="4" t="str">
        <f>'Raw Data'!G299</f>
        <v>252 Main St</v>
      </c>
      <c r="H299" s="4" t="str">
        <f>'Raw Data'!H299</f>
        <v>Credit Card</v>
      </c>
      <c r="I299" s="4" t="str">
        <f>'Raw Data'!I299</f>
        <v>Returned</v>
      </c>
      <c r="J299" s="4" t="str">
        <f>'Raw Data'!J299</f>
        <v>TRK64862812</v>
      </c>
      <c r="K299" s="4">
        <f>'Raw Data'!K299</f>
        <v>7</v>
      </c>
      <c r="L299" s="4" t="str">
        <f>IF('Raw Data'!L299="","No Coupon",'Raw Data'!L299)</f>
        <v>SAVE10</v>
      </c>
      <c r="M299" s="4" t="str">
        <f>'Raw Data'!M299</f>
        <v>Instagram</v>
      </c>
      <c r="N299" s="4">
        <f>'Raw Data'!N299</f>
        <v>987.76</v>
      </c>
    </row>
    <row r="300" spans="1:14" ht="15" customHeight="1" x14ac:dyDescent="0.2">
      <c r="A300" s="4" t="str">
        <f>'Raw Data'!A300</f>
        <v>ORD200298</v>
      </c>
      <c r="B300" s="6">
        <f>'Raw Data'!B300</f>
        <v>45279</v>
      </c>
      <c r="C300" s="4" t="str">
        <f>'Raw Data'!C300</f>
        <v>C19402</v>
      </c>
      <c r="D300" s="4" t="str">
        <f>'Raw Data'!D300</f>
        <v>Printer</v>
      </c>
      <c r="E300" s="4">
        <f>'Raw Data'!E300</f>
        <v>4</v>
      </c>
      <c r="F300" s="4">
        <f>'Raw Data'!F300</f>
        <v>301.17</v>
      </c>
      <c r="G300" s="4" t="str">
        <f>'Raw Data'!G300</f>
        <v>267 Main St</v>
      </c>
      <c r="H300" s="4" t="str">
        <f>'Raw Data'!H300</f>
        <v>Online</v>
      </c>
      <c r="I300" s="4" t="str">
        <f>'Raw Data'!I300</f>
        <v>Cancelled</v>
      </c>
      <c r="J300" s="4" t="str">
        <f>'Raw Data'!J300</f>
        <v>TRK97825212</v>
      </c>
      <c r="K300" s="4">
        <f>'Raw Data'!K300</f>
        <v>6</v>
      </c>
      <c r="L300" s="4" t="str">
        <f>IF('Raw Data'!L300="","No Coupon",'Raw Data'!L300)</f>
        <v>No Coupon</v>
      </c>
      <c r="M300" s="4" t="str">
        <f>'Raw Data'!M300</f>
        <v>Email</v>
      </c>
      <c r="N300" s="4">
        <f>'Raw Data'!N300</f>
        <v>1204.68</v>
      </c>
    </row>
    <row r="301" spans="1:14" ht="15" customHeight="1" x14ac:dyDescent="0.2">
      <c r="A301" s="4" t="str">
        <f>'Raw Data'!A301</f>
        <v>ORD200299</v>
      </c>
      <c r="B301" s="6">
        <f>'Raw Data'!B301</f>
        <v>45311</v>
      </c>
      <c r="C301" s="4" t="str">
        <f>'Raw Data'!C301</f>
        <v>C30711</v>
      </c>
      <c r="D301" s="4" t="str">
        <f>'Raw Data'!D301</f>
        <v>Monitor</v>
      </c>
      <c r="E301" s="4">
        <f>'Raw Data'!E301</f>
        <v>1</v>
      </c>
      <c r="F301" s="4">
        <f>'Raw Data'!F301</f>
        <v>278.66000000000003</v>
      </c>
      <c r="G301" s="4" t="str">
        <f>'Raw Data'!G301</f>
        <v>856 Main St</v>
      </c>
      <c r="H301" s="4" t="str">
        <f>'Raw Data'!H301</f>
        <v>Gift Card</v>
      </c>
      <c r="I301" s="4" t="str">
        <f>'Raw Data'!I301</f>
        <v>Cancelled</v>
      </c>
      <c r="J301" s="4" t="str">
        <f>'Raw Data'!J301</f>
        <v>TRK42696593</v>
      </c>
      <c r="K301" s="4">
        <f>'Raw Data'!K301</f>
        <v>2</v>
      </c>
      <c r="L301" s="4" t="str">
        <f>IF('Raw Data'!L301="","No Coupon",'Raw Data'!L301)</f>
        <v>FREESHIP</v>
      </c>
      <c r="M301" s="4" t="str">
        <f>'Raw Data'!M301</f>
        <v>Instagram</v>
      </c>
      <c r="N301" s="4">
        <f>'Raw Data'!N301</f>
        <v>278.66000000000003</v>
      </c>
    </row>
    <row r="302" spans="1:14" ht="15" customHeight="1" x14ac:dyDescent="0.2">
      <c r="A302" s="4" t="str">
        <f>'Raw Data'!A302</f>
        <v>ORD200300</v>
      </c>
      <c r="B302" s="6">
        <f>'Raw Data'!B302</f>
        <v>45537</v>
      </c>
      <c r="C302" s="4" t="str">
        <f>'Raw Data'!C302</f>
        <v>C39000</v>
      </c>
      <c r="D302" s="4" t="str">
        <f>'Raw Data'!D302</f>
        <v>Phone</v>
      </c>
      <c r="E302" s="4">
        <f>'Raw Data'!E302</f>
        <v>1</v>
      </c>
      <c r="F302" s="4">
        <f>'Raw Data'!F302</f>
        <v>287.45999999999998</v>
      </c>
      <c r="G302" s="4" t="str">
        <f>'Raw Data'!G302</f>
        <v>894 Main St</v>
      </c>
      <c r="H302" s="4" t="str">
        <f>'Raw Data'!H302</f>
        <v>Debit Card</v>
      </c>
      <c r="I302" s="4" t="str">
        <f>'Raw Data'!I302</f>
        <v>Returned</v>
      </c>
      <c r="J302" s="4" t="str">
        <f>'Raw Data'!J302</f>
        <v>TRK33753945</v>
      </c>
      <c r="K302" s="4">
        <f>'Raw Data'!K302</f>
        <v>3</v>
      </c>
      <c r="L302" s="4" t="str">
        <f>IF('Raw Data'!L302="","No Coupon",'Raw Data'!L302)</f>
        <v>FREESHIP</v>
      </c>
      <c r="M302" s="4" t="str">
        <f>'Raw Data'!M302</f>
        <v>Facebook</v>
      </c>
      <c r="N302" s="4">
        <f>'Raw Data'!N302</f>
        <v>287.45999999999998</v>
      </c>
    </row>
    <row r="303" spans="1:14" ht="15" customHeight="1" x14ac:dyDescent="0.2">
      <c r="A303" s="4" t="str">
        <f>'Raw Data'!A303</f>
        <v>ORD200301</v>
      </c>
      <c r="B303" s="6">
        <f>'Raw Data'!B303</f>
        <v>45057</v>
      </c>
      <c r="C303" s="4" t="str">
        <f>'Raw Data'!C303</f>
        <v>C31105</v>
      </c>
      <c r="D303" s="4" t="str">
        <f>'Raw Data'!D303</f>
        <v>Chair</v>
      </c>
      <c r="E303" s="4">
        <f>'Raw Data'!E303</f>
        <v>1</v>
      </c>
      <c r="F303" s="4">
        <f>'Raw Data'!F303</f>
        <v>583.99</v>
      </c>
      <c r="G303" s="4" t="str">
        <f>'Raw Data'!G303</f>
        <v>726 Main St</v>
      </c>
      <c r="H303" s="4" t="str">
        <f>'Raw Data'!H303</f>
        <v>Cash</v>
      </c>
      <c r="I303" s="4" t="str">
        <f>'Raw Data'!I303</f>
        <v>Cancelled</v>
      </c>
      <c r="J303" s="4" t="str">
        <f>'Raw Data'!J303</f>
        <v>TRK40149095</v>
      </c>
      <c r="K303" s="4">
        <f>'Raw Data'!K303</f>
        <v>2</v>
      </c>
      <c r="L303" s="4" t="str">
        <f>IF('Raw Data'!L303="","No Coupon",'Raw Data'!L303)</f>
        <v>SAVE10</v>
      </c>
      <c r="M303" s="4" t="str">
        <f>'Raw Data'!M303</f>
        <v>Email</v>
      </c>
      <c r="N303" s="4">
        <f>'Raw Data'!N303</f>
        <v>583.99</v>
      </c>
    </row>
    <row r="304" spans="1:14" ht="15" customHeight="1" x14ac:dyDescent="0.2">
      <c r="A304" s="4" t="str">
        <f>'Raw Data'!A304</f>
        <v>ORD200302</v>
      </c>
      <c r="B304" s="6">
        <f>'Raw Data'!B304</f>
        <v>45062</v>
      </c>
      <c r="C304" s="4" t="str">
        <f>'Raw Data'!C304</f>
        <v>C29432</v>
      </c>
      <c r="D304" s="4" t="str">
        <f>'Raw Data'!D304</f>
        <v>Chair</v>
      </c>
      <c r="E304" s="4">
        <f>'Raw Data'!E304</f>
        <v>3</v>
      </c>
      <c r="F304" s="4">
        <f>'Raw Data'!F304</f>
        <v>468.74</v>
      </c>
      <c r="G304" s="4" t="str">
        <f>'Raw Data'!G304</f>
        <v>121 Main St</v>
      </c>
      <c r="H304" s="4" t="str">
        <f>'Raw Data'!H304</f>
        <v>Cash</v>
      </c>
      <c r="I304" s="4" t="str">
        <f>'Raw Data'!I304</f>
        <v>Pending</v>
      </c>
      <c r="J304" s="4" t="str">
        <f>'Raw Data'!J304</f>
        <v>TRK44142517</v>
      </c>
      <c r="K304" s="4">
        <f>'Raw Data'!K304</f>
        <v>4</v>
      </c>
      <c r="L304" s="4" t="str">
        <f>IF('Raw Data'!L304="","No Coupon",'Raw Data'!L304)</f>
        <v>FREESHIP</v>
      </c>
      <c r="M304" s="4" t="str">
        <f>'Raw Data'!M304</f>
        <v>Instagram</v>
      </c>
      <c r="N304" s="4">
        <f>'Raw Data'!N304</f>
        <v>1406.22</v>
      </c>
    </row>
    <row r="305" spans="1:14" ht="15" customHeight="1" x14ac:dyDescent="0.2">
      <c r="A305" s="4" t="str">
        <f>'Raw Data'!A305</f>
        <v>ORD200303</v>
      </c>
      <c r="B305" s="6">
        <f>'Raw Data'!B305</f>
        <v>45633</v>
      </c>
      <c r="C305" s="4" t="str">
        <f>'Raw Data'!C305</f>
        <v>C48531</v>
      </c>
      <c r="D305" s="4" t="str">
        <f>'Raw Data'!D305</f>
        <v>Tablet</v>
      </c>
      <c r="E305" s="4">
        <f>'Raw Data'!E305</f>
        <v>1</v>
      </c>
      <c r="F305" s="4">
        <f>'Raw Data'!F305</f>
        <v>30.54</v>
      </c>
      <c r="G305" s="4" t="str">
        <f>'Raw Data'!G305</f>
        <v>368 Main St</v>
      </c>
      <c r="H305" s="4" t="str">
        <f>'Raw Data'!H305</f>
        <v>Debit Card</v>
      </c>
      <c r="I305" s="4" t="str">
        <f>'Raw Data'!I305</f>
        <v>Returned</v>
      </c>
      <c r="J305" s="4" t="str">
        <f>'Raw Data'!J305</f>
        <v>TRK95462192</v>
      </c>
      <c r="K305" s="4">
        <f>'Raw Data'!K305</f>
        <v>1</v>
      </c>
      <c r="L305" s="4" t="str">
        <f>IF('Raw Data'!L305="","No Coupon",'Raw Data'!L305)</f>
        <v>No Coupon</v>
      </c>
      <c r="M305" s="4" t="str">
        <f>'Raw Data'!M305</f>
        <v>Google</v>
      </c>
      <c r="N305" s="4">
        <f>'Raw Data'!N305</f>
        <v>30.54</v>
      </c>
    </row>
    <row r="306" spans="1:14" ht="15" customHeight="1" x14ac:dyDescent="0.2">
      <c r="A306" s="4" t="str">
        <f>'Raw Data'!A306</f>
        <v>ORD200304</v>
      </c>
      <c r="B306" s="6">
        <f>'Raw Data'!B306</f>
        <v>45583</v>
      </c>
      <c r="C306" s="4" t="str">
        <f>'Raw Data'!C306</f>
        <v>C86762</v>
      </c>
      <c r="D306" s="4" t="str">
        <f>'Raw Data'!D306</f>
        <v>Monitor</v>
      </c>
      <c r="E306" s="4">
        <f>'Raw Data'!E306</f>
        <v>5</v>
      </c>
      <c r="F306" s="4">
        <f>'Raw Data'!F306</f>
        <v>408.73</v>
      </c>
      <c r="G306" s="4" t="str">
        <f>'Raw Data'!G306</f>
        <v>326 Main St</v>
      </c>
      <c r="H306" s="4" t="str">
        <f>'Raw Data'!H306</f>
        <v>Gift Card</v>
      </c>
      <c r="I306" s="4" t="str">
        <f>'Raw Data'!I306</f>
        <v>Delivered</v>
      </c>
      <c r="J306" s="4" t="str">
        <f>'Raw Data'!J306</f>
        <v>TRK75686292</v>
      </c>
      <c r="K306" s="4">
        <f>'Raw Data'!K306</f>
        <v>10</v>
      </c>
      <c r="L306" s="4" t="str">
        <f>IF('Raw Data'!L306="","No Coupon",'Raw Data'!L306)</f>
        <v>FREESHIP</v>
      </c>
      <c r="M306" s="4" t="str">
        <f>'Raw Data'!M306</f>
        <v>Instagram</v>
      </c>
      <c r="N306" s="4">
        <f>'Raw Data'!N306</f>
        <v>2043.65</v>
      </c>
    </row>
    <row r="307" spans="1:14" ht="15" customHeight="1" x14ac:dyDescent="0.2">
      <c r="A307" s="4" t="str">
        <f>'Raw Data'!A307</f>
        <v>ORD200305</v>
      </c>
      <c r="B307" s="6">
        <f>'Raw Data'!B307</f>
        <v>45255</v>
      </c>
      <c r="C307" s="4" t="str">
        <f>'Raw Data'!C307</f>
        <v>C63822</v>
      </c>
      <c r="D307" s="4" t="str">
        <f>'Raw Data'!D307</f>
        <v>Laptop</v>
      </c>
      <c r="E307" s="4">
        <f>'Raw Data'!E307</f>
        <v>4</v>
      </c>
      <c r="F307" s="4">
        <f>'Raw Data'!F307</f>
        <v>126.89</v>
      </c>
      <c r="G307" s="4" t="str">
        <f>'Raw Data'!G307</f>
        <v>235 Main St</v>
      </c>
      <c r="H307" s="4" t="str">
        <f>'Raw Data'!H307</f>
        <v>Cash</v>
      </c>
      <c r="I307" s="4" t="str">
        <f>'Raw Data'!I307</f>
        <v>Pending</v>
      </c>
      <c r="J307" s="4" t="str">
        <f>'Raw Data'!J307</f>
        <v>TRK59353216</v>
      </c>
      <c r="K307" s="4">
        <f>'Raw Data'!K307</f>
        <v>9</v>
      </c>
      <c r="L307" s="4" t="str">
        <f>IF('Raw Data'!L307="","No Coupon",'Raw Data'!L307)</f>
        <v>FREESHIP</v>
      </c>
      <c r="M307" s="4" t="str">
        <f>'Raw Data'!M307</f>
        <v>Instagram</v>
      </c>
      <c r="N307" s="4">
        <f>'Raw Data'!N307</f>
        <v>507.56</v>
      </c>
    </row>
    <row r="308" spans="1:14" ht="15" customHeight="1" x14ac:dyDescent="0.2">
      <c r="A308" s="4" t="str">
        <f>'Raw Data'!A308</f>
        <v>ORD200306</v>
      </c>
      <c r="B308" s="6">
        <f>'Raw Data'!B308</f>
        <v>45450</v>
      </c>
      <c r="C308" s="4" t="str">
        <f>'Raw Data'!C308</f>
        <v>C70495</v>
      </c>
      <c r="D308" s="4" t="str">
        <f>'Raw Data'!D308</f>
        <v>Printer</v>
      </c>
      <c r="E308" s="4">
        <f>'Raw Data'!E308</f>
        <v>2</v>
      </c>
      <c r="F308" s="4">
        <f>'Raw Data'!F308</f>
        <v>57.07</v>
      </c>
      <c r="G308" s="4" t="str">
        <f>'Raw Data'!G308</f>
        <v>238 Main St</v>
      </c>
      <c r="H308" s="4" t="str">
        <f>'Raw Data'!H308</f>
        <v>Debit Card</v>
      </c>
      <c r="I308" s="4" t="str">
        <f>'Raw Data'!I308</f>
        <v>Returned</v>
      </c>
      <c r="J308" s="4" t="str">
        <f>'Raw Data'!J308</f>
        <v>TRK65511225</v>
      </c>
      <c r="K308" s="4">
        <f>'Raw Data'!K308</f>
        <v>3</v>
      </c>
      <c r="L308" s="4" t="str">
        <f>IF('Raw Data'!L308="","No Coupon",'Raw Data'!L308)</f>
        <v>SAVE10</v>
      </c>
      <c r="M308" s="4" t="str">
        <f>'Raw Data'!M308</f>
        <v>Instagram</v>
      </c>
      <c r="N308" s="4">
        <f>'Raw Data'!N308</f>
        <v>114.14</v>
      </c>
    </row>
    <row r="309" spans="1:14" ht="15" customHeight="1" x14ac:dyDescent="0.2">
      <c r="A309" s="4" t="str">
        <f>'Raw Data'!A309</f>
        <v>ORD200307</v>
      </c>
      <c r="B309" s="6">
        <f>'Raw Data'!B309</f>
        <v>45108</v>
      </c>
      <c r="C309" s="4" t="str">
        <f>'Raw Data'!C309</f>
        <v>C92407</v>
      </c>
      <c r="D309" s="4" t="str">
        <f>'Raw Data'!D309</f>
        <v>Laptop</v>
      </c>
      <c r="E309" s="4">
        <f>'Raw Data'!E309</f>
        <v>3</v>
      </c>
      <c r="F309" s="4">
        <f>'Raw Data'!F309</f>
        <v>557.41</v>
      </c>
      <c r="G309" s="4" t="str">
        <f>'Raw Data'!G309</f>
        <v>135 Main St</v>
      </c>
      <c r="H309" s="4" t="str">
        <f>'Raw Data'!H309</f>
        <v>Online</v>
      </c>
      <c r="I309" s="4" t="str">
        <f>'Raw Data'!I309</f>
        <v>Delivered</v>
      </c>
      <c r="J309" s="4" t="str">
        <f>'Raw Data'!J309</f>
        <v>TRK11755610</v>
      </c>
      <c r="K309" s="4">
        <f>'Raw Data'!K309</f>
        <v>4</v>
      </c>
      <c r="L309" s="4" t="str">
        <f>IF('Raw Data'!L309="","No Coupon",'Raw Data'!L309)</f>
        <v>No Coupon</v>
      </c>
      <c r="M309" s="4" t="str">
        <f>'Raw Data'!M309</f>
        <v>Email</v>
      </c>
      <c r="N309" s="4">
        <f>'Raw Data'!N309</f>
        <v>1672.23</v>
      </c>
    </row>
    <row r="310" spans="1:14" ht="15" customHeight="1" x14ac:dyDescent="0.2">
      <c r="A310" s="4" t="str">
        <f>'Raw Data'!A310</f>
        <v>ORD200308</v>
      </c>
      <c r="B310" s="6">
        <f>'Raw Data'!B310</f>
        <v>45271</v>
      </c>
      <c r="C310" s="4" t="str">
        <f>'Raw Data'!C310</f>
        <v>C75888</v>
      </c>
      <c r="D310" s="4" t="str">
        <f>'Raw Data'!D310</f>
        <v>Printer</v>
      </c>
      <c r="E310" s="4">
        <f>'Raw Data'!E310</f>
        <v>3</v>
      </c>
      <c r="F310" s="4">
        <f>'Raw Data'!F310</f>
        <v>448.9</v>
      </c>
      <c r="G310" s="4" t="str">
        <f>'Raw Data'!G310</f>
        <v>790 Main St</v>
      </c>
      <c r="H310" s="4" t="str">
        <f>'Raw Data'!H310</f>
        <v>Debit Card</v>
      </c>
      <c r="I310" s="4" t="str">
        <f>'Raw Data'!I310</f>
        <v>Returned</v>
      </c>
      <c r="J310" s="4" t="str">
        <f>'Raw Data'!J310</f>
        <v>TRK98467398</v>
      </c>
      <c r="K310" s="4">
        <f>'Raw Data'!K310</f>
        <v>7</v>
      </c>
      <c r="L310" s="4" t="str">
        <f>IF('Raw Data'!L310="","No Coupon",'Raw Data'!L310)</f>
        <v>SAVE10</v>
      </c>
      <c r="M310" s="4" t="str">
        <f>'Raw Data'!M310</f>
        <v>Instagram</v>
      </c>
      <c r="N310" s="4">
        <f>'Raw Data'!N310</f>
        <v>1346.7</v>
      </c>
    </row>
    <row r="311" spans="1:14" ht="15" customHeight="1" x14ac:dyDescent="0.2">
      <c r="A311" s="4" t="str">
        <f>'Raw Data'!A311</f>
        <v>ORD200309</v>
      </c>
      <c r="B311" s="6">
        <f>'Raw Data'!B311</f>
        <v>45202</v>
      </c>
      <c r="C311" s="4" t="str">
        <f>'Raw Data'!C311</f>
        <v>C63153</v>
      </c>
      <c r="D311" s="4" t="str">
        <f>'Raw Data'!D311</f>
        <v>Chair</v>
      </c>
      <c r="E311" s="4">
        <f>'Raw Data'!E311</f>
        <v>4</v>
      </c>
      <c r="F311" s="4">
        <f>'Raw Data'!F311</f>
        <v>549.76</v>
      </c>
      <c r="G311" s="4" t="str">
        <f>'Raw Data'!G311</f>
        <v>625 Main St</v>
      </c>
      <c r="H311" s="4" t="str">
        <f>'Raw Data'!H311</f>
        <v>Debit Card</v>
      </c>
      <c r="I311" s="4" t="str">
        <f>'Raw Data'!I311</f>
        <v>Delivered</v>
      </c>
      <c r="J311" s="4" t="str">
        <f>'Raw Data'!J311</f>
        <v>TRK38033305</v>
      </c>
      <c r="K311" s="4">
        <f>'Raw Data'!K311</f>
        <v>4</v>
      </c>
      <c r="L311" s="4" t="str">
        <f>IF('Raw Data'!L311="","No Coupon",'Raw Data'!L311)</f>
        <v>FREESHIP</v>
      </c>
      <c r="M311" s="4" t="str">
        <f>'Raw Data'!M311</f>
        <v>Facebook</v>
      </c>
      <c r="N311" s="4">
        <f>'Raw Data'!N311</f>
        <v>2199.04</v>
      </c>
    </row>
    <row r="312" spans="1:14" ht="15" customHeight="1" x14ac:dyDescent="0.2">
      <c r="A312" s="4" t="str">
        <f>'Raw Data'!A312</f>
        <v>ORD200310</v>
      </c>
      <c r="B312" s="6">
        <f>'Raw Data'!B312</f>
        <v>45346</v>
      </c>
      <c r="C312" s="4" t="str">
        <f>'Raw Data'!C312</f>
        <v>C85863</v>
      </c>
      <c r="D312" s="4" t="str">
        <f>'Raw Data'!D312</f>
        <v>Printer</v>
      </c>
      <c r="E312" s="4">
        <f>'Raw Data'!E312</f>
        <v>3</v>
      </c>
      <c r="F312" s="4">
        <f>'Raw Data'!F312</f>
        <v>132.47999999999999</v>
      </c>
      <c r="G312" s="4" t="str">
        <f>'Raw Data'!G312</f>
        <v>968 Main St</v>
      </c>
      <c r="H312" s="4" t="str">
        <f>'Raw Data'!H312</f>
        <v>Online</v>
      </c>
      <c r="I312" s="4" t="str">
        <f>'Raw Data'!I312</f>
        <v>Shipped</v>
      </c>
      <c r="J312" s="4" t="str">
        <f>'Raw Data'!J312</f>
        <v>TRK16094218</v>
      </c>
      <c r="K312" s="4">
        <f>'Raw Data'!K312</f>
        <v>4</v>
      </c>
      <c r="L312" s="4" t="str">
        <f>IF('Raw Data'!L312="","No Coupon",'Raw Data'!L312)</f>
        <v>No Coupon</v>
      </c>
      <c r="M312" s="4" t="str">
        <f>'Raw Data'!M312</f>
        <v>Referral</v>
      </c>
      <c r="N312" s="4">
        <f>'Raw Data'!N312</f>
        <v>397.44</v>
      </c>
    </row>
    <row r="313" spans="1:14" ht="15" customHeight="1" x14ac:dyDescent="0.2">
      <c r="A313" s="4" t="str">
        <f>'Raw Data'!A313</f>
        <v>ORD200311</v>
      </c>
      <c r="B313" s="6">
        <f>'Raw Data'!B313</f>
        <v>45794</v>
      </c>
      <c r="C313" s="4" t="str">
        <f>'Raw Data'!C313</f>
        <v>C71698</v>
      </c>
      <c r="D313" s="4" t="str">
        <f>'Raw Data'!D313</f>
        <v>Desk</v>
      </c>
      <c r="E313" s="4">
        <f>'Raw Data'!E313</f>
        <v>5</v>
      </c>
      <c r="F313" s="4">
        <f>'Raw Data'!F313</f>
        <v>489.37</v>
      </c>
      <c r="G313" s="4" t="str">
        <f>'Raw Data'!G313</f>
        <v>274 Main St</v>
      </c>
      <c r="H313" s="4" t="str">
        <f>'Raw Data'!H313</f>
        <v>Online</v>
      </c>
      <c r="I313" s="4" t="str">
        <f>'Raw Data'!I313</f>
        <v>Returned</v>
      </c>
      <c r="J313" s="4" t="str">
        <f>'Raw Data'!J313</f>
        <v>TRK34786818</v>
      </c>
      <c r="K313" s="4">
        <f>'Raw Data'!K313</f>
        <v>8</v>
      </c>
      <c r="L313" s="4" t="str">
        <f>IF('Raw Data'!L313="","No Coupon",'Raw Data'!L313)</f>
        <v>No Coupon</v>
      </c>
      <c r="M313" s="4" t="str">
        <f>'Raw Data'!M313</f>
        <v>Instagram</v>
      </c>
      <c r="N313" s="4">
        <f>'Raw Data'!N313</f>
        <v>2446.85</v>
      </c>
    </row>
    <row r="314" spans="1:14" ht="15" customHeight="1" x14ac:dyDescent="0.2">
      <c r="A314" s="4" t="str">
        <f>'Raw Data'!A314</f>
        <v>ORD200312</v>
      </c>
      <c r="B314" s="6">
        <f>'Raw Data'!B314</f>
        <v>45801</v>
      </c>
      <c r="C314" s="4" t="str">
        <f>'Raw Data'!C314</f>
        <v>C35397</v>
      </c>
      <c r="D314" s="4" t="str">
        <f>'Raw Data'!D314</f>
        <v>Printer</v>
      </c>
      <c r="E314" s="4">
        <f>'Raw Data'!E314</f>
        <v>5</v>
      </c>
      <c r="F314" s="4">
        <f>'Raw Data'!F314</f>
        <v>66.31</v>
      </c>
      <c r="G314" s="4" t="str">
        <f>'Raw Data'!G314</f>
        <v>579 Main St</v>
      </c>
      <c r="H314" s="4" t="str">
        <f>'Raw Data'!H314</f>
        <v>Gift Card</v>
      </c>
      <c r="I314" s="4" t="str">
        <f>'Raw Data'!I314</f>
        <v>Pending</v>
      </c>
      <c r="J314" s="4" t="str">
        <f>'Raw Data'!J314</f>
        <v>TRK64742535</v>
      </c>
      <c r="K314" s="4">
        <f>'Raw Data'!K314</f>
        <v>7</v>
      </c>
      <c r="L314" s="4" t="str">
        <f>IF('Raw Data'!L314="","No Coupon",'Raw Data'!L314)</f>
        <v>FREESHIP</v>
      </c>
      <c r="M314" s="4" t="str">
        <f>'Raw Data'!M314</f>
        <v>Referral</v>
      </c>
      <c r="N314" s="4">
        <f>'Raw Data'!N314</f>
        <v>331.55</v>
      </c>
    </row>
    <row r="315" spans="1:14" ht="15" customHeight="1" x14ac:dyDescent="0.2">
      <c r="A315" s="4" t="str">
        <f>'Raw Data'!A315</f>
        <v>ORD200313</v>
      </c>
      <c r="B315" s="6">
        <f>'Raw Data'!B315</f>
        <v>45116</v>
      </c>
      <c r="C315" s="4" t="str">
        <f>'Raw Data'!C315</f>
        <v>C67687</v>
      </c>
      <c r="D315" s="4" t="str">
        <f>'Raw Data'!D315</f>
        <v>Chair</v>
      </c>
      <c r="E315" s="4">
        <f>'Raw Data'!E315</f>
        <v>2</v>
      </c>
      <c r="F315" s="4">
        <f>'Raw Data'!F315</f>
        <v>434.3</v>
      </c>
      <c r="G315" s="4" t="str">
        <f>'Raw Data'!G315</f>
        <v>978 Main St</v>
      </c>
      <c r="H315" s="4" t="str">
        <f>'Raw Data'!H315</f>
        <v>Cash</v>
      </c>
      <c r="I315" s="4" t="str">
        <f>'Raw Data'!I315</f>
        <v>Delivered</v>
      </c>
      <c r="J315" s="4" t="str">
        <f>'Raw Data'!J315</f>
        <v>TRK22838735</v>
      </c>
      <c r="K315" s="4">
        <f>'Raw Data'!K315</f>
        <v>7</v>
      </c>
      <c r="L315" s="4" t="str">
        <f>IF('Raw Data'!L315="","No Coupon",'Raw Data'!L315)</f>
        <v>SAVE10</v>
      </c>
      <c r="M315" s="4" t="str">
        <f>'Raw Data'!M315</f>
        <v>Instagram</v>
      </c>
      <c r="N315" s="4">
        <f>'Raw Data'!N315</f>
        <v>868.6</v>
      </c>
    </row>
    <row r="316" spans="1:14" ht="15" customHeight="1" x14ac:dyDescent="0.2">
      <c r="A316" s="4" t="str">
        <f>'Raw Data'!A316</f>
        <v>ORD200314</v>
      </c>
      <c r="B316" s="6">
        <f>'Raw Data'!B316</f>
        <v>45203</v>
      </c>
      <c r="C316" s="4" t="str">
        <f>'Raw Data'!C316</f>
        <v>C29931</v>
      </c>
      <c r="D316" s="4" t="str">
        <f>'Raw Data'!D316</f>
        <v>Desk</v>
      </c>
      <c r="E316" s="4">
        <f>'Raw Data'!E316</f>
        <v>4</v>
      </c>
      <c r="F316" s="4">
        <f>'Raw Data'!F316</f>
        <v>153.09</v>
      </c>
      <c r="G316" s="4" t="str">
        <f>'Raw Data'!G316</f>
        <v>540 Main St</v>
      </c>
      <c r="H316" s="4" t="str">
        <f>'Raw Data'!H316</f>
        <v>Online</v>
      </c>
      <c r="I316" s="4" t="str">
        <f>'Raw Data'!I316</f>
        <v>Delivered</v>
      </c>
      <c r="J316" s="4" t="str">
        <f>'Raw Data'!J316</f>
        <v>TRK48712417</v>
      </c>
      <c r="K316" s="4">
        <f>'Raw Data'!K316</f>
        <v>4</v>
      </c>
      <c r="L316" s="4" t="str">
        <f>IF('Raw Data'!L316="","No Coupon",'Raw Data'!L316)</f>
        <v>FREESHIP</v>
      </c>
      <c r="M316" s="4" t="str">
        <f>'Raw Data'!M316</f>
        <v>Referral</v>
      </c>
      <c r="N316" s="4">
        <f>'Raw Data'!N316</f>
        <v>612.36</v>
      </c>
    </row>
    <row r="317" spans="1:14" ht="15" customHeight="1" x14ac:dyDescent="0.2">
      <c r="A317" s="4" t="str">
        <f>'Raw Data'!A317</f>
        <v>ORD200315</v>
      </c>
      <c r="B317" s="6">
        <f>'Raw Data'!B317</f>
        <v>45789</v>
      </c>
      <c r="C317" s="4" t="str">
        <f>'Raw Data'!C317</f>
        <v>C59139</v>
      </c>
      <c r="D317" s="4" t="str">
        <f>'Raw Data'!D317</f>
        <v>Tablet</v>
      </c>
      <c r="E317" s="4">
        <f>'Raw Data'!E317</f>
        <v>5</v>
      </c>
      <c r="F317" s="4">
        <f>'Raw Data'!F317</f>
        <v>91.67</v>
      </c>
      <c r="G317" s="4" t="str">
        <f>'Raw Data'!G317</f>
        <v>301 Main St</v>
      </c>
      <c r="H317" s="4" t="str">
        <f>'Raw Data'!H317</f>
        <v>Online</v>
      </c>
      <c r="I317" s="4" t="str">
        <f>'Raw Data'!I317</f>
        <v>Cancelled</v>
      </c>
      <c r="J317" s="4" t="str">
        <f>'Raw Data'!J317</f>
        <v>TRK45507090</v>
      </c>
      <c r="K317" s="4">
        <f>'Raw Data'!K317</f>
        <v>9</v>
      </c>
      <c r="L317" s="4" t="str">
        <f>IF('Raw Data'!L317="","No Coupon",'Raw Data'!L317)</f>
        <v>FREESHIP</v>
      </c>
      <c r="M317" s="4" t="str">
        <f>'Raw Data'!M317</f>
        <v>Email</v>
      </c>
      <c r="N317" s="4">
        <f>'Raw Data'!N317</f>
        <v>458.35</v>
      </c>
    </row>
    <row r="318" spans="1:14" ht="15" customHeight="1" x14ac:dyDescent="0.2">
      <c r="A318" s="4" t="str">
        <f>'Raw Data'!A318</f>
        <v>ORD200316</v>
      </c>
      <c r="B318" s="6">
        <f>'Raw Data'!B318</f>
        <v>45201</v>
      </c>
      <c r="C318" s="4" t="str">
        <f>'Raw Data'!C318</f>
        <v>C66078</v>
      </c>
      <c r="D318" s="4" t="str">
        <f>'Raw Data'!D318</f>
        <v>Desk</v>
      </c>
      <c r="E318" s="4">
        <f>'Raw Data'!E318</f>
        <v>4</v>
      </c>
      <c r="F318" s="4">
        <f>'Raw Data'!F318</f>
        <v>275.27999999999997</v>
      </c>
      <c r="G318" s="4" t="str">
        <f>'Raw Data'!G318</f>
        <v>101 Main St</v>
      </c>
      <c r="H318" s="4" t="str">
        <f>'Raw Data'!H318</f>
        <v>Gift Card</v>
      </c>
      <c r="I318" s="4" t="str">
        <f>'Raw Data'!I318</f>
        <v>Shipped</v>
      </c>
      <c r="J318" s="4" t="str">
        <f>'Raw Data'!J318</f>
        <v>TRK86474559</v>
      </c>
      <c r="K318" s="4">
        <f>'Raw Data'!K318</f>
        <v>9</v>
      </c>
      <c r="L318" s="4" t="str">
        <f>IF('Raw Data'!L318="","No Coupon",'Raw Data'!L318)</f>
        <v>WINTER15</v>
      </c>
      <c r="M318" s="4" t="str">
        <f>'Raw Data'!M318</f>
        <v>Facebook</v>
      </c>
      <c r="N318" s="4">
        <f>'Raw Data'!N318</f>
        <v>1101.1199999999999</v>
      </c>
    </row>
    <row r="319" spans="1:14" ht="15" customHeight="1" x14ac:dyDescent="0.2">
      <c r="A319" s="4" t="str">
        <f>'Raw Data'!A319</f>
        <v>ORD200317</v>
      </c>
      <c r="B319" s="6">
        <f>'Raw Data'!B319</f>
        <v>45026</v>
      </c>
      <c r="C319" s="4" t="str">
        <f>'Raw Data'!C319</f>
        <v>C88370</v>
      </c>
      <c r="D319" s="4" t="str">
        <f>'Raw Data'!D319</f>
        <v>Monitor</v>
      </c>
      <c r="E319" s="4">
        <f>'Raw Data'!E319</f>
        <v>2</v>
      </c>
      <c r="F319" s="4">
        <f>'Raw Data'!F319</f>
        <v>139.94999999999999</v>
      </c>
      <c r="G319" s="4" t="str">
        <f>'Raw Data'!G319</f>
        <v>339 Main St</v>
      </c>
      <c r="H319" s="4" t="str">
        <f>'Raw Data'!H319</f>
        <v>Online</v>
      </c>
      <c r="I319" s="4" t="str">
        <f>'Raw Data'!I319</f>
        <v>Returned</v>
      </c>
      <c r="J319" s="4" t="str">
        <f>'Raw Data'!J319</f>
        <v>TRK22575151</v>
      </c>
      <c r="K319" s="4">
        <f>'Raw Data'!K319</f>
        <v>5</v>
      </c>
      <c r="L319" s="4" t="str">
        <f>IF('Raw Data'!L319="","No Coupon",'Raw Data'!L319)</f>
        <v>No Coupon</v>
      </c>
      <c r="M319" s="4" t="str">
        <f>'Raw Data'!M319</f>
        <v>Instagram</v>
      </c>
      <c r="N319" s="4">
        <f>'Raw Data'!N319</f>
        <v>279.89999999999998</v>
      </c>
    </row>
    <row r="320" spans="1:14" ht="15" customHeight="1" x14ac:dyDescent="0.2">
      <c r="A320" s="4" t="str">
        <f>'Raw Data'!A320</f>
        <v>ORD200318</v>
      </c>
      <c r="B320" s="6">
        <f>'Raw Data'!B320</f>
        <v>45500</v>
      </c>
      <c r="C320" s="4" t="str">
        <f>'Raw Data'!C320</f>
        <v>C93375</v>
      </c>
      <c r="D320" s="4" t="str">
        <f>'Raw Data'!D320</f>
        <v>Chair</v>
      </c>
      <c r="E320" s="4">
        <f>'Raw Data'!E320</f>
        <v>3</v>
      </c>
      <c r="F320" s="4">
        <f>'Raw Data'!F320</f>
        <v>148.72</v>
      </c>
      <c r="G320" s="4" t="str">
        <f>'Raw Data'!G320</f>
        <v>317 Main St</v>
      </c>
      <c r="H320" s="4" t="str">
        <f>'Raw Data'!H320</f>
        <v>Debit Card</v>
      </c>
      <c r="I320" s="4" t="str">
        <f>'Raw Data'!I320</f>
        <v>Cancelled</v>
      </c>
      <c r="J320" s="4" t="str">
        <f>'Raw Data'!J320</f>
        <v>TRK95706967</v>
      </c>
      <c r="K320" s="4">
        <f>'Raw Data'!K320</f>
        <v>7</v>
      </c>
      <c r="L320" s="4" t="str">
        <f>IF('Raw Data'!L320="","No Coupon",'Raw Data'!L320)</f>
        <v>SAVE10</v>
      </c>
      <c r="M320" s="4" t="str">
        <f>'Raw Data'!M320</f>
        <v>Google</v>
      </c>
      <c r="N320" s="4">
        <f>'Raw Data'!N320</f>
        <v>446.16</v>
      </c>
    </row>
    <row r="321" spans="1:14" ht="15" customHeight="1" x14ac:dyDescent="0.2">
      <c r="A321" s="4" t="str">
        <f>'Raw Data'!A321</f>
        <v>ORD200319</v>
      </c>
      <c r="B321" s="6">
        <f>'Raw Data'!B321</f>
        <v>45262</v>
      </c>
      <c r="C321" s="4" t="str">
        <f>'Raw Data'!C321</f>
        <v>C53049</v>
      </c>
      <c r="D321" s="4" t="str">
        <f>'Raw Data'!D321</f>
        <v>Laptop</v>
      </c>
      <c r="E321" s="4">
        <f>'Raw Data'!E321</f>
        <v>2</v>
      </c>
      <c r="F321" s="4">
        <f>'Raw Data'!F321</f>
        <v>563.05999999999995</v>
      </c>
      <c r="G321" s="4" t="str">
        <f>'Raw Data'!G321</f>
        <v>413 Main St</v>
      </c>
      <c r="H321" s="4" t="str">
        <f>'Raw Data'!H321</f>
        <v>Cash</v>
      </c>
      <c r="I321" s="4" t="str">
        <f>'Raw Data'!I321</f>
        <v>Returned</v>
      </c>
      <c r="J321" s="4" t="str">
        <f>'Raw Data'!J321</f>
        <v>TRK48974907</v>
      </c>
      <c r="K321" s="4">
        <f>'Raw Data'!K321</f>
        <v>6</v>
      </c>
      <c r="L321" s="4" t="str">
        <f>IF('Raw Data'!L321="","No Coupon",'Raw Data'!L321)</f>
        <v>No Coupon</v>
      </c>
      <c r="M321" s="4" t="str">
        <f>'Raw Data'!M321</f>
        <v>Instagram</v>
      </c>
      <c r="N321" s="4">
        <f>'Raw Data'!N321</f>
        <v>1126.1199999999999</v>
      </c>
    </row>
    <row r="322" spans="1:14" ht="15" customHeight="1" x14ac:dyDescent="0.2">
      <c r="A322" s="4" t="str">
        <f>'Raw Data'!A322</f>
        <v>ORD200320</v>
      </c>
      <c r="B322" s="6">
        <f>'Raw Data'!B322</f>
        <v>45645</v>
      </c>
      <c r="C322" s="4" t="str">
        <f>'Raw Data'!C322</f>
        <v>C55590</v>
      </c>
      <c r="D322" s="4" t="str">
        <f>'Raw Data'!D322</f>
        <v>Printer</v>
      </c>
      <c r="E322" s="4">
        <f>'Raw Data'!E322</f>
        <v>1</v>
      </c>
      <c r="F322" s="4">
        <f>'Raw Data'!F322</f>
        <v>625.51</v>
      </c>
      <c r="G322" s="4" t="str">
        <f>'Raw Data'!G322</f>
        <v>772 Main St</v>
      </c>
      <c r="H322" s="4" t="str">
        <f>'Raw Data'!H322</f>
        <v>Credit Card</v>
      </c>
      <c r="I322" s="4" t="str">
        <f>'Raw Data'!I322</f>
        <v>Shipped</v>
      </c>
      <c r="J322" s="4" t="str">
        <f>'Raw Data'!J322</f>
        <v>TRK48792951</v>
      </c>
      <c r="K322" s="4">
        <f>'Raw Data'!K322</f>
        <v>1</v>
      </c>
      <c r="L322" s="4" t="str">
        <f>IF('Raw Data'!L322="","No Coupon",'Raw Data'!L322)</f>
        <v>FREESHIP</v>
      </c>
      <c r="M322" s="4" t="str">
        <f>'Raw Data'!M322</f>
        <v>Facebook</v>
      </c>
      <c r="N322" s="4">
        <f>'Raw Data'!N322</f>
        <v>625.51</v>
      </c>
    </row>
    <row r="323" spans="1:14" ht="15" customHeight="1" x14ac:dyDescent="0.2">
      <c r="A323" s="4" t="str">
        <f>'Raw Data'!A323</f>
        <v>ORD200321</v>
      </c>
      <c r="B323" s="6">
        <f>'Raw Data'!B323</f>
        <v>45147</v>
      </c>
      <c r="C323" s="4" t="str">
        <f>'Raw Data'!C323</f>
        <v>C47086</v>
      </c>
      <c r="D323" s="4" t="str">
        <f>'Raw Data'!D323</f>
        <v>Phone</v>
      </c>
      <c r="E323" s="4">
        <f>'Raw Data'!E323</f>
        <v>4</v>
      </c>
      <c r="F323" s="4">
        <f>'Raw Data'!F323</f>
        <v>152.29</v>
      </c>
      <c r="G323" s="4" t="str">
        <f>'Raw Data'!G323</f>
        <v>135 Main St</v>
      </c>
      <c r="H323" s="4" t="str">
        <f>'Raw Data'!H323</f>
        <v>Debit Card</v>
      </c>
      <c r="I323" s="4" t="str">
        <f>'Raw Data'!I323</f>
        <v>Cancelled</v>
      </c>
      <c r="J323" s="4" t="str">
        <f>'Raw Data'!J323</f>
        <v>TRK44194358</v>
      </c>
      <c r="K323" s="4">
        <f>'Raw Data'!K323</f>
        <v>6</v>
      </c>
      <c r="L323" s="4" t="str">
        <f>IF('Raw Data'!L323="","No Coupon",'Raw Data'!L323)</f>
        <v>WINTER15</v>
      </c>
      <c r="M323" s="4" t="str">
        <f>'Raw Data'!M323</f>
        <v>Google</v>
      </c>
      <c r="N323" s="4">
        <f>'Raw Data'!N323</f>
        <v>609.16</v>
      </c>
    </row>
    <row r="324" spans="1:14" ht="15" customHeight="1" x14ac:dyDescent="0.2">
      <c r="A324" s="4" t="str">
        <f>'Raw Data'!A324</f>
        <v>ORD200322</v>
      </c>
      <c r="B324" s="6">
        <f>'Raw Data'!B324</f>
        <v>45457</v>
      </c>
      <c r="C324" s="4" t="str">
        <f>'Raw Data'!C324</f>
        <v>C48646</v>
      </c>
      <c r="D324" s="4" t="str">
        <f>'Raw Data'!D324</f>
        <v>Phone</v>
      </c>
      <c r="E324" s="4">
        <f>'Raw Data'!E324</f>
        <v>5</v>
      </c>
      <c r="F324" s="4">
        <f>'Raw Data'!F324</f>
        <v>231.82</v>
      </c>
      <c r="G324" s="4" t="str">
        <f>'Raw Data'!G324</f>
        <v>339 Main St</v>
      </c>
      <c r="H324" s="4" t="str">
        <f>'Raw Data'!H324</f>
        <v>Debit Card</v>
      </c>
      <c r="I324" s="4" t="str">
        <f>'Raw Data'!I324</f>
        <v>Delivered</v>
      </c>
      <c r="J324" s="4" t="str">
        <f>'Raw Data'!J324</f>
        <v>TRK18233748</v>
      </c>
      <c r="K324" s="4">
        <f>'Raw Data'!K324</f>
        <v>6</v>
      </c>
      <c r="L324" s="4" t="str">
        <f>IF('Raw Data'!L324="","No Coupon",'Raw Data'!L324)</f>
        <v>SAVE10</v>
      </c>
      <c r="M324" s="4" t="str">
        <f>'Raw Data'!M324</f>
        <v>Facebook</v>
      </c>
      <c r="N324" s="4">
        <f>'Raw Data'!N324</f>
        <v>1159.0999999999999</v>
      </c>
    </row>
    <row r="325" spans="1:14" ht="15" customHeight="1" x14ac:dyDescent="0.2">
      <c r="A325" s="4" t="str">
        <f>'Raw Data'!A325</f>
        <v>ORD200323</v>
      </c>
      <c r="B325" s="6">
        <f>'Raw Data'!B325</f>
        <v>45683</v>
      </c>
      <c r="C325" s="4" t="str">
        <f>'Raw Data'!C325</f>
        <v>C29416</v>
      </c>
      <c r="D325" s="4" t="str">
        <f>'Raw Data'!D325</f>
        <v>Laptop</v>
      </c>
      <c r="E325" s="4">
        <f>'Raw Data'!E325</f>
        <v>1</v>
      </c>
      <c r="F325" s="4">
        <f>'Raw Data'!F325</f>
        <v>150.16999999999999</v>
      </c>
      <c r="G325" s="4" t="str">
        <f>'Raw Data'!G325</f>
        <v>414 Main St</v>
      </c>
      <c r="H325" s="4" t="str">
        <f>'Raw Data'!H325</f>
        <v>Debit Card</v>
      </c>
      <c r="I325" s="4" t="str">
        <f>'Raw Data'!I325</f>
        <v>Returned</v>
      </c>
      <c r="J325" s="4" t="str">
        <f>'Raw Data'!J325</f>
        <v>TRK63820842</v>
      </c>
      <c r="K325" s="4">
        <f>'Raw Data'!K325</f>
        <v>1</v>
      </c>
      <c r="L325" s="4" t="str">
        <f>IF('Raw Data'!L325="","No Coupon",'Raw Data'!L325)</f>
        <v>SAVE10</v>
      </c>
      <c r="M325" s="4" t="str">
        <f>'Raw Data'!M325</f>
        <v>Referral</v>
      </c>
      <c r="N325" s="4">
        <f>'Raw Data'!N325</f>
        <v>150.16999999999999</v>
      </c>
    </row>
    <row r="326" spans="1:14" ht="15" customHeight="1" x14ac:dyDescent="0.2">
      <c r="A326" s="4" t="str">
        <f>'Raw Data'!A326</f>
        <v>ORD200324</v>
      </c>
      <c r="B326" s="6">
        <f>'Raw Data'!B326</f>
        <v>45456</v>
      </c>
      <c r="C326" s="4" t="str">
        <f>'Raw Data'!C326</f>
        <v>C13525</v>
      </c>
      <c r="D326" s="4" t="str">
        <f>'Raw Data'!D326</f>
        <v>Tablet</v>
      </c>
      <c r="E326" s="4">
        <f>'Raw Data'!E326</f>
        <v>3</v>
      </c>
      <c r="F326" s="4">
        <f>'Raw Data'!F326</f>
        <v>70.930000000000007</v>
      </c>
      <c r="G326" s="4" t="str">
        <f>'Raw Data'!G326</f>
        <v>847 Main St</v>
      </c>
      <c r="H326" s="4" t="str">
        <f>'Raw Data'!H326</f>
        <v>Debit Card</v>
      </c>
      <c r="I326" s="4" t="str">
        <f>'Raw Data'!I326</f>
        <v>Returned</v>
      </c>
      <c r="J326" s="4" t="str">
        <f>'Raw Data'!J326</f>
        <v>TRK70193221</v>
      </c>
      <c r="K326" s="4">
        <f>'Raw Data'!K326</f>
        <v>5</v>
      </c>
      <c r="L326" s="4" t="str">
        <f>IF('Raw Data'!L326="","No Coupon",'Raw Data'!L326)</f>
        <v>No Coupon</v>
      </c>
      <c r="M326" s="4" t="str">
        <f>'Raw Data'!M326</f>
        <v>Referral</v>
      </c>
      <c r="N326" s="4">
        <f>'Raw Data'!N326</f>
        <v>212.79</v>
      </c>
    </row>
    <row r="327" spans="1:14" ht="15" customHeight="1" x14ac:dyDescent="0.2">
      <c r="A327" s="4" t="str">
        <f>'Raw Data'!A327</f>
        <v>ORD200325</v>
      </c>
      <c r="B327" s="6">
        <f>'Raw Data'!B327</f>
        <v>45106</v>
      </c>
      <c r="C327" s="4" t="str">
        <f>'Raw Data'!C327</f>
        <v>C53545</v>
      </c>
      <c r="D327" s="4" t="str">
        <f>'Raw Data'!D327</f>
        <v>Desk</v>
      </c>
      <c r="E327" s="4">
        <f>'Raw Data'!E327</f>
        <v>3</v>
      </c>
      <c r="F327" s="4">
        <f>'Raw Data'!F327</f>
        <v>361.39</v>
      </c>
      <c r="G327" s="4" t="str">
        <f>'Raw Data'!G327</f>
        <v>665 Main St</v>
      </c>
      <c r="H327" s="4" t="str">
        <f>'Raw Data'!H327</f>
        <v>Credit Card</v>
      </c>
      <c r="I327" s="4" t="str">
        <f>'Raw Data'!I327</f>
        <v>Shipped</v>
      </c>
      <c r="J327" s="4" t="str">
        <f>'Raw Data'!J327</f>
        <v>TRK61123177</v>
      </c>
      <c r="K327" s="4">
        <f>'Raw Data'!K327</f>
        <v>8</v>
      </c>
      <c r="L327" s="4" t="str">
        <f>IF('Raw Data'!L327="","No Coupon",'Raw Data'!L327)</f>
        <v>No Coupon</v>
      </c>
      <c r="M327" s="4" t="str">
        <f>'Raw Data'!M327</f>
        <v>Referral</v>
      </c>
      <c r="N327" s="4">
        <f>'Raw Data'!N327</f>
        <v>1084.17</v>
      </c>
    </row>
    <row r="328" spans="1:14" ht="15" customHeight="1" x14ac:dyDescent="0.2">
      <c r="A328" s="4" t="str">
        <f>'Raw Data'!A328</f>
        <v>ORD200326</v>
      </c>
      <c r="B328" s="6">
        <f>'Raw Data'!B328</f>
        <v>45474</v>
      </c>
      <c r="C328" s="4" t="str">
        <f>'Raw Data'!C328</f>
        <v>C65986</v>
      </c>
      <c r="D328" s="4" t="str">
        <f>'Raw Data'!D328</f>
        <v>Laptop</v>
      </c>
      <c r="E328" s="4">
        <f>'Raw Data'!E328</f>
        <v>5</v>
      </c>
      <c r="F328" s="4">
        <f>'Raw Data'!F328</f>
        <v>670.48</v>
      </c>
      <c r="G328" s="4" t="str">
        <f>'Raw Data'!G328</f>
        <v>273 Main St</v>
      </c>
      <c r="H328" s="4" t="str">
        <f>'Raw Data'!H328</f>
        <v>Gift Card</v>
      </c>
      <c r="I328" s="4" t="str">
        <f>'Raw Data'!I328</f>
        <v>Returned</v>
      </c>
      <c r="J328" s="4" t="str">
        <f>'Raw Data'!J328</f>
        <v>TRK98353867</v>
      </c>
      <c r="K328" s="4">
        <f>'Raw Data'!K328</f>
        <v>5</v>
      </c>
      <c r="L328" s="4" t="str">
        <f>IF('Raw Data'!L328="","No Coupon",'Raw Data'!L328)</f>
        <v>SAVE10</v>
      </c>
      <c r="M328" s="4" t="str">
        <f>'Raw Data'!M328</f>
        <v>Facebook</v>
      </c>
      <c r="N328" s="4">
        <f>'Raw Data'!N328</f>
        <v>3352.4</v>
      </c>
    </row>
    <row r="329" spans="1:14" ht="15" customHeight="1" x14ac:dyDescent="0.2">
      <c r="A329" s="4" t="str">
        <f>'Raw Data'!A329</f>
        <v>ORD200327</v>
      </c>
      <c r="B329" s="6">
        <f>'Raw Data'!B329</f>
        <v>45132</v>
      </c>
      <c r="C329" s="4" t="str">
        <f>'Raw Data'!C329</f>
        <v>C17302</v>
      </c>
      <c r="D329" s="4" t="str">
        <f>'Raw Data'!D329</f>
        <v>Phone</v>
      </c>
      <c r="E329" s="4">
        <f>'Raw Data'!E329</f>
        <v>1</v>
      </c>
      <c r="F329" s="4">
        <f>'Raw Data'!F329</f>
        <v>359.99</v>
      </c>
      <c r="G329" s="4" t="str">
        <f>'Raw Data'!G329</f>
        <v>385 Main St</v>
      </c>
      <c r="H329" s="4" t="str">
        <f>'Raw Data'!H329</f>
        <v>Gift Card</v>
      </c>
      <c r="I329" s="4" t="str">
        <f>'Raw Data'!I329</f>
        <v>Cancelled</v>
      </c>
      <c r="J329" s="4" t="str">
        <f>'Raw Data'!J329</f>
        <v>TRK43940016</v>
      </c>
      <c r="K329" s="4">
        <f>'Raw Data'!K329</f>
        <v>5</v>
      </c>
      <c r="L329" s="4" t="str">
        <f>IF('Raw Data'!L329="","No Coupon",'Raw Data'!L329)</f>
        <v>SAVE10</v>
      </c>
      <c r="M329" s="4" t="str">
        <f>'Raw Data'!M329</f>
        <v>Email</v>
      </c>
      <c r="N329" s="4">
        <f>'Raw Data'!N329</f>
        <v>359.99</v>
      </c>
    </row>
    <row r="330" spans="1:14" ht="15" customHeight="1" x14ac:dyDescent="0.2">
      <c r="A330" s="4" t="str">
        <f>'Raw Data'!A330</f>
        <v>ORD200328</v>
      </c>
      <c r="B330" s="6">
        <f>'Raw Data'!B330</f>
        <v>44985</v>
      </c>
      <c r="C330" s="4" t="str">
        <f>'Raw Data'!C330</f>
        <v>C18404</v>
      </c>
      <c r="D330" s="4" t="str">
        <f>'Raw Data'!D330</f>
        <v>Tablet</v>
      </c>
      <c r="E330" s="4">
        <f>'Raw Data'!E330</f>
        <v>5</v>
      </c>
      <c r="F330" s="4">
        <f>'Raw Data'!F330</f>
        <v>674.04</v>
      </c>
      <c r="G330" s="4" t="str">
        <f>'Raw Data'!G330</f>
        <v>546 Main St</v>
      </c>
      <c r="H330" s="4" t="str">
        <f>'Raw Data'!H330</f>
        <v>Online</v>
      </c>
      <c r="I330" s="4" t="str">
        <f>'Raw Data'!I330</f>
        <v>Cancelled</v>
      </c>
      <c r="J330" s="4" t="str">
        <f>'Raw Data'!J330</f>
        <v>TRK89401624</v>
      </c>
      <c r="K330" s="4">
        <f>'Raw Data'!K330</f>
        <v>7</v>
      </c>
      <c r="L330" s="4" t="str">
        <f>IF('Raw Data'!L330="","No Coupon",'Raw Data'!L330)</f>
        <v>SAVE10</v>
      </c>
      <c r="M330" s="4" t="str">
        <f>'Raw Data'!M330</f>
        <v>Google</v>
      </c>
      <c r="N330" s="4">
        <f>'Raw Data'!N330</f>
        <v>3370.2</v>
      </c>
    </row>
    <row r="331" spans="1:14" ht="15" customHeight="1" x14ac:dyDescent="0.2">
      <c r="A331" s="4" t="str">
        <f>'Raw Data'!A331</f>
        <v>ORD200329</v>
      </c>
      <c r="B331" s="6">
        <f>'Raw Data'!B331</f>
        <v>45651</v>
      </c>
      <c r="C331" s="4" t="str">
        <f>'Raw Data'!C331</f>
        <v>C88371</v>
      </c>
      <c r="D331" s="4" t="str">
        <f>'Raw Data'!D331</f>
        <v>Chair</v>
      </c>
      <c r="E331" s="4">
        <f>'Raw Data'!E331</f>
        <v>4</v>
      </c>
      <c r="F331" s="4">
        <f>'Raw Data'!F331</f>
        <v>283.16000000000003</v>
      </c>
      <c r="G331" s="4" t="str">
        <f>'Raw Data'!G331</f>
        <v>306 Main St</v>
      </c>
      <c r="H331" s="4" t="str">
        <f>'Raw Data'!H331</f>
        <v>Credit Card</v>
      </c>
      <c r="I331" s="4" t="str">
        <f>'Raw Data'!I331</f>
        <v>Shipped</v>
      </c>
      <c r="J331" s="4" t="str">
        <f>'Raw Data'!J331</f>
        <v>TRK63224811</v>
      </c>
      <c r="K331" s="4">
        <f>'Raw Data'!K331</f>
        <v>6</v>
      </c>
      <c r="L331" s="4" t="str">
        <f>IF('Raw Data'!L331="","No Coupon",'Raw Data'!L331)</f>
        <v>No Coupon</v>
      </c>
      <c r="M331" s="4" t="str">
        <f>'Raw Data'!M331</f>
        <v>Google</v>
      </c>
      <c r="N331" s="4">
        <f>'Raw Data'!N331</f>
        <v>1132.6400000000001</v>
      </c>
    </row>
    <row r="332" spans="1:14" ht="15" customHeight="1" x14ac:dyDescent="0.2">
      <c r="A332" s="4" t="str">
        <f>'Raw Data'!A332</f>
        <v>ORD200330</v>
      </c>
      <c r="B332" s="6">
        <f>'Raw Data'!B332</f>
        <v>45445</v>
      </c>
      <c r="C332" s="4" t="str">
        <f>'Raw Data'!C332</f>
        <v>C38068</v>
      </c>
      <c r="D332" s="4" t="str">
        <f>'Raw Data'!D332</f>
        <v>Desk</v>
      </c>
      <c r="E332" s="4">
        <f>'Raw Data'!E332</f>
        <v>5</v>
      </c>
      <c r="F332" s="4">
        <f>'Raw Data'!F332</f>
        <v>260.52999999999997</v>
      </c>
      <c r="G332" s="4" t="str">
        <f>'Raw Data'!G332</f>
        <v>532 Main St</v>
      </c>
      <c r="H332" s="4" t="str">
        <f>'Raw Data'!H332</f>
        <v>Gift Card</v>
      </c>
      <c r="I332" s="4" t="str">
        <f>'Raw Data'!I332</f>
        <v>Pending</v>
      </c>
      <c r="J332" s="4" t="str">
        <f>'Raw Data'!J332</f>
        <v>TRK54059198</v>
      </c>
      <c r="K332" s="4">
        <f>'Raw Data'!K332</f>
        <v>5</v>
      </c>
      <c r="L332" s="4" t="str">
        <f>IF('Raw Data'!L332="","No Coupon",'Raw Data'!L332)</f>
        <v>SAVE10</v>
      </c>
      <c r="M332" s="4" t="str">
        <f>'Raw Data'!M332</f>
        <v>Instagram</v>
      </c>
      <c r="N332" s="4">
        <f>'Raw Data'!N332</f>
        <v>1302.6500000000001</v>
      </c>
    </row>
    <row r="333" spans="1:14" ht="15" customHeight="1" x14ac:dyDescent="0.2">
      <c r="A333" s="4" t="str">
        <f>'Raw Data'!A333</f>
        <v>ORD200331</v>
      </c>
      <c r="B333" s="6">
        <f>'Raw Data'!B333</f>
        <v>45031</v>
      </c>
      <c r="C333" s="4" t="str">
        <f>'Raw Data'!C333</f>
        <v>C78724</v>
      </c>
      <c r="D333" s="4" t="str">
        <f>'Raw Data'!D333</f>
        <v>Printer</v>
      </c>
      <c r="E333" s="4">
        <f>'Raw Data'!E333</f>
        <v>3</v>
      </c>
      <c r="F333" s="4">
        <f>'Raw Data'!F333</f>
        <v>422.13</v>
      </c>
      <c r="G333" s="4" t="str">
        <f>'Raw Data'!G333</f>
        <v>187 Main St</v>
      </c>
      <c r="H333" s="4" t="str">
        <f>'Raw Data'!H333</f>
        <v>Online</v>
      </c>
      <c r="I333" s="4" t="str">
        <f>'Raw Data'!I333</f>
        <v>Delivered</v>
      </c>
      <c r="J333" s="4" t="str">
        <f>'Raw Data'!J333</f>
        <v>TRK25703134</v>
      </c>
      <c r="K333" s="4">
        <f>'Raw Data'!K333</f>
        <v>7</v>
      </c>
      <c r="L333" s="4" t="str">
        <f>IF('Raw Data'!L333="","No Coupon",'Raw Data'!L333)</f>
        <v>SAVE10</v>
      </c>
      <c r="M333" s="4" t="str">
        <f>'Raw Data'!M333</f>
        <v>Facebook</v>
      </c>
      <c r="N333" s="4">
        <f>'Raw Data'!N333</f>
        <v>1266.3900000000001</v>
      </c>
    </row>
    <row r="334" spans="1:14" ht="15" customHeight="1" x14ac:dyDescent="0.2">
      <c r="A334" s="4" t="str">
        <f>'Raw Data'!A334</f>
        <v>ORD200332</v>
      </c>
      <c r="B334" s="6">
        <f>'Raw Data'!B334</f>
        <v>45476</v>
      </c>
      <c r="C334" s="4" t="str">
        <f>'Raw Data'!C334</f>
        <v>C26163</v>
      </c>
      <c r="D334" s="4" t="str">
        <f>'Raw Data'!D334</f>
        <v>Desk</v>
      </c>
      <c r="E334" s="4">
        <f>'Raw Data'!E334</f>
        <v>5</v>
      </c>
      <c r="F334" s="4">
        <f>'Raw Data'!F334</f>
        <v>125.02</v>
      </c>
      <c r="G334" s="4" t="str">
        <f>'Raw Data'!G334</f>
        <v>607 Main St</v>
      </c>
      <c r="H334" s="4" t="str">
        <f>'Raw Data'!H334</f>
        <v>Debit Card</v>
      </c>
      <c r="I334" s="4" t="str">
        <f>'Raw Data'!I334</f>
        <v>Pending</v>
      </c>
      <c r="J334" s="4" t="str">
        <f>'Raw Data'!J334</f>
        <v>TRK67499316</v>
      </c>
      <c r="K334" s="4">
        <f>'Raw Data'!K334</f>
        <v>9</v>
      </c>
      <c r="L334" s="4" t="str">
        <f>IF('Raw Data'!L334="","No Coupon",'Raw Data'!L334)</f>
        <v>SAVE10</v>
      </c>
      <c r="M334" s="4" t="str">
        <f>'Raw Data'!M334</f>
        <v>Google</v>
      </c>
      <c r="N334" s="4">
        <f>'Raw Data'!N334</f>
        <v>625.1</v>
      </c>
    </row>
    <row r="335" spans="1:14" ht="15" customHeight="1" x14ac:dyDescent="0.2">
      <c r="A335" s="4" t="str">
        <f>'Raw Data'!A335</f>
        <v>ORD200333</v>
      </c>
      <c r="B335" s="6">
        <f>'Raw Data'!B335</f>
        <v>45398</v>
      </c>
      <c r="C335" s="4" t="str">
        <f>'Raw Data'!C335</f>
        <v>C87124</v>
      </c>
      <c r="D335" s="4" t="str">
        <f>'Raw Data'!D335</f>
        <v>Phone</v>
      </c>
      <c r="E335" s="4">
        <f>'Raw Data'!E335</f>
        <v>1</v>
      </c>
      <c r="F335" s="4">
        <f>'Raw Data'!F335</f>
        <v>198.51</v>
      </c>
      <c r="G335" s="4" t="str">
        <f>'Raw Data'!G335</f>
        <v>818 Main St</v>
      </c>
      <c r="H335" s="4" t="str">
        <f>'Raw Data'!H335</f>
        <v>Credit Card</v>
      </c>
      <c r="I335" s="4" t="str">
        <f>'Raw Data'!I335</f>
        <v>Returned</v>
      </c>
      <c r="J335" s="4" t="str">
        <f>'Raw Data'!J335</f>
        <v>TRK52086740</v>
      </c>
      <c r="K335" s="4">
        <f>'Raw Data'!K335</f>
        <v>5</v>
      </c>
      <c r="L335" s="4" t="str">
        <f>IF('Raw Data'!L335="","No Coupon",'Raw Data'!L335)</f>
        <v>WINTER15</v>
      </c>
      <c r="M335" s="4" t="str">
        <f>'Raw Data'!M335</f>
        <v>Instagram</v>
      </c>
      <c r="N335" s="4">
        <f>'Raw Data'!N335</f>
        <v>198.51</v>
      </c>
    </row>
    <row r="336" spans="1:14" ht="15" customHeight="1" x14ac:dyDescent="0.2">
      <c r="A336" s="4" t="str">
        <f>'Raw Data'!A336</f>
        <v>ORD200334</v>
      </c>
      <c r="B336" s="6">
        <f>'Raw Data'!B336</f>
        <v>45377</v>
      </c>
      <c r="C336" s="4" t="str">
        <f>'Raw Data'!C336</f>
        <v>C90348</v>
      </c>
      <c r="D336" s="4" t="str">
        <f>'Raw Data'!D336</f>
        <v>Chair</v>
      </c>
      <c r="E336" s="4">
        <f>'Raw Data'!E336</f>
        <v>4</v>
      </c>
      <c r="F336" s="4">
        <f>'Raw Data'!F336</f>
        <v>224.75</v>
      </c>
      <c r="G336" s="4" t="str">
        <f>'Raw Data'!G336</f>
        <v>728 Main St</v>
      </c>
      <c r="H336" s="4" t="str">
        <f>'Raw Data'!H336</f>
        <v>Online</v>
      </c>
      <c r="I336" s="4" t="str">
        <f>'Raw Data'!I336</f>
        <v>Delivered</v>
      </c>
      <c r="J336" s="4" t="str">
        <f>'Raw Data'!J336</f>
        <v>TRK20635777</v>
      </c>
      <c r="K336" s="4">
        <f>'Raw Data'!K336</f>
        <v>7</v>
      </c>
      <c r="L336" s="4" t="str">
        <f>IF('Raw Data'!L336="","No Coupon",'Raw Data'!L336)</f>
        <v>WINTER15</v>
      </c>
      <c r="M336" s="4" t="str">
        <f>'Raw Data'!M336</f>
        <v>Facebook</v>
      </c>
      <c r="N336" s="4">
        <f>'Raw Data'!N336</f>
        <v>899</v>
      </c>
    </row>
    <row r="337" spans="1:14" ht="15" customHeight="1" x14ac:dyDescent="0.2">
      <c r="A337" s="4" t="str">
        <f>'Raw Data'!A337</f>
        <v>ORD200335</v>
      </c>
      <c r="B337" s="6">
        <f>'Raw Data'!B337</f>
        <v>45719</v>
      </c>
      <c r="C337" s="4" t="str">
        <f>'Raw Data'!C337</f>
        <v>C58721</v>
      </c>
      <c r="D337" s="4" t="str">
        <f>'Raw Data'!D337</f>
        <v>Tablet</v>
      </c>
      <c r="E337" s="4">
        <f>'Raw Data'!E337</f>
        <v>3</v>
      </c>
      <c r="F337" s="4">
        <f>'Raw Data'!F337</f>
        <v>205.86</v>
      </c>
      <c r="G337" s="4" t="str">
        <f>'Raw Data'!G337</f>
        <v>978 Main St</v>
      </c>
      <c r="H337" s="4" t="str">
        <f>'Raw Data'!H337</f>
        <v>Gift Card</v>
      </c>
      <c r="I337" s="4" t="str">
        <f>'Raw Data'!I337</f>
        <v>Shipped</v>
      </c>
      <c r="J337" s="4" t="str">
        <f>'Raw Data'!J337</f>
        <v>TRK34801199</v>
      </c>
      <c r="K337" s="4">
        <f>'Raw Data'!K337</f>
        <v>4</v>
      </c>
      <c r="L337" s="4" t="str">
        <f>IF('Raw Data'!L337="","No Coupon",'Raw Data'!L337)</f>
        <v>No Coupon</v>
      </c>
      <c r="M337" s="4" t="str">
        <f>'Raw Data'!M337</f>
        <v>Email</v>
      </c>
      <c r="N337" s="4">
        <f>'Raw Data'!N337</f>
        <v>617.58000000000004</v>
      </c>
    </row>
    <row r="338" spans="1:14" ht="15" customHeight="1" x14ac:dyDescent="0.2">
      <c r="A338" s="4" t="str">
        <f>'Raw Data'!A338</f>
        <v>ORD200336</v>
      </c>
      <c r="B338" s="6">
        <f>'Raw Data'!B338</f>
        <v>45289</v>
      </c>
      <c r="C338" s="4" t="str">
        <f>'Raw Data'!C338</f>
        <v>C88174</v>
      </c>
      <c r="D338" s="4" t="str">
        <f>'Raw Data'!D338</f>
        <v>Laptop</v>
      </c>
      <c r="E338" s="4">
        <f>'Raw Data'!E338</f>
        <v>1</v>
      </c>
      <c r="F338" s="4">
        <f>'Raw Data'!F338</f>
        <v>18.2</v>
      </c>
      <c r="G338" s="4" t="str">
        <f>'Raw Data'!G338</f>
        <v>441 Main St</v>
      </c>
      <c r="H338" s="4" t="str">
        <f>'Raw Data'!H338</f>
        <v>Debit Card</v>
      </c>
      <c r="I338" s="4" t="str">
        <f>'Raw Data'!I338</f>
        <v>Pending</v>
      </c>
      <c r="J338" s="4" t="str">
        <f>'Raw Data'!J338</f>
        <v>TRK10143345</v>
      </c>
      <c r="K338" s="4">
        <f>'Raw Data'!K338</f>
        <v>4</v>
      </c>
      <c r="L338" s="4" t="str">
        <f>IF('Raw Data'!L338="","No Coupon",'Raw Data'!L338)</f>
        <v>SAVE10</v>
      </c>
      <c r="M338" s="4" t="str">
        <f>'Raw Data'!M338</f>
        <v>Instagram</v>
      </c>
      <c r="N338" s="4">
        <f>'Raw Data'!N338</f>
        <v>18.2</v>
      </c>
    </row>
    <row r="339" spans="1:14" ht="15" customHeight="1" x14ac:dyDescent="0.2">
      <c r="A339" s="4" t="str">
        <f>'Raw Data'!A339</f>
        <v>ORD200337</v>
      </c>
      <c r="B339" s="6">
        <f>'Raw Data'!B339</f>
        <v>45075</v>
      </c>
      <c r="C339" s="4" t="str">
        <f>'Raw Data'!C339</f>
        <v>C77763</v>
      </c>
      <c r="D339" s="4" t="str">
        <f>'Raw Data'!D339</f>
        <v>Tablet</v>
      </c>
      <c r="E339" s="4">
        <f>'Raw Data'!E339</f>
        <v>3</v>
      </c>
      <c r="F339" s="4">
        <f>'Raw Data'!F339</f>
        <v>502.77</v>
      </c>
      <c r="G339" s="4" t="str">
        <f>'Raw Data'!G339</f>
        <v>599 Main St</v>
      </c>
      <c r="H339" s="4" t="str">
        <f>'Raw Data'!H339</f>
        <v>Debit Card</v>
      </c>
      <c r="I339" s="4" t="str">
        <f>'Raw Data'!I339</f>
        <v>Returned</v>
      </c>
      <c r="J339" s="4" t="str">
        <f>'Raw Data'!J339</f>
        <v>TRK66980447</v>
      </c>
      <c r="K339" s="4">
        <f>'Raw Data'!K339</f>
        <v>8</v>
      </c>
      <c r="L339" s="4" t="str">
        <f>IF('Raw Data'!L339="","No Coupon",'Raw Data'!L339)</f>
        <v>WINTER15</v>
      </c>
      <c r="M339" s="4" t="str">
        <f>'Raw Data'!M339</f>
        <v>Email</v>
      </c>
      <c r="N339" s="4">
        <f>'Raw Data'!N339</f>
        <v>1508.31</v>
      </c>
    </row>
    <row r="340" spans="1:14" ht="15" customHeight="1" x14ac:dyDescent="0.2">
      <c r="A340" s="4" t="str">
        <f>'Raw Data'!A340</f>
        <v>ORD200338</v>
      </c>
      <c r="B340" s="6">
        <f>'Raw Data'!B340</f>
        <v>45238</v>
      </c>
      <c r="C340" s="4" t="str">
        <f>'Raw Data'!C340</f>
        <v>C53627</v>
      </c>
      <c r="D340" s="4" t="str">
        <f>'Raw Data'!D340</f>
        <v>Phone</v>
      </c>
      <c r="E340" s="4">
        <f>'Raw Data'!E340</f>
        <v>5</v>
      </c>
      <c r="F340" s="4">
        <f>'Raw Data'!F340</f>
        <v>305.49</v>
      </c>
      <c r="G340" s="4" t="str">
        <f>'Raw Data'!G340</f>
        <v>704 Main St</v>
      </c>
      <c r="H340" s="4" t="str">
        <f>'Raw Data'!H340</f>
        <v>Debit Card</v>
      </c>
      <c r="I340" s="4" t="str">
        <f>'Raw Data'!I340</f>
        <v>Shipped</v>
      </c>
      <c r="J340" s="4" t="str">
        <f>'Raw Data'!J340</f>
        <v>TRK64112352</v>
      </c>
      <c r="K340" s="4">
        <f>'Raw Data'!K340</f>
        <v>10</v>
      </c>
      <c r="L340" s="4" t="str">
        <f>IF('Raw Data'!L340="","No Coupon",'Raw Data'!L340)</f>
        <v>No Coupon</v>
      </c>
      <c r="M340" s="4" t="str">
        <f>'Raw Data'!M340</f>
        <v>Referral</v>
      </c>
      <c r="N340" s="4">
        <f>'Raw Data'!N340</f>
        <v>1527.45</v>
      </c>
    </row>
    <row r="341" spans="1:14" ht="15" customHeight="1" x14ac:dyDescent="0.2">
      <c r="A341" s="4" t="str">
        <f>'Raw Data'!A341</f>
        <v>ORD200339</v>
      </c>
      <c r="B341" s="6">
        <f>'Raw Data'!B341</f>
        <v>45392</v>
      </c>
      <c r="C341" s="4" t="str">
        <f>'Raw Data'!C341</f>
        <v>C84563</v>
      </c>
      <c r="D341" s="4" t="str">
        <f>'Raw Data'!D341</f>
        <v>Printer</v>
      </c>
      <c r="E341" s="4">
        <f>'Raw Data'!E341</f>
        <v>2</v>
      </c>
      <c r="F341" s="4">
        <f>'Raw Data'!F341</f>
        <v>236.33</v>
      </c>
      <c r="G341" s="4" t="str">
        <f>'Raw Data'!G341</f>
        <v>398 Main St</v>
      </c>
      <c r="H341" s="4" t="str">
        <f>'Raw Data'!H341</f>
        <v>Online</v>
      </c>
      <c r="I341" s="4" t="str">
        <f>'Raw Data'!I341</f>
        <v>Pending</v>
      </c>
      <c r="J341" s="4" t="str">
        <f>'Raw Data'!J341</f>
        <v>TRK62422797</v>
      </c>
      <c r="K341" s="4">
        <f>'Raw Data'!K341</f>
        <v>3</v>
      </c>
      <c r="L341" s="4" t="str">
        <f>IF('Raw Data'!L341="","No Coupon",'Raw Data'!L341)</f>
        <v>SAVE10</v>
      </c>
      <c r="M341" s="4" t="str">
        <f>'Raw Data'!M341</f>
        <v>Instagram</v>
      </c>
      <c r="N341" s="4">
        <f>'Raw Data'!N341</f>
        <v>472.66</v>
      </c>
    </row>
    <row r="342" spans="1:14" ht="15" customHeight="1" x14ac:dyDescent="0.2">
      <c r="A342" s="4" t="str">
        <f>'Raw Data'!A342</f>
        <v>ORD200340</v>
      </c>
      <c r="B342" s="6">
        <f>'Raw Data'!B342</f>
        <v>45039</v>
      </c>
      <c r="C342" s="4" t="str">
        <f>'Raw Data'!C342</f>
        <v>C76207</v>
      </c>
      <c r="D342" s="4" t="str">
        <f>'Raw Data'!D342</f>
        <v>Laptop</v>
      </c>
      <c r="E342" s="4">
        <f>'Raw Data'!E342</f>
        <v>5</v>
      </c>
      <c r="F342" s="4">
        <f>'Raw Data'!F342</f>
        <v>521.25</v>
      </c>
      <c r="G342" s="4" t="str">
        <f>'Raw Data'!G342</f>
        <v>826 Main St</v>
      </c>
      <c r="H342" s="4" t="str">
        <f>'Raw Data'!H342</f>
        <v>Cash</v>
      </c>
      <c r="I342" s="4" t="str">
        <f>'Raw Data'!I342</f>
        <v>Cancelled</v>
      </c>
      <c r="J342" s="4" t="str">
        <f>'Raw Data'!J342</f>
        <v>TRK25569378</v>
      </c>
      <c r="K342" s="4">
        <f>'Raw Data'!K342</f>
        <v>8</v>
      </c>
      <c r="L342" s="4" t="str">
        <f>IF('Raw Data'!L342="","No Coupon",'Raw Data'!L342)</f>
        <v>No Coupon</v>
      </c>
      <c r="M342" s="4" t="str">
        <f>'Raw Data'!M342</f>
        <v>Email</v>
      </c>
      <c r="N342" s="4">
        <f>'Raw Data'!N342</f>
        <v>2606.25</v>
      </c>
    </row>
    <row r="343" spans="1:14" ht="15" customHeight="1" x14ac:dyDescent="0.2">
      <c r="A343" s="4" t="str">
        <f>'Raw Data'!A343</f>
        <v>ORD200341</v>
      </c>
      <c r="B343" s="6">
        <f>'Raw Data'!B343</f>
        <v>45558</v>
      </c>
      <c r="C343" s="4" t="str">
        <f>'Raw Data'!C343</f>
        <v>C94671</v>
      </c>
      <c r="D343" s="4" t="str">
        <f>'Raw Data'!D343</f>
        <v>Tablet</v>
      </c>
      <c r="E343" s="4">
        <f>'Raw Data'!E343</f>
        <v>1</v>
      </c>
      <c r="F343" s="4">
        <f>'Raw Data'!F343</f>
        <v>167.15</v>
      </c>
      <c r="G343" s="4" t="str">
        <f>'Raw Data'!G343</f>
        <v>293 Main St</v>
      </c>
      <c r="H343" s="4" t="str">
        <f>'Raw Data'!H343</f>
        <v>Gift Card</v>
      </c>
      <c r="I343" s="4" t="str">
        <f>'Raw Data'!I343</f>
        <v>Shipped</v>
      </c>
      <c r="J343" s="4" t="str">
        <f>'Raw Data'!J343</f>
        <v>TRK61357272</v>
      </c>
      <c r="K343" s="4">
        <f>'Raw Data'!K343</f>
        <v>5</v>
      </c>
      <c r="L343" s="4" t="str">
        <f>IF('Raw Data'!L343="","No Coupon",'Raw Data'!L343)</f>
        <v>WINTER15</v>
      </c>
      <c r="M343" s="4" t="str">
        <f>'Raw Data'!M343</f>
        <v>Email</v>
      </c>
      <c r="N343" s="4">
        <f>'Raw Data'!N343</f>
        <v>167.15</v>
      </c>
    </row>
    <row r="344" spans="1:14" ht="15" customHeight="1" x14ac:dyDescent="0.2">
      <c r="A344" s="4" t="str">
        <f>'Raw Data'!A344</f>
        <v>ORD200342</v>
      </c>
      <c r="B344" s="6">
        <f>'Raw Data'!B344</f>
        <v>45832</v>
      </c>
      <c r="C344" s="4" t="str">
        <f>'Raw Data'!C344</f>
        <v>C69994</v>
      </c>
      <c r="D344" s="4" t="str">
        <f>'Raw Data'!D344</f>
        <v>Monitor</v>
      </c>
      <c r="E344" s="4">
        <f>'Raw Data'!E344</f>
        <v>5</v>
      </c>
      <c r="F344" s="4">
        <f>'Raw Data'!F344</f>
        <v>466.42</v>
      </c>
      <c r="G344" s="4" t="str">
        <f>'Raw Data'!G344</f>
        <v>619 Main St</v>
      </c>
      <c r="H344" s="4" t="str">
        <f>'Raw Data'!H344</f>
        <v>Gift Card</v>
      </c>
      <c r="I344" s="4" t="str">
        <f>'Raw Data'!I344</f>
        <v>Returned</v>
      </c>
      <c r="J344" s="4" t="str">
        <f>'Raw Data'!J344</f>
        <v>TRK95935805</v>
      </c>
      <c r="K344" s="4">
        <f>'Raw Data'!K344</f>
        <v>5</v>
      </c>
      <c r="L344" s="4" t="str">
        <f>IF('Raw Data'!L344="","No Coupon",'Raw Data'!L344)</f>
        <v>No Coupon</v>
      </c>
      <c r="M344" s="4" t="str">
        <f>'Raw Data'!M344</f>
        <v>Referral</v>
      </c>
      <c r="N344" s="4">
        <f>'Raw Data'!N344</f>
        <v>2332.1</v>
      </c>
    </row>
    <row r="345" spans="1:14" ht="15" customHeight="1" x14ac:dyDescent="0.2">
      <c r="A345" s="4" t="str">
        <f>'Raw Data'!A345</f>
        <v>ORD200343</v>
      </c>
      <c r="B345" s="6">
        <f>'Raw Data'!B345</f>
        <v>44983</v>
      </c>
      <c r="C345" s="4" t="str">
        <f>'Raw Data'!C345</f>
        <v>C64638</v>
      </c>
      <c r="D345" s="4" t="str">
        <f>'Raw Data'!D345</f>
        <v>Printer</v>
      </c>
      <c r="E345" s="4">
        <f>'Raw Data'!E345</f>
        <v>1</v>
      </c>
      <c r="F345" s="4">
        <f>'Raw Data'!F345</f>
        <v>527.57000000000005</v>
      </c>
      <c r="G345" s="4" t="str">
        <f>'Raw Data'!G345</f>
        <v>919 Main St</v>
      </c>
      <c r="H345" s="4" t="str">
        <f>'Raw Data'!H345</f>
        <v>Debit Card</v>
      </c>
      <c r="I345" s="4" t="str">
        <f>'Raw Data'!I345</f>
        <v>Pending</v>
      </c>
      <c r="J345" s="4" t="str">
        <f>'Raw Data'!J345</f>
        <v>TRK64087938</v>
      </c>
      <c r="K345" s="4">
        <f>'Raw Data'!K345</f>
        <v>3</v>
      </c>
      <c r="L345" s="4" t="str">
        <f>IF('Raw Data'!L345="","No Coupon",'Raw Data'!L345)</f>
        <v>FREESHIP</v>
      </c>
      <c r="M345" s="4" t="str">
        <f>'Raw Data'!M345</f>
        <v>Facebook</v>
      </c>
      <c r="N345" s="4">
        <f>'Raw Data'!N345</f>
        <v>527.57000000000005</v>
      </c>
    </row>
    <row r="346" spans="1:14" ht="15" customHeight="1" x14ac:dyDescent="0.2">
      <c r="A346" s="4" t="str">
        <f>'Raw Data'!A346</f>
        <v>ORD200344</v>
      </c>
      <c r="B346" s="6">
        <f>'Raw Data'!B346</f>
        <v>45722</v>
      </c>
      <c r="C346" s="4" t="str">
        <f>'Raw Data'!C346</f>
        <v>C95623</v>
      </c>
      <c r="D346" s="4" t="str">
        <f>'Raw Data'!D346</f>
        <v>Tablet</v>
      </c>
      <c r="E346" s="4">
        <f>'Raw Data'!E346</f>
        <v>3</v>
      </c>
      <c r="F346" s="4">
        <f>'Raw Data'!F346</f>
        <v>623.34</v>
      </c>
      <c r="G346" s="4" t="str">
        <f>'Raw Data'!G346</f>
        <v>248 Main St</v>
      </c>
      <c r="H346" s="4" t="str">
        <f>'Raw Data'!H346</f>
        <v>Online</v>
      </c>
      <c r="I346" s="4" t="str">
        <f>'Raw Data'!I346</f>
        <v>Cancelled</v>
      </c>
      <c r="J346" s="4" t="str">
        <f>'Raw Data'!J346</f>
        <v>TRK67558189</v>
      </c>
      <c r="K346" s="4">
        <f>'Raw Data'!K346</f>
        <v>3</v>
      </c>
      <c r="L346" s="4" t="str">
        <f>IF('Raw Data'!L346="","No Coupon",'Raw Data'!L346)</f>
        <v>SAVE10</v>
      </c>
      <c r="M346" s="4" t="str">
        <f>'Raw Data'!M346</f>
        <v>Instagram</v>
      </c>
      <c r="N346" s="4">
        <f>'Raw Data'!N346</f>
        <v>1870.02</v>
      </c>
    </row>
    <row r="347" spans="1:14" ht="15" customHeight="1" x14ac:dyDescent="0.2">
      <c r="A347" s="4" t="str">
        <f>'Raw Data'!A347</f>
        <v>ORD200345</v>
      </c>
      <c r="B347" s="6">
        <f>'Raw Data'!B347</f>
        <v>45267</v>
      </c>
      <c r="C347" s="4" t="str">
        <f>'Raw Data'!C347</f>
        <v>C24751</v>
      </c>
      <c r="D347" s="4" t="str">
        <f>'Raw Data'!D347</f>
        <v>Tablet</v>
      </c>
      <c r="E347" s="4">
        <f>'Raw Data'!E347</f>
        <v>5</v>
      </c>
      <c r="F347" s="4">
        <f>'Raw Data'!F347</f>
        <v>501.26</v>
      </c>
      <c r="G347" s="4" t="str">
        <f>'Raw Data'!G347</f>
        <v>259 Main St</v>
      </c>
      <c r="H347" s="4" t="str">
        <f>'Raw Data'!H347</f>
        <v>Gift Card</v>
      </c>
      <c r="I347" s="4" t="str">
        <f>'Raw Data'!I347</f>
        <v>Shipped</v>
      </c>
      <c r="J347" s="4" t="str">
        <f>'Raw Data'!J347</f>
        <v>TRK37285406</v>
      </c>
      <c r="K347" s="4">
        <f>'Raw Data'!K347</f>
        <v>10</v>
      </c>
      <c r="L347" s="4" t="str">
        <f>IF('Raw Data'!L347="","No Coupon",'Raw Data'!L347)</f>
        <v>FREESHIP</v>
      </c>
      <c r="M347" s="4" t="str">
        <f>'Raw Data'!M347</f>
        <v>Referral</v>
      </c>
      <c r="N347" s="4">
        <f>'Raw Data'!N347</f>
        <v>2506.3000000000002</v>
      </c>
    </row>
    <row r="348" spans="1:14" ht="15" customHeight="1" x14ac:dyDescent="0.2">
      <c r="A348" s="4" t="str">
        <f>'Raw Data'!A348</f>
        <v>ORD200346</v>
      </c>
      <c r="B348" s="6">
        <f>'Raw Data'!B348</f>
        <v>45632</v>
      </c>
      <c r="C348" s="4" t="str">
        <f>'Raw Data'!C348</f>
        <v>C31764</v>
      </c>
      <c r="D348" s="4" t="str">
        <f>'Raw Data'!D348</f>
        <v>Tablet</v>
      </c>
      <c r="E348" s="4">
        <f>'Raw Data'!E348</f>
        <v>1</v>
      </c>
      <c r="F348" s="4">
        <f>'Raw Data'!F348</f>
        <v>655.09</v>
      </c>
      <c r="G348" s="4" t="str">
        <f>'Raw Data'!G348</f>
        <v>876 Main St</v>
      </c>
      <c r="H348" s="4" t="str">
        <f>'Raw Data'!H348</f>
        <v>Cash</v>
      </c>
      <c r="I348" s="4" t="str">
        <f>'Raw Data'!I348</f>
        <v>Pending</v>
      </c>
      <c r="J348" s="4" t="str">
        <f>'Raw Data'!J348</f>
        <v>TRK44680433</v>
      </c>
      <c r="K348" s="4">
        <f>'Raw Data'!K348</f>
        <v>6</v>
      </c>
      <c r="L348" s="4" t="str">
        <f>IF('Raw Data'!L348="","No Coupon",'Raw Data'!L348)</f>
        <v>No Coupon</v>
      </c>
      <c r="M348" s="4" t="str">
        <f>'Raw Data'!M348</f>
        <v>Referral</v>
      </c>
      <c r="N348" s="4">
        <f>'Raw Data'!N348</f>
        <v>655.09</v>
      </c>
    </row>
    <row r="349" spans="1:14" ht="15" customHeight="1" x14ac:dyDescent="0.2">
      <c r="A349" s="4" t="str">
        <f>'Raw Data'!A349</f>
        <v>ORD200347</v>
      </c>
      <c r="B349" s="6">
        <f>'Raw Data'!B349</f>
        <v>45325</v>
      </c>
      <c r="C349" s="4" t="str">
        <f>'Raw Data'!C349</f>
        <v>C83556</v>
      </c>
      <c r="D349" s="4" t="str">
        <f>'Raw Data'!D349</f>
        <v>Printer</v>
      </c>
      <c r="E349" s="4">
        <f>'Raw Data'!E349</f>
        <v>4</v>
      </c>
      <c r="F349" s="4">
        <f>'Raw Data'!F349</f>
        <v>264.79000000000002</v>
      </c>
      <c r="G349" s="4" t="str">
        <f>'Raw Data'!G349</f>
        <v>380 Main St</v>
      </c>
      <c r="H349" s="4" t="str">
        <f>'Raw Data'!H349</f>
        <v>Credit Card</v>
      </c>
      <c r="I349" s="4" t="str">
        <f>'Raw Data'!I349</f>
        <v>Pending</v>
      </c>
      <c r="J349" s="4" t="str">
        <f>'Raw Data'!J349</f>
        <v>TRK21109187</v>
      </c>
      <c r="K349" s="4">
        <f>'Raw Data'!K349</f>
        <v>5</v>
      </c>
      <c r="L349" s="4" t="str">
        <f>IF('Raw Data'!L349="","No Coupon",'Raw Data'!L349)</f>
        <v>SAVE10</v>
      </c>
      <c r="M349" s="4" t="str">
        <f>'Raw Data'!M349</f>
        <v>Google</v>
      </c>
      <c r="N349" s="4">
        <f>'Raw Data'!N349</f>
        <v>1059.1600000000001</v>
      </c>
    </row>
    <row r="350" spans="1:14" ht="15" customHeight="1" x14ac:dyDescent="0.2">
      <c r="A350" s="4" t="str">
        <f>'Raw Data'!A350</f>
        <v>ORD200348</v>
      </c>
      <c r="B350" s="6">
        <f>'Raw Data'!B350</f>
        <v>45364</v>
      </c>
      <c r="C350" s="4" t="str">
        <f>'Raw Data'!C350</f>
        <v>C24369</v>
      </c>
      <c r="D350" s="4" t="str">
        <f>'Raw Data'!D350</f>
        <v>Laptop</v>
      </c>
      <c r="E350" s="4">
        <f>'Raw Data'!E350</f>
        <v>3</v>
      </c>
      <c r="F350" s="4">
        <f>'Raw Data'!F350</f>
        <v>359.73</v>
      </c>
      <c r="G350" s="4" t="str">
        <f>'Raw Data'!G350</f>
        <v>885 Main St</v>
      </c>
      <c r="H350" s="4" t="str">
        <f>'Raw Data'!H350</f>
        <v>Debit Card</v>
      </c>
      <c r="I350" s="4" t="str">
        <f>'Raw Data'!I350</f>
        <v>Returned</v>
      </c>
      <c r="J350" s="4" t="str">
        <f>'Raw Data'!J350</f>
        <v>TRK72633998</v>
      </c>
      <c r="K350" s="4">
        <f>'Raw Data'!K350</f>
        <v>7</v>
      </c>
      <c r="L350" s="4" t="str">
        <f>IF('Raw Data'!L350="","No Coupon",'Raw Data'!L350)</f>
        <v>FREESHIP</v>
      </c>
      <c r="M350" s="4" t="str">
        <f>'Raw Data'!M350</f>
        <v>Email</v>
      </c>
      <c r="N350" s="4">
        <f>'Raw Data'!N350</f>
        <v>1079.19</v>
      </c>
    </row>
    <row r="351" spans="1:14" ht="15" customHeight="1" x14ac:dyDescent="0.2">
      <c r="A351" s="4" t="str">
        <f>'Raw Data'!A351</f>
        <v>ORD200349</v>
      </c>
      <c r="B351" s="6">
        <f>'Raw Data'!B351</f>
        <v>45260</v>
      </c>
      <c r="C351" s="4" t="str">
        <f>'Raw Data'!C351</f>
        <v>C39648</v>
      </c>
      <c r="D351" s="4" t="str">
        <f>'Raw Data'!D351</f>
        <v>Chair</v>
      </c>
      <c r="E351" s="4">
        <f>'Raw Data'!E351</f>
        <v>1</v>
      </c>
      <c r="F351" s="4">
        <f>'Raw Data'!F351</f>
        <v>465.33</v>
      </c>
      <c r="G351" s="4" t="str">
        <f>'Raw Data'!G351</f>
        <v>824 Main St</v>
      </c>
      <c r="H351" s="4" t="str">
        <f>'Raw Data'!H351</f>
        <v>Gift Card</v>
      </c>
      <c r="I351" s="4" t="str">
        <f>'Raw Data'!I351</f>
        <v>Delivered</v>
      </c>
      <c r="J351" s="4" t="str">
        <f>'Raw Data'!J351</f>
        <v>TRK56016905</v>
      </c>
      <c r="K351" s="4">
        <f>'Raw Data'!K351</f>
        <v>2</v>
      </c>
      <c r="L351" s="4" t="str">
        <f>IF('Raw Data'!L351="","No Coupon",'Raw Data'!L351)</f>
        <v>FREESHIP</v>
      </c>
      <c r="M351" s="4" t="str">
        <f>'Raw Data'!M351</f>
        <v>Google</v>
      </c>
      <c r="N351" s="4">
        <f>'Raw Data'!N351</f>
        <v>465.33</v>
      </c>
    </row>
    <row r="352" spans="1:14" ht="15" customHeight="1" x14ac:dyDescent="0.2">
      <c r="A352" s="4" t="str">
        <f>'Raw Data'!A352</f>
        <v>ORD200350</v>
      </c>
      <c r="B352" s="6">
        <f>'Raw Data'!B352</f>
        <v>45080</v>
      </c>
      <c r="C352" s="4" t="str">
        <f>'Raw Data'!C352</f>
        <v>C13296</v>
      </c>
      <c r="D352" s="4" t="str">
        <f>'Raw Data'!D352</f>
        <v>Chair</v>
      </c>
      <c r="E352" s="4">
        <f>'Raw Data'!E352</f>
        <v>2</v>
      </c>
      <c r="F352" s="4">
        <f>'Raw Data'!F352</f>
        <v>54.41</v>
      </c>
      <c r="G352" s="4" t="str">
        <f>'Raw Data'!G352</f>
        <v>495 Main St</v>
      </c>
      <c r="H352" s="4" t="str">
        <f>'Raw Data'!H352</f>
        <v>Online</v>
      </c>
      <c r="I352" s="4" t="str">
        <f>'Raw Data'!I352</f>
        <v>Shipped</v>
      </c>
      <c r="J352" s="4" t="str">
        <f>'Raw Data'!J352</f>
        <v>TRK60127216</v>
      </c>
      <c r="K352" s="4">
        <f>'Raw Data'!K352</f>
        <v>6</v>
      </c>
      <c r="L352" s="4" t="str">
        <f>IF('Raw Data'!L352="","No Coupon",'Raw Data'!L352)</f>
        <v>No Coupon</v>
      </c>
      <c r="M352" s="4" t="str">
        <f>'Raw Data'!M352</f>
        <v>Instagram</v>
      </c>
      <c r="N352" s="4">
        <f>'Raw Data'!N352</f>
        <v>108.82</v>
      </c>
    </row>
    <row r="353" spans="1:14" ht="15" customHeight="1" x14ac:dyDescent="0.2">
      <c r="A353" s="4" t="str">
        <f>'Raw Data'!A353</f>
        <v>ORD200351</v>
      </c>
      <c r="B353" s="6">
        <f>'Raw Data'!B353</f>
        <v>45703</v>
      </c>
      <c r="C353" s="4" t="str">
        <f>'Raw Data'!C353</f>
        <v>C94248</v>
      </c>
      <c r="D353" s="4" t="str">
        <f>'Raw Data'!D353</f>
        <v>Laptop</v>
      </c>
      <c r="E353" s="4">
        <f>'Raw Data'!E353</f>
        <v>1</v>
      </c>
      <c r="F353" s="4">
        <f>'Raw Data'!F353</f>
        <v>64.66</v>
      </c>
      <c r="G353" s="4" t="str">
        <f>'Raw Data'!G353</f>
        <v>494 Main St</v>
      </c>
      <c r="H353" s="4" t="str">
        <f>'Raw Data'!H353</f>
        <v>Debit Card</v>
      </c>
      <c r="I353" s="4" t="str">
        <f>'Raw Data'!I353</f>
        <v>Delivered</v>
      </c>
      <c r="J353" s="4" t="str">
        <f>'Raw Data'!J353</f>
        <v>TRK89406816</v>
      </c>
      <c r="K353" s="4">
        <f>'Raw Data'!K353</f>
        <v>4</v>
      </c>
      <c r="L353" s="4" t="str">
        <f>IF('Raw Data'!L353="","No Coupon",'Raw Data'!L353)</f>
        <v>No Coupon</v>
      </c>
      <c r="M353" s="4" t="str">
        <f>'Raw Data'!M353</f>
        <v>Instagram</v>
      </c>
      <c r="N353" s="4">
        <f>'Raw Data'!N353</f>
        <v>64.66</v>
      </c>
    </row>
    <row r="354" spans="1:14" ht="15" customHeight="1" x14ac:dyDescent="0.2">
      <c r="A354" s="4" t="str">
        <f>'Raw Data'!A354</f>
        <v>ORD200352</v>
      </c>
      <c r="B354" s="6">
        <f>'Raw Data'!B354</f>
        <v>45169</v>
      </c>
      <c r="C354" s="4" t="str">
        <f>'Raw Data'!C354</f>
        <v>C26637</v>
      </c>
      <c r="D354" s="4" t="str">
        <f>'Raw Data'!D354</f>
        <v>Chair</v>
      </c>
      <c r="E354" s="4">
        <f>'Raw Data'!E354</f>
        <v>5</v>
      </c>
      <c r="F354" s="4">
        <f>'Raw Data'!F354</f>
        <v>173.96</v>
      </c>
      <c r="G354" s="4" t="str">
        <f>'Raw Data'!G354</f>
        <v>995 Main St</v>
      </c>
      <c r="H354" s="4" t="str">
        <f>'Raw Data'!H354</f>
        <v>Debit Card</v>
      </c>
      <c r="I354" s="4" t="str">
        <f>'Raw Data'!I354</f>
        <v>Pending</v>
      </c>
      <c r="J354" s="4" t="str">
        <f>'Raw Data'!J354</f>
        <v>TRK59546992</v>
      </c>
      <c r="K354" s="4">
        <f>'Raw Data'!K354</f>
        <v>8</v>
      </c>
      <c r="L354" s="4" t="str">
        <f>IF('Raw Data'!L354="","No Coupon",'Raw Data'!L354)</f>
        <v>WINTER15</v>
      </c>
      <c r="M354" s="4" t="str">
        <f>'Raw Data'!M354</f>
        <v>Instagram</v>
      </c>
      <c r="N354" s="4">
        <f>'Raw Data'!N354</f>
        <v>869.8</v>
      </c>
    </row>
    <row r="355" spans="1:14" ht="15" customHeight="1" x14ac:dyDescent="0.2">
      <c r="A355" s="4" t="str">
        <f>'Raw Data'!A355</f>
        <v>ORD200353</v>
      </c>
      <c r="B355" s="6">
        <f>'Raw Data'!B355</f>
        <v>45744</v>
      </c>
      <c r="C355" s="4" t="str">
        <f>'Raw Data'!C355</f>
        <v>C16012</v>
      </c>
      <c r="D355" s="4" t="str">
        <f>'Raw Data'!D355</f>
        <v>Tablet</v>
      </c>
      <c r="E355" s="4">
        <f>'Raw Data'!E355</f>
        <v>1</v>
      </c>
      <c r="F355" s="4">
        <f>'Raw Data'!F355</f>
        <v>630.82000000000005</v>
      </c>
      <c r="G355" s="4" t="str">
        <f>'Raw Data'!G355</f>
        <v>171 Main St</v>
      </c>
      <c r="H355" s="4" t="str">
        <f>'Raw Data'!H355</f>
        <v>Online</v>
      </c>
      <c r="I355" s="4" t="str">
        <f>'Raw Data'!I355</f>
        <v>Delivered</v>
      </c>
      <c r="J355" s="4" t="str">
        <f>'Raw Data'!J355</f>
        <v>TRK15195225</v>
      </c>
      <c r="K355" s="4">
        <f>'Raw Data'!K355</f>
        <v>5</v>
      </c>
      <c r="L355" s="4" t="str">
        <f>IF('Raw Data'!L355="","No Coupon",'Raw Data'!L355)</f>
        <v>FREESHIP</v>
      </c>
      <c r="M355" s="4" t="str">
        <f>'Raw Data'!M355</f>
        <v>Google</v>
      </c>
      <c r="N355" s="4">
        <f>'Raw Data'!N355</f>
        <v>630.82000000000005</v>
      </c>
    </row>
    <row r="356" spans="1:14" ht="15" customHeight="1" x14ac:dyDescent="0.2">
      <c r="A356" s="4" t="str">
        <f>'Raw Data'!A356</f>
        <v>ORD200354</v>
      </c>
      <c r="B356" s="6">
        <f>'Raw Data'!B356</f>
        <v>45118</v>
      </c>
      <c r="C356" s="4" t="str">
        <f>'Raw Data'!C356</f>
        <v>C31772</v>
      </c>
      <c r="D356" s="4" t="str">
        <f>'Raw Data'!D356</f>
        <v>Phone</v>
      </c>
      <c r="E356" s="4">
        <f>'Raw Data'!E356</f>
        <v>1</v>
      </c>
      <c r="F356" s="4">
        <f>'Raw Data'!F356</f>
        <v>693.41</v>
      </c>
      <c r="G356" s="4" t="str">
        <f>'Raw Data'!G356</f>
        <v>992 Main St</v>
      </c>
      <c r="H356" s="4" t="str">
        <f>'Raw Data'!H356</f>
        <v>Debit Card</v>
      </c>
      <c r="I356" s="4" t="str">
        <f>'Raw Data'!I356</f>
        <v>Shipped</v>
      </c>
      <c r="J356" s="4" t="str">
        <f>'Raw Data'!J356</f>
        <v>TRK11970357</v>
      </c>
      <c r="K356" s="4">
        <f>'Raw Data'!K356</f>
        <v>4</v>
      </c>
      <c r="L356" s="4" t="str">
        <f>IF('Raw Data'!L356="","No Coupon",'Raw Data'!L356)</f>
        <v>No Coupon</v>
      </c>
      <c r="M356" s="4" t="str">
        <f>'Raw Data'!M356</f>
        <v>Instagram</v>
      </c>
      <c r="N356" s="4">
        <f>'Raw Data'!N356</f>
        <v>693.41</v>
      </c>
    </row>
    <row r="357" spans="1:14" ht="15" customHeight="1" x14ac:dyDescent="0.2">
      <c r="A357" s="4" t="str">
        <f>'Raw Data'!A357</f>
        <v>ORD200355</v>
      </c>
      <c r="B357" s="6">
        <f>'Raw Data'!B357</f>
        <v>45811</v>
      </c>
      <c r="C357" s="4" t="str">
        <f>'Raw Data'!C357</f>
        <v>C18353</v>
      </c>
      <c r="D357" s="4" t="str">
        <f>'Raw Data'!D357</f>
        <v>Tablet</v>
      </c>
      <c r="E357" s="4">
        <f>'Raw Data'!E357</f>
        <v>3</v>
      </c>
      <c r="F357" s="4">
        <f>'Raw Data'!F357</f>
        <v>433.33</v>
      </c>
      <c r="G357" s="4" t="str">
        <f>'Raw Data'!G357</f>
        <v>677 Main St</v>
      </c>
      <c r="H357" s="4" t="str">
        <f>'Raw Data'!H357</f>
        <v>Credit Card</v>
      </c>
      <c r="I357" s="4" t="str">
        <f>'Raw Data'!I357</f>
        <v>Cancelled</v>
      </c>
      <c r="J357" s="4" t="str">
        <f>'Raw Data'!J357</f>
        <v>TRK78766533</v>
      </c>
      <c r="K357" s="4">
        <f>'Raw Data'!K357</f>
        <v>4</v>
      </c>
      <c r="L357" s="4" t="str">
        <f>IF('Raw Data'!L357="","No Coupon",'Raw Data'!L357)</f>
        <v>FREESHIP</v>
      </c>
      <c r="M357" s="4" t="str">
        <f>'Raw Data'!M357</f>
        <v>Referral</v>
      </c>
      <c r="N357" s="4">
        <f>'Raw Data'!N357</f>
        <v>1299.99</v>
      </c>
    </row>
    <row r="358" spans="1:14" ht="15" customHeight="1" x14ac:dyDescent="0.2">
      <c r="A358" s="4" t="str">
        <f>'Raw Data'!A358</f>
        <v>ORD200356</v>
      </c>
      <c r="B358" s="6">
        <f>'Raw Data'!B358</f>
        <v>45052</v>
      </c>
      <c r="C358" s="4" t="str">
        <f>'Raw Data'!C358</f>
        <v>C26966</v>
      </c>
      <c r="D358" s="4" t="str">
        <f>'Raw Data'!D358</f>
        <v>Printer</v>
      </c>
      <c r="E358" s="4">
        <f>'Raw Data'!E358</f>
        <v>5</v>
      </c>
      <c r="F358" s="4">
        <f>'Raw Data'!F358</f>
        <v>374.58</v>
      </c>
      <c r="G358" s="4" t="str">
        <f>'Raw Data'!G358</f>
        <v>907 Main St</v>
      </c>
      <c r="H358" s="4" t="str">
        <f>'Raw Data'!H358</f>
        <v>Gift Card</v>
      </c>
      <c r="I358" s="4" t="str">
        <f>'Raw Data'!I358</f>
        <v>Cancelled</v>
      </c>
      <c r="J358" s="4" t="str">
        <f>'Raw Data'!J358</f>
        <v>TRK83889574</v>
      </c>
      <c r="K358" s="4">
        <f>'Raw Data'!K358</f>
        <v>10</v>
      </c>
      <c r="L358" s="4" t="str">
        <f>IF('Raw Data'!L358="","No Coupon",'Raw Data'!L358)</f>
        <v>FREESHIP</v>
      </c>
      <c r="M358" s="4" t="str">
        <f>'Raw Data'!M358</f>
        <v>Instagram</v>
      </c>
      <c r="N358" s="4">
        <f>'Raw Data'!N358</f>
        <v>1872.9</v>
      </c>
    </row>
    <row r="359" spans="1:14" ht="15" customHeight="1" x14ac:dyDescent="0.2">
      <c r="A359" s="4" t="str">
        <f>'Raw Data'!A359</f>
        <v>ORD200357</v>
      </c>
      <c r="B359" s="6">
        <f>'Raw Data'!B359</f>
        <v>45115</v>
      </c>
      <c r="C359" s="4" t="str">
        <f>'Raw Data'!C359</f>
        <v>C74982</v>
      </c>
      <c r="D359" s="4" t="str">
        <f>'Raw Data'!D359</f>
        <v>Laptop</v>
      </c>
      <c r="E359" s="4">
        <f>'Raw Data'!E359</f>
        <v>5</v>
      </c>
      <c r="F359" s="4">
        <f>'Raw Data'!F359</f>
        <v>408.56</v>
      </c>
      <c r="G359" s="4" t="str">
        <f>'Raw Data'!G359</f>
        <v>398 Main St</v>
      </c>
      <c r="H359" s="4" t="str">
        <f>'Raw Data'!H359</f>
        <v>Debit Card</v>
      </c>
      <c r="I359" s="4" t="str">
        <f>'Raw Data'!I359</f>
        <v>Delivered</v>
      </c>
      <c r="J359" s="4" t="str">
        <f>'Raw Data'!J359</f>
        <v>TRK98700702</v>
      </c>
      <c r="K359" s="4">
        <f>'Raw Data'!K359</f>
        <v>8</v>
      </c>
      <c r="L359" s="4" t="str">
        <f>IF('Raw Data'!L359="","No Coupon",'Raw Data'!L359)</f>
        <v>FREESHIP</v>
      </c>
      <c r="M359" s="4" t="str">
        <f>'Raw Data'!M359</f>
        <v>Instagram</v>
      </c>
      <c r="N359" s="4">
        <f>'Raw Data'!N359</f>
        <v>2042.8</v>
      </c>
    </row>
    <row r="360" spans="1:14" ht="15" customHeight="1" x14ac:dyDescent="0.2">
      <c r="A360" s="4" t="str">
        <f>'Raw Data'!A360</f>
        <v>ORD200358</v>
      </c>
      <c r="B360" s="6">
        <f>'Raw Data'!B360</f>
        <v>45389</v>
      </c>
      <c r="C360" s="4" t="str">
        <f>'Raw Data'!C360</f>
        <v>C70633</v>
      </c>
      <c r="D360" s="4" t="str">
        <f>'Raw Data'!D360</f>
        <v>Tablet</v>
      </c>
      <c r="E360" s="4">
        <f>'Raw Data'!E360</f>
        <v>2</v>
      </c>
      <c r="F360" s="4">
        <f>'Raw Data'!F360</f>
        <v>183.67</v>
      </c>
      <c r="G360" s="4" t="str">
        <f>'Raw Data'!G360</f>
        <v>747 Main St</v>
      </c>
      <c r="H360" s="4" t="str">
        <f>'Raw Data'!H360</f>
        <v>Online</v>
      </c>
      <c r="I360" s="4" t="str">
        <f>'Raw Data'!I360</f>
        <v>Cancelled</v>
      </c>
      <c r="J360" s="4" t="str">
        <f>'Raw Data'!J360</f>
        <v>TRK82540521</v>
      </c>
      <c r="K360" s="4">
        <f>'Raw Data'!K360</f>
        <v>3</v>
      </c>
      <c r="L360" s="4" t="str">
        <f>IF('Raw Data'!L360="","No Coupon",'Raw Data'!L360)</f>
        <v>SAVE10</v>
      </c>
      <c r="M360" s="4" t="str">
        <f>'Raw Data'!M360</f>
        <v>Google</v>
      </c>
      <c r="N360" s="4">
        <f>'Raw Data'!N360</f>
        <v>367.34</v>
      </c>
    </row>
    <row r="361" spans="1:14" ht="15" customHeight="1" x14ac:dyDescent="0.2">
      <c r="A361" s="4" t="str">
        <f>'Raw Data'!A361</f>
        <v>ORD200359</v>
      </c>
      <c r="B361" s="6">
        <f>'Raw Data'!B361</f>
        <v>45086</v>
      </c>
      <c r="C361" s="4" t="str">
        <f>'Raw Data'!C361</f>
        <v>C95643</v>
      </c>
      <c r="D361" s="4" t="str">
        <f>'Raw Data'!D361</f>
        <v>Desk</v>
      </c>
      <c r="E361" s="4">
        <f>'Raw Data'!E361</f>
        <v>4</v>
      </c>
      <c r="F361" s="4">
        <f>'Raw Data'!F361</f>
        <v>606.57000000000005</v>
      </c>
      <c r="G361" s="4" t="str">
        <f>'Raw Data'!G361</f>
        <v>303 Main St</v>
      </c>
      <c r="H361" s="4" t="str">
        <f>'Raw Data'!H361</f>
        <v>Debit Card</v>
      </c>
      <c r="I361" s="4" t="str">
        <f>'Raw Data'!I361</f>
        <v>Delivered</v>
      </c>
      <c r="J361" s="4" t="str">
        <f>'Raw Data'!J361</f>
        <v>TRK23286689</v>
      </c>
      <c r="K361" s="4">
        <f>'Raw Data'!K361</f>
        <v>5</v>
      </c>
      <c r="L361" s="4" t="str">
        <f>IF('Raw Data'!L361="","No Coupon",'Raw Data'!L361)</f>
        <v>WINTER15</v>
      </c>
      <c r="M361" s="4" t="str">
        <f>'Raw Data'!M361</f>
        <v>Referral</v>
      </c>
      <c r="N361" s="4">
        <f>'Raw Data'!N361</f>
        <v>2426.2800000000002</v>
      </c>
    </row>
    <row r="362" spans="1:14" ht="15" customHeight="1" x14ac:dyDescent="0.2">
      <c r="A362" s="4" t="str">
        <f>'Raw Data'!A362</f>
        <v>ORD200360</v>
      </c>
      <c r="B362" s="6">
        <f>'Raw Data'!B362</f>
        <v>45449</v>
      </c>
      <c r="C362" s="4" t="str">
        <f>'Raw Data'!C362</f>
        <v>C53810</v>
      </c>
      <c r="D362" s="4" t="str">
        <f>'Raw Data'!D362</f>
        <v>Phone</v>
      </c>
      <c r="E362" s="4">
        <f>'Raw Data'!E362</f>
        <v>4</v>
      </c>
      <c r="F362" s="4">
        <f>'Raw Data'!F362</f>
        <v>589.57000000000005</v>
      </c>
      <c r="G362" s="4" t="str">
        <f>'Raw Data'!G362</f>
        <v>779 Main St</v>
      </c>
      <c r="H362" s="4" t="str">
        <f>'Raw Data'!H362</f>
        <v>Cash</v>
      </c>
      <c r="I362" s="4" t="str">
        <f>'Raw Data'!I362</f>
        <v>Pending</v>
      </c>
      <c r="J362" s="4" t="str">
        <f>'Raw Data'!J362</f>
        <v>TRK34630612</v>
      </c>
      <c r="K362" s="4">
        <f>'Raw Data'!K362</f>
        <v>8</v>
      </c>
      <c r="L362" s="4" t="str">
        <f>IF('Raw Data'!L362="","No Coupon",'Raw Data'!L362)</f>
        <v>No Coupon</v>
      </c>
      <c r="M362" s="4" t="str">
        <f>'Raw Data'!M362</f>
        <v>Instagram</v>
      </c>
      <c r="N362" s="4">
        <f>'Raw Data'!N362</f>
        <v>2358.2800000000002</v>
      </c>
    </row>
    <row r="363" spans="1:14" ht="15" customHeight="1" x14ac:dyDescent="0.2">
      <c r="A363" s="4" t="str">
        <f>'Raw Data'!A363</f>
        <v>ORD200361</v>
      </c>
      <c r="B363" s="6">
        <f>'Raw Data'!B363</f>
        <v>45472</v>
      </c>
      <c r="C363" s="4" t="str">
        <f>'Raw Data'!C363</f>
        <v>C53464</v>
      </c>
      <c r="D363" s="4" t="str">
        <f>'Raw Data'!D363</f>
        <v>Printer</v>
      </c>
      <c r="E363" s="4">
        <f>'Raw Data'!E363</f>
        <v>5</v>
      </c>
      <c r="F363" s="4">
        <f>'Raw Data'!F363</f>
        <v>659.85</v>
      </c>
      <c r="G363" s="4" t="str">
        <f>'Raw Data'!G363</f>
        <v>197 Main St</v>
      </c>
      <c r="H363" s="4" t="str">
        <f>'Raw Data'!H363</f>
        <v>Credit Card</v>
      </c>
      <c r="I363" s="4" t="str">
        <f>'Raw Data'!I363</f>
        <v>Delivered</v>
      </c>
      <c r="J363" s="4" t="str">
        <f>'Raw Data'!J363</f>
        <v>TRK32743531</v>
      </c>
      <c r="K363" s="4">
        <f>'Raw Data'!K363</f>
        <v>9</v>
      </c>
      <c r="L363" s="4" t="str">
        <f>IF('Raw Data'!L363="","No Coupon",'Raw Data'!L363)</f>
        <v>SAVE10</v>
      </c>
      <c r="M363" s="4" t="str">
        <f>'Raw Data'!M363</f>
        <v>Facebook</v>
      </c>
      <c r="N363" s="4">
        <f>'Raw Data'!N363</f>
        <v>3299.25</v>
      </c>
    </row>
    <row r="364" spans="1:14" ht="15" customHeight="1" x14ac:dyDescent="0.2">
      <c r="A364" s="4" t="str">
        <f>'Raw Data'!A364</f>
        <v>ORD200362</v>
      </c>
      <c r="B364" s="6">
        <f>'Raw Data'!B364</f>
        <v>45104</v>
      </c>
      <c r="C364" s="4" t="str">
        <f>'Raw Data'!C364</f>
        <v>C53697</v>
      </c>
      <c r="D364" s="4" t="str">
        <f>'Raw Data'!D364</f>
        <v>Monitor</v>
      </c>
      <c r="E364" s="4">
        <f>'Raw Data'!E364</f>
        <v>4</v>
      </c>
      <c r="F364" s="4">
        <f>'Raw Data'!F364</f>
        <v>206.84</v>
      </c>
      <c r="G364" s="4" t="str">
        <f>'Raw Data'!G364</f>
        <v>312 Main St</v>
      </c>
      <c r="H364" s="4" t="str">
        <f>'Raw Data'!H364</f>
        <v>Cash</v>
      </c>
      <c r="I364" s="4" t="str">
        <f>'Raw Data'!I364</f>
        <v>Cancelled</v>
      </c>
      <c r="J364" s="4" t="str">
        <f>'Raw Data'!J364</f>
        <v>TRK60476656</v>
      </c>
      <c r="K364" s="4">
        <f>'Raw Data'!K364</f>
        <v>5</v>
      </c>
      <c r="L364" s="4" t="str">
        <f>IF('Raw Data'!L364="","No Coupon",'Raw Data'!L364)</f>
        <v>WINTER15</v>
      </c>
      <c r="M364" s="4" t="str">
        <f>'Raw Data'!M364</f>
        <v>Instagram</v>
      </c>
      <c r="N364" s="4">
        <f>'Raw Data'!N364</f>
        <v>827.36</v>
      </c>
    </row>
    <row r="365" spans="1:14" ht="15" customHeight="1" x14ac:dyDescent="0.2">
      <c r="A365" s="4" t="str">
        <f>'Raw Data'!A365</f>
        <v>ORD200363</v>
      </c>
      <c r="B365" s="6">
        <f>'Raw Data'!B365</f>
        <v>45436</v>
      </c>
      <c r="C365" s="4" t="str">
        <f>'Raw Data'!C365</f>
        <v>C31668</v>
      </c>
      <c r="D365" s="4" t="str">
        <f>'Raw Data'!D365</f>
        <v>Laptop</v>
      </c>
      <c r="E365" s="4">
        <f>'Raw Data'!E365</f>
        <v>5</v>
      </c>
      <c r="F365" s="4">
        <f>'Raw Data'!F365</f>
        <v>113.87</v>
      </c>
      <c r="G365" s="4" t="str">
        <f>'Raw Data'!G365</f>
        <v>871 Main St</v>
      </c>
      <c r="H365" s="4" t="str">
        <f>'Raw Data'!H365</f>
        <v>Credit Card</v>
      </c>
      <c r="I365" s="4" t="str">
        <f>'Raw Data'!I365</f>
        <v>Pending</v>
      </c>
      <c r="J365" s="4" t="str">
        <f>'Raw Data'!J365</f>
        <v>TRK42584392</v>
      </c>
      <c r="K365" s="4">
        <f>'Raw Data'!K365</f>
        <v>6</v>
      </c>
      <c r="L365" s="4" t="str">
        <f>IF('Raw Data'!L365="","No Coupon",'Raw Data'!L365)</f>
        <v>SAVE10</v>
      </c>
      <c r="M365" s="4" t="str">
        <f>'Raw Data'!M365</f>
        <v>Email</v>
      </c>
      <c r="N365" s="4">
        <f>'Raw Data'!N365</f>
        <v>569.35</v>
      </c>
    </row>
    <row r="366" spans="1:14" ht="15" customHeight="1" x14ac:dyDescent="0.2">
      <c r="A366" s="4" t="str">
        <f>'Raw Data'!A366</f>
        <v>ORD200364</v>
      </c>
      <c r="B366" s="6">
        <f>'Raw Data'!B366</f>
        <v>45254</v>
      </c>
      <c r="C366" s="4" t="str">
        <f>'Raw Data'!C366</f>
        <v>C85282</v>
      </c>
      <c r="D366" s="4" t="str">
        <f>'Raw Data'!D366</f>
        <v>Phone</v>
      </c>
      <c r="E366" s="4">
        <f>'Raw Data'!E366</f>
        <v>5</v>
      </c>
      <c r="F366" s="4">
        <f>'Raw Data'!F366</f>
        <v>628.74</v>
      </c>
      <c r="G366" s="4" t="str">
        <f>'Raw Data'!G366</f>
        <v>740 Main St</v>
      </c>
      <c r="H366" s="4" t="str">
        <f>'Raw Data'!H366</f>
        <v>Cash</v>
      </c>
      <c r="I366" s="4" t="str">
        <f>'Raw Data'!I366</f>
        <v>Cancelled</v>
      </c>
      <c r="J366" s="4" t="str">
        <f>'Raw Data'!J366</f>
        <v>TRK86767206</v>
      </c>
      <c r="K366" s="4">
        <f>'Raw Data'!K366</f>
        <v>9</v>
      </c>
      <c r="L366" s="4" t="str">
        <f>IF('Raw Data'!L366="","No Coupon",'Raw Data'!L366)</f>
        <v>FREESHIP</v>
      </c>
      <c r="M366" s="4" t="str">
        <f>'Raw Data'!M366</f>
        <v>Facebook</v>
      </c>
      <c r="N366" s="4">
        <f>'Raw Data'!N366</f>
        <v>3143.7</v>
      </c>
    </row>
    <row r="367" spans="1:14" ht="15" customHeight="1" x14ac:dyDescent="0.2">
      <c r="A367" s="4" t="str">
        <f>'Raw Data'!A367</f>
        <v>ORD200365</v>
      </c>
      <c r="B367" s="6">
        <f>'Raw Data'!B367</f>
        <v>45702</v>
      </c>
      <c r="C367" s="4" t="str">
        <f>'Raw Data'!C367</f>
        <v>C56796</v>
      </c>
      <c r="D367" s="4" t="str">
        <f>'Raw Data'!D367</f>
        <v>Phone</v>
      </c>
      <c r="E367" s="4">
        <f>'Raw Data'!E367</f>
        <v>1</v>
      </c>
      <c r="F367" s="4">
        <f>'Raw Data'!F367</f>
        <v>678.38</v>
      </c>
      <c r="G367" s="4" t="str">
        <f>'Raw Data'!G367</f>
        <v>607 Main St</v>
      </c>
      <c r="H367" s="4" t="str">
        <f>'Raw Data'!H367</f>
        <v>Credit Card</v>
      </c>
      <c r="I367" s="4" t="str">
        <f>'Raw Data'!I367</f>
        <v>Cancelled</v>
      </c>
      <c r="J367" s="4" t="str">
        <f>'Raw Data'!J367</f>
        <v>TRK74263180</v>
      </c>
      <c r="K367" s="4">
        <f>'Raw Data'!K367</f>
        <v>4</v>
      </c>
      <c r="L367" s="4" t="str">
        <f>IF('Raw Data'!L367="","No Coupon",'Raw Data'!L367)</f>
        <v>SAVE10</v>
      </c>
      <c r="M367" s="4" t="str">
        <f>'Raw Data'!M367</f>
        <v>Referral</v>
      </c>
      <c r="N367" s="4">
        <f>'Raw Data'!N367</f>
        <v>678.38</v>
      </c>
    </row>
    <row r="368" spans="1:14" ht="15" customHeight="1" x14ac:dyDescent="0.2">
      <c r="A368" s="4" t="str">
        <f>'Raw Data'!A368</f>
        <v>ORD200366</v>
      </c>
      <c r="B368" s="6">
        <f>'Raw Data'!B368</f>
        <v>44967</v>
      </c>
      <c r="C368" s="4" t="str">
        <f>'Raw Data'!C368</f>
        <v>C95213</v>
      </c>
      <c r="D368" s="4" t="str">
        <f>'Raw Data'!D368</f>
        <v>Printer</v>
      </c>
      <c r="E368" s="4">
        <f>'Raw Data'!E368</f>
        <v>3</v>
      </c>
      <c r="F368" s="4">
        <f>'Raw Data'!F368</f>
        <v>602.24</v>
      </c>
      <c r="G368" s="4" t="str">
        <f>'Raw Data'!G368</f>
        <v>603 Main St</v>
      </c>
      <c r="H368" s="4" t="str">
        <f>'Raw Data'!H368</f>
        <v>Debit Card</v>
      </c>
      <c r="I368" s="4" t="str">
        <f>'Raw Data'!I368</f>
        <v>Pending</v>
      </c>
      <c r="J368" s="4" t="str">
        <f>'Raw Data'!J368</f>
        <v>TRK40630538</v>
      </c>
      <c r="K368" s="4">
        <f>'Raw Data'!K368</f>
        <v>8</v>
      </c>
      <c r="L368" s="4" t="str">
        <f>IF('Raw Data'!L368="","No Coupon",'Raw Data'!L368)</f>
        <v>No Coupon</v>
      </c>
      <c r="M368" s="4" t="str">
        <f>'Raw Data'!M368</f>
        <v>Referral</v>
      </c>
      <c r="N368" s="4">
        <f>'Raw Data'!N368</f>
        <v>1806.72</v>
      </c>
    </row>
    <row r="369" spans="1:14" ht="15" customHeight="1" x14ac:dyDescent="0.2">
      <c r="A369" s="4" t="str">
        <f>'Raw Data'!A369</f>
        <v>ORD200367</v>
      </c>
      <c r="B369" s="6">
        <f>'Raw Data'!B369</f>
        <v>45407</v>
      </c>
      <c r="C369" s="4" t="str">
        <f>'Raw Data'!C369</f>
        <v>C13108</v>
      </c>
      <c r="D369" s="4" t="str">
        <f>'Raw Data'!D369</f>
        <v>Laptop</v>
      </c>
      <c r="E369" s="4">
        <f>'Raw Data'!E369</f>
        <v>5</v>
      </c>
      <c r="F369" s="4">
        <f>'Raw Data'!F369</f>
        <v>658.77</v>
      </c>
      <c r="G369" s="4" t="str">
        <f>'Raw Data'!G369</f>
        <v>712 Main St</v>
      </c>
      <c r="H369" s="4" t="str">
        <f>'Raw Data'!H369</f>
        <v>Gift Card</v>
      </c>
      <c r="I369" s="4" t="str">
        <f>'Raw Data'!I369</f>
        <v>Pending</v>
      </c>
      <c r="J369" s="4" t="str">
        <f>'Raw Data'!J369</f>
        <v>TRK82284400</v>
      </c>
      <c r="K369" s="4">
        <f>'Raw Data'!K369</f>
        <v>10</v>
      </c>
      <c r="L369" s="4" t="str">
        <f>IF('Raw Data'!L369="","No Coupon",'Raw Data'!L369)</f>
        <v>FREESHIP</v>
      </c>
      <c r="M369" s="4" t="str">
        <f>'Raw Data'!M369</f>
        <v>Instagram</v>
      </c>
      <c r="N369" s="4">
        <f>'Raw Data'!N369</f>
        <v>3293.85</v>
      </c>
    </row>
    <row r="370" spans="1:14" ht="15" customHeight="1" x14ac:dyDescent="0.2">
      <c r="A370" s="4" t="str">
        <f>'Raw Data'!A370</f>
        <v>ORD200368</v>
      </c>
      <c r="B370" s="6">
        <f>'Raw Data'!B370</f>
        <v>45047</v>
      </c>
      <c r="C370" s="4" t="str">
        <f>'Raw Data'!C370</f>
        <v>C85322</v>
      </c>
      <c r="D370" s="4" t="str">
        <f>'Raw Data'!D370</f>
        <v>Monitor</v>
      </c>
      <c r="E370" s="4">
        <f>'Raw Data'!E370</f>
        <v>3</v>
      </c>
      <c r="F370" s="4">
        <f>'Raw Data'!F370</f>
        <v>271.02</v>
      </c>
      <c r="G370" s="4" t="str">
        <f>'Raw Data'!G370</f>
        <v>403 Main St</v>
      </c>
      <c r="H370" s="4" t="str">
        <f>'Raw Data'!H370</f>
        <v>Credit Card</v>
      </c>
      <c r="I370" s="4" t="str">
        <f>'Raw Data'!I370</f>
        <v>Cancelled</v>
      </c>
      <c r="J370" s="4" t="str">
        <f>'Raw Data'!J370</f>
        <v>TRK89728869</v>
      </c>
      <c r="K370" s="4">
        <f>'Raw Data'!K370</f>
        <v>6</v>
      </c>
      <c r="L370" s="4" t="str">
        <f>IF('Raw Data'!L370="","No Coupon",'Raw Data'!L370)</f>
        <v>No Coupon</v>
      </c>
      <c r="M370" s="4" t="str">
        <f>'Raw Data'!M370</f>
        <v>Google</v>
      </c>
      <c r="N370" s="4">
        <f>'Raw Data'!N370</f>
        <v>813.06</v>
      </c>
    </row>
    <row r="371" spans="1:14" ht="15" customHeight="1" x14ac:dyDescent="0.2">
      <c r="A371" s="4" t="str">
        <f>'Raw Data'!A371</f>
        <v>ORD200369</v>
      </c>
      <c r="B371" s="6">
        <f>'Raw Data'!B371</f>
        <v>45648</v>
      </c>
      <c r="C371" s="4" t="str">
        <f>'Raw Data'!C371</f>
        <v>C43545</v>
      </c>
      <c r="D371" s="4" t="str">
        <f>'Raw Data'!D371</f>
        <v>Monitor</v>
      </c>
      <c r="E371" s="4">
        <f>'Raw Data'!E371</f>
        <v>5</v>
      </c>
      <c r="F371" s="4">
        <f>'Raw Data'!F371</f>
        <v>375.25</v>
      </c>
      <c r="G371" s="4" t="str">
        <f>'Raw Data'!G371</f>
        <v>216 Main St</v>
      </c>
      <c r="H371" s="4" t="str">
        <f>'Raw Data'!H371</f>
        <v>Gift Card</v>
      </c>
      <c r="I371" s="4" t="str">
        <f>'Raw Data'!I371</f>
        <v>Pending</v>
      </c>
      <c r="J371" s="4" t="str">
        <f>'Raw Data'!J371</f>
        <v>TRK73937402</v>
      </c>
      <c r="K371" s="4">
        <f>'Raw Data'!K371</f>
        <v>9</v>
      </c>
      <c r="L371" s="4" t="str">
        <f>IF('Raw Data'!L371="","No Coupon",'Raw Data'!L371)</f>
        <v>SAVE10</v>
      </c>
      <c r="M371" s="4" t="str">
        <f>'Raw Data'!M371</f>
        <v>Email</v>
      </c>
      <c r="N371" s="4">
        <f>'Raw Data'!N371</f>
        <v>1876.25</v>
      </c>
    </row>
    <row r="372" spans="1:14" ht="15" customHeight="1" x14ac:dyDescent="0.2">
      <c r="A372" s="4" t="str">
        <f>'Raw Data'!A372</f>
        <v>ORD200370</v>
      </c>
      <c r="B372" s="6">
        <f>'Raw Data'!B372</f>
        <v>45780</v>
      </c>
      <c r="C372" s="4" t="str">
        <f>'Raw Data'!C372</f>
        <v>C80649</v>
      </c>
      <c r="D372" s="4" t="str">
        <f>'Raw Data'!D372</f>
        <v>Phone</v>
      </c>
      <c r="E372" s="4">
        <f>'Raw Data'!E372</f>
        <v>1</v>
      </c>
      <c r="F372" s="4">
        <f>'Raw Data'!F372</f>
        <v>312.11</v>
      </c>
      <c r="G372" s="4" t="str">
        <f>'Raw Data'!G372</f>
        <v>870 Main St</v>
      </c>
      <c r="H372" s="4" t="str">
        <f>'Raw Data'!H372</f>
        <v>Online</v>
      </c>
      <c r="I372" s="4" t="str">
        <f>'Raw Data'!I372</f>
        <v>Cancelled</v>
      </c>
      <c r="J372" s="4" t="str">
        <f>'Raw Data'!J372</f>
        <v>TRK41143313</v>
      </c>
      <c r="K372" s="4">
        <f>'Raw Data'!K372</f>
        <v>4</v>
      </c>
      <c r="L372" s="4" t="str">
        <f>IF('Raw Data'!L372="","No Coupon",'Raw Data'!L372)</f>
        <v>WINTER15</v>
      </c>
      <c r="M372" s="4" t="str">
        <f>'Raw Data'!M372</f>
        <v>Facebook</v>
      </c>
      <c r="N372" s="4">
        <f>'Raw Data'!N372</f>
        <v>312.11</v>
      </c>
    </row>
    <row r="373" spans="1:14" ht="15" customHeight="1" x14ac:dyDescent="0.2">
      <c r="A373" s="4" t="str">
        <f>'Raw Data'!A373</f>
        <v>ORD200371</v>
      </c>
      <c r="B373" s="6">
        <f>'Raw Data'!B373</f>
        <v>44931</v>
      </c>
      <c r="C373" s="4" t="str">
        <f>'Raw Data'!C373</f>
        <v>C59752</v>
      </c>
      <c r="D373" s="4" t="str">
        <f>'Raw Data'!D373</f>
        <v>Phone</v>
      </c>
      <c r="E373" s="4">
        <f>'Raw Data'!E373</f>
        <v>5</v>
      </c>
      <c r="F373" s="4">
        <f>'Raw Data'!F373</f>
        <v>307.76</v>
      </c>
      <c r="G373" s="4" t="str">
        <f>'Raw Data'!G373</f>
        <v>179 Main St</v>
      </c>
      <c r="H373" s="4" t="str">
        <f>'Raw Data'!H373</f>
        <v>Gift Card</v>
      </c>
      <c r="I373" s="4" t="str">
        <f>'Raw Data'!I373</f>
        <v>Pending</v>
      </c>
      <c r="J373" s="4" t="str">
        <f>'Raw Data'!J373</f>
        <v>TRK82229639</v>
      </c>
      <c r="K373" s="4">
        <f>'Raw Data'!K373</f>
        <v>9</v>
      </c>
      <c r="L373" s="4" t="str">
        <f>IF('Raw Data'!L373="","No Coupon",'Raw Data'!L373)</f>
        <v>FREESHIP</v>
      </c>
      <c r="M373" s="4" t="str">
        <f>'Raw Data'!M373</f>
        <v>Google</v>
      </c>
      <c r="N373" s="4">
        <f>'Raw Data'!N373</f>
        <v>1538.8</v>
      </c>
    </row>
    <row r="374" spans="1:14" ht="15" customHeight="1" x14ac:dyDescent="0.2">
      <c r="A374" s="4" t="str">
        <f>'Raw Data'!A374</f>
        <v>ORD200372</v>
      </c>
      <c r="B374" s="6">
        <f>'Raw Data'!B374</f>
        <v>45702</v>
      </c>
      <c r="C374" s="4" t="str">
        <f>'Raw Data'!C374</f>
        <v>C53645</v>
      </c>
      <c r="D374" s="4" t="str">
        <f>'Raw Data'!D374</f>
        <v>Chair</v>
      </c>
      <c r="E374" s="4">
        <f>'Raw Data'!E374</f>
        <v>3</v>
      </c>
      <c r="F374" s="4">
        <f>'Raw Data'!F374</f>
        <v>483.53</v>
      </c>
      <c r="G374" s="4" t="str">
        <f>'Raw Data'!G374</f>
        <v>166 Main St</v>
      </c>
      <c r="H374" s="4" t="str">
        <f>'Raw Data'!H374</f>
        <v>Cash</v>
      </c>
      <c r="I374" s="4" t="str">
        <f>'Raw Data'!I374</f>
        <v>Returned</v>
      </c>
      <c r="J374" s="4" t="str">
        <f>'Raw Data'!J374</f>
        <v>TRK12123939</v>
      </c>
      <c r="K374" s="4">
        <f>'Raw Data'!K374</f>
        <v>4</v>
      </c>
      <c r="L374" s="4" t="str">
        <f>IF('Raw Data'!L374="","No Coupon",'Raw Data'!L374)</f>
        <v>No Coupon</v>
      </c>
      <c r="M374" s="4" t="str">
        <f>'Raw Data'!M374</f>
        <v>Referral</v>
      </c>
      <c r="N374" s="4">
        <f>'Raw Data'!N374</f>
        <v>1450.59</v>
      </c>
    </row>
    <row r="375" spans="1:14" ht="15" customHeight="1" x14ac:dyDescent="0.2">
      <c r="A375" s="4" t="str">
        <f>'Raw Data'!A375</f>
        <v>ORD200373</v>
      </c>
      <c r="B375" s="6">
        <f>'Raw Data'!B375</f>
        <v>44928</v>
      </c>
      <c r="C375" s="4" t="str">
        <f>'Raw Data'!C375</f>
        <v>C60178</v>
      </c>
      <c r="D375" s="4" t="str">
        <f>'Raw Data'!D375</f>
        <v>Laptop</v>
      </c>
      <c r="E375" s="4">
        <f>'Raw Data'!E375</f>
        <v>3</v>
      </c>
      <c r="F375" s="4">
        <f>'Raw Data'!F375</f>
        <v>341.15</v>
      </c>
      <c r="G375" s="4" t="str">
        <f>'Raw Data'!G375</f>
        <v>969 Main St</v>
      </c>
      <c r="H375" s="4" t="str">
        <f>'Raw Data'!H375</f>
        <v>Cash</v>
      </c>
      <c r="I375" s="4" t="str">
        <f>'Raw Data'!I375</f>
        <v>Pending</v>
      </c>
      <c r="J375" s="4" t="str">
        <f>'Raw Data'!J375</f>
        <v>TRK84505143</v>
      </c>
      <c r="K375" s="4">
        <f>'Raw Data'!K375</f>
        <v>4</v>
      </c>
      <c r="L375" s="4" t="str">
        <f>IF('Raw Data'!L375="","No Coupon",'Raw Data'!L375)</f>
        <v>FREESHIP</v>
      </c>
      <c r="M375" s="4" t="str">
        <f>'Raw Data'!M375</f>
        <v>Instagram</v>
      </c>
      <c r="N375" s="4">
        <f>'Raw Data'!N375</f>
        <v>1023.45</v>
      </c>
    </row>
    <row r="376" spans="1:14" ht="15" customHeight="1" x14ac:dyDescent="0.2">
      <c r="A376" s="4" t="str">
        <f>'Raw Data'!A376</f>
        <v>ORD200374</v>
      </c>
      <c r="B376" s="6">
        <f>'Raw Data'!B376</f>
        <v>45551</v>
      </c>
      <c r="C376" s="4" t="str">
        <f>'Raw Data'!C376</f>
        <v>C20286</v>
      </c>
      <c r="D376" s="4" t="str">
        <f>'Raw Data'!D376</f>
        <v>Monitor</v>
      </c>
      <c r="E376" s="4">
        <f>'Raw Data'!E376</f>
        <v>1</v>
      </c>
      <c r="F376" s="4">
        <f>'Raw Data'!F376</f>
        <v>571.9</v>
      </c>
      <c r="G376" s="4" t="str">
        <f>'Raw Data'!G376</f>
        <v>129 Main St</v>
      </c>
      <c r="H376" s="4" t="str">
        <f>'Raw Data'!H376</f>
        <v>Gift Card</v>
      </c>
      <c r="I376" s="4" t="str">
        <f>'Raw Data'!I376</f>
        <v>Pending</v>
      </c>
      <c r="J376" s="4" t="str">
        <f>'Raw Data'!J376</f>
        <v>TRK67648338</v>
      </c>
      <c r="K376" s="4">
        <f>'Raw Data'!K376</f>
        <v>1</v>
      </c>
      <c r="L376" s="4" t="str">
        <f>IF('Raw Data'!L376="","No Coupon",'Raw Data'!L376)</f>
        <v>WINTER15</v>
      </c>
      <c r="M376" s="4" t="str">
        <f>'Raw Data'!M376</f>
        <v>Instagram</v>
      </c>
      <c r="N376" s="4">
        <f>'Raw Data'!N376</f>
        <v>571.9</v>
      </c>
    </row>
    <row r="377" spans="1:14" ht="15" customHeight="1" x14ac:dyDescent="0.2">
      <c r="A377" s="4" t="str">
        <f>'Raw Data'!A377</f>
        <v>ORD200375</v>
      </c>
      <c r="B377" s="6">
        <f>'Raw Data'!B377</f>
        <v>45673</v>
      </c>
      <c r="C377" s="4" t="str">
        <f>'Raw Data'!C377</f>
        <v>C87547</v>
      </c>
      <c r="D377" s="4" t="str">
        <f>'Raw Data'!D377</f>
        <v>Monitor</v>
      </c>
      <c r="E377" s="4">
        <f>'Raw Data'!E377</f>
        <v>4</v>
      </c>
      <c r="F377" s="4">
        <f>'Raw Data'!F377</f>
        <v>95.03</v>
      </c>
      <c r="G377" s="4" t="str">
        <f>'Raw Data'!G377</f>
        <v>400 Main St</v>
      </c>
      <c r="H377" s="4" t="str">
        <f>'Raw Data'!H377</f>
        <v>Online</v>
      </c>
      <c r="I377" s="4" t="str">
        <f>'Raw Data'!I377</f>
        <v>Shipped</v>
      </c>
      <c r="J377" s="4" t="str">
        <f>'Raw Data'!J377</f>
        <v>TRK71027262</v>
      </c>
      <c r="K377" s="4">
        <f>'Raw Data'!K377</f>
        <v>8</v>
      </c>
      <c r="L377" s="4" t="str">
        <f>IF('Raw Data'!L377="","No Coupon",'Raw Data'!L377)</f>
        <v>FREESHIP</v>
      </c>
      <c r="M377" s="4" t="str">
        <f>'Raw Data'!M377</f>
        <v>Facebook</v>
      </c>
      <c r="N377" s="4">
        <f>'Raw Data'!N377</f>
        <v>380.12</v>
      </c>
    </row>
    <row r="378" spans="1:14" ht="15" customHeight="1" x14ac:dyDescent="0.2">
      <c r="A378" s="4" t="str">
        <f>'Raw Data'!A378</f>
        <v>ORD200376</v>
      </c>
      <c r="B378" s="6">
        <f>'Raw Data'!B378</f>
        <v>45162</v>
      </c>
      <c r="C378" s="4" t="str">
        <f>'Raw Data'!C378</f>
        <v>C64549</v>
      </c>
      <c r="D378" s="4" t="str">
        <f>'Raw Data'!D378</f>
        <v>Monitor</v>
      </c>
      <c r="E378" s="4">
        <f>'Raw Data'!E378</f>
        <v>5</v>
      </c>
      <c r="F378" s="4">
        <f>'Raw Data'!F378</f>
        <v>201.22</v>
      </c>
      <c r="G378" s="4" t="str">
        <f>'Raw Data'!G378</f>
        <v>341 Main St</v>
      </c>
      <c r="H378" s="4" t="str">
        <f>'Raw Data'!H378</f>
        <v>Debit Card</v>
      </c>
      <c r="I378" s="4" t="str">
        <f>'Raw Data'!I378</f>
        <v>Pending</v>
      </c>
      <c r="J378" s="4" t="str">
        <f>'Raw Data'!J378</f>
        <v>TRK20788231</v>
      </c>
      <c r="K378" s="4">
        <f>'Raw Data'!K378</f>
        <v>6</v>
      </c>
      <c r="L378" s="4" t="str">
        <f>IF('Raw Data'!L378="","No Coupon",'Raw Data'!L378)</f>
        <v>FREESHIP</v>
      </c>
      <c r="M378" s="4" t="str">
        <f>'Raw Data'!M378</f>
        <v>Facebook</v>
      </c>
      <c r="N378" s="4">
        <f>'Raw Data'!N378</f>
        <v>1006.1</v>
      </c>
    </row>
    <row r="379" spans="1:14" ht="15" customHeight="1" x14ac:dyDescent="0.2">
      <c r="A379" s="4" t="str">
        <f>'Raw Data'!A379</f>
        <v>ORD200377</v>
      </c>
      <c r="B379" s="6">
        <f>'Raw Data'!B379</f>
        <v>45495</v>
      </c>
      <c r="C379" s="4" t="str">
        <f>'Raw Data'!C379</f>
        <v>C24884</v>
      </c>
      <c r="D379" s="4" t="str">
        <f>'Raw Data'!D379</f>
        <v>Monitor</v>
      </c>
      <c r="E379" s="4">
        <f>'Raw Data'!E379</f>
        <v>1</v>
      </c>
      <c r="F379" s="4">
        <f>'Raw Data'!F379</f>
        <v>260.26</v>
      </c>
      <c r="G379" s="4" t="str">
        <f>'Raw Data'!G379</f>
        <v>625 Main St</v>
      </c>
      <c r="H379" s="4" t="str">
        <f>'Raw Data'!H379</f>
        <v>Online</v>
      </c>
      <c r="I379" s="4" t="str">
        <f>'Raw Data'!I379</f>
        <v>Pending</v>
      </c>
      <c r="J379" s="4" t="str">
        <f>'Raw Data'!J379</f>
        <v>TRK44538419</v>
      </c>
      <c r="K379" s="4">
        <f>'Raw Data'!K379</f>
        <v>5</v>
      </c>
      <c r="L379" s="4" t="str">
        <f>IF('Raw Data'!L379="","No Coupon",'Raw Data'!L379)</f>
        <v>WINTER15</v>
      </c>
      <c r="M379" s="4" t="str">
        <f>'Raw Data'!M379</f>
        <v>Instagram</v>
      </c>
      <c r="N379" s="4">
        <f>'Raw Data'!N379</f>
        <v>260.26</v>
      </c>
    </row>
    <row r="380" spans="1:14" ht="15" customHeight="1" x14ac:dyDescent="0.2">
      <c r="A380" s="4" t="str">
        <f>'Raw Data'!A380</f>
        <v>ORD200378</v>
      </c>
      <c r="B380" s="6">
        <f>'Raw Data'!B380</f>
        <v>45323</v>
      </c>
      <c r="C380" s="4" t="str">
        <f>'Raw Data'!C380</f>
        <v>C62666</v>
      </c>
      <c r="D380" s="4" t="str">
        <f>'Raw Data'!D380</f>
        <v>Chair</v>
      </c>
      <c r="E380" s="4">
        <f>'Raw Data'!E380</f>
        <v>5</v>
      </c>
      <c r="F380" s="4">
        <f>'Raw Data'!F380</f>
        <v>64.5</v>
      </c>
      <c r="G380" s="4" t="str">
        <f>'Raw Data'!G380</f>
        <v>148 Main St</v>
      </c>
      <c r="H380" s="4" t="str">
        <f>'Raw Data'!H380</f>
        <v>Credit Card</v>
      </c>
      <c r="I380" s="4" t="str">
        <f>'Raw Data'!I380</f>
        <v>Pending</v>
      </c>
      <c r="J380" s="4" t="str">
        <f>'Raw Data'!J380</f>
        <v>TRK91029390</v>
      </c>
      <c r="K380" s="4">
        <f>'Raw Data'!K380</f>
        <v>8</v>
      </c>
      <c r="L380" s="4" t="str">
        <f>IF('Raw Data'!L380="","No Coupon",'Raw Data'!L380)</f>
        <v>WINTER15</v>
      </c>
      <c r="M380" s="4" t="str">
        <f>'Raw Data'!M380</f>
        <v>Instagram</v>
      </c>
      <c r="N380" s="4">
        <f>'Raw Data'!N380</f>
        <v>322.5</v>
      </c>
    </row>
    <row r="381" spans="1:14" ht="15" customHeight="1" x14ac:dyDescent="0.2">
      <c r="A381" s="4" t="str">
        <f>'Raw Data'!A381</f>
        <v>ORD200379</v>
      </c>
      <c r="B381" s="6">
        <f>'Raw Data'!B381</f>
        <v>45556</v>
      </c>
      <c r="C381" s="4" t="str">
        <f>'Raw Data'!C381</f>
        <v>C47284</v>
      </c>
      <c r="D381" s="4" t="str">
        <f>'Raw Data'!D381</f>
        <v>Phone</v>
      </c>
      <c r="E381" s="4">
        <f>'Raw Data'!E381</f>
        <v>3</v>
      </c>
      <c r="F381" s="4">
        <f>'Raw Data'!F381</f>
        <v>297.67</v>
      </c>
      <c r="G381" s="4" t="str">
        <f>'Raw Data'!G381</f>
        <v>500 Main St</v>
      </c>
      <c r="H381" s="4" t="str">
        <f>'Raw Data'!H381</f>
        <v>Online</v>
      </c>
      <c r="I381" s="4" t="str">
        <f>'Raw Data'!I381</f>
        <v>Shipped</v>
      </c>
      <c r="J381" s="4" t="str">
        <f>'Raw Data'!J381</f>
        <v>TRK85756094</v>
      </c>
      <c r="K381" s="4">
        <f>'Raw Data'!K381</f>
        <v>6</v>
      </c>
      <c r="L381" s="4" t="str">
        <f>IF('Raw Data'!L381="","No Coupon",'Raw Data'!L381)</f>
        <v>No Coupon</v>
      </c>
      <c r="M381" s="4" t="str">
        <f>'Raw Data'!M381</f>
        <v>Google</v>
      </c>
      <c r="N381" s="4">
        <f>'Raw Data'!N381</f>
        <v>893.01</v>
      </c>
    </row>
    <row r="382" spans="1:14" ht="15" customHeight="1" x14ac:dyDescent="0.2">
      <c r="A382" s="4" t="str">
        <f>'Raw Data'!A382</f>
        <v>ORD200380</v>
      </c>
      <c r="B382" s="6">
        <f>'Raw Data'!B382</f>
        <v>45402</v>
      </c>
      <c r="C382" s="4" t="str">
        <f>'Raw Data'!C382</f>
        <v>C35355</v>
      </c>
      <c r="D382" s="4" t="str">
        <f>'Raw Data'!D382</f>
        <v>Printer</v>
      </c>
      <c r="E382" s="4">
        <f>'Raw Data'!E382</f>
        <v>4</v>
      </c>
      <c r="F382" s="4">
        <f>'Raw Data'!F382</f>
        <v>331.9</v>
      </c>
      <c r="G382" s="4" t="str">
        <f>'Raw Data'!G382</f>
        <v>127 Main St</v>
      </c>
      <c r="H382" s="4" t="str">
        <f>'Raw Data'!H382</f>
        <v>Cash</v>
      </c>
      <c r="I382" s="4" t="str">
        <f>'Raw Data'!I382</f>
        <v>Pending</v>
      </c>
      <c r="J382" s="4" t="str">
        <f>'Raw Data'!J382</f>
        <v>TRK52935059</v>
      </c>
      <c r="K382" s="4">
        <f>'Raw Data'!K382</f>
        <v>5</v>
      </c>
      <c r="L382" s="4" t="str">
        <f>IF('Raw Data'!L382="","No Coupon",'Raw Data'!L382)</f>
        <v>SAVE10</v>
      </c>
      <c r="M382" s="4" t="str">
        <f>'Raw Data'!M382</f>
        <v>Instagram</v>
      </c>
      <c r="N382" s="4">
        <f>'Raw Data'!N382</f>
        <v>1327.6</v>
      </c>
    </row>
    <row r="383" spans="1:14" ht="15" customHeight="1" x14ac:dyDescent="0.2">
      <c r="A383" s="4" t="str">
        <f>'Raw Data'!A383</f>
        <v>ORD200381</v>
      </c>
      <c r="B383" s="6">
        <f>'Raw Data'!B383</f>
        <v>45084</v>
      </c>
      <c r="C383" s="4" t="str">
        <f>'Raw Data'!C383</f>
        <v>C29467</v>
      </c>
      <c r="D383" s="4" t="str">
        <f>'Raw Data'!D383</f>
        <v>Chair</v>
      </c>
      <c r="E383" s="4">
        <f>'Raw Data'!E383</f>
        <v>1</v>
      </c>
      <c r="F383" s="4">
        <f>'Raw Data'!F383</f>
        <v>191.76</v>
      </c>
      <c r="G383" s="4" t="str">
        <f>'Raw Data'!G383</f>
        <v>223 Main St</v>
      </c>
      <c r="H383" s="4" t="str">
        <f>'Raw Data'!H383</f>
        <v>Credit Card</v>
      </c>
      <c r="I383" s="4" t="str">
        <f>'Raw Data'!I383</f>
        <v>Returned</v>
      </c>
      <c r="J383" s="4" t="str">
        <f>'Raw Data'!J383</f>
        <v>TRK98103385</v>
      </c>
      <c r="K383" s="4">
        <f>'Raw Data'!K383</f>
        <v>1</v>
      </c>
      <c r="L383" s="4" t="str">
        <f>IF('Raw Data'!L383="","No Coupon",'Raw Data'!L383)</f>
        <v>FREESHIP</v>
      </c>
      <c r="M383" s="4" t="str">
        <f>'Raw Data'!M383</f>
        <v>Instagram</v>
      </c>
      <c r="N383" s="4">
        <f>'Raw Data'!N383</f>
        <v>191.76</v>
      </c>
    </row>
    <row r="384" spans="1:14" ht="15" customHeight="1" x14ac:dyDescent="0.2">
      <c r="A384" s="4" t="str">
        <f>'Raw Data'!A384</f>
        <v>ORD200382</v>
      </c>
      <c r="B384" s="6">
        <f>'Raw Data'!B384</f>
        <v>45687</v>
      </c>
      <c r="C384" s="4" t="str">
        <f>'Raw Data'!C384</f>
        <v>C26718</v>
      </c>
      <c r="D384" s="4" t="str">
        <f>'Raw Data'!D384</f>
        <v>Printer</v>
      </c>
      <c r="E384" s="4">
        <f>'Raw Data'!E384</f>
        <v>4</v>
      </c>
      <c r="F384" s="4">
        <f>'Raw Data'!F384</f>
        <v>263.08999999999997</v>
      </c>
      <c r="G384" s="4" t="str">
        <f>'Raw Data'!G384</f>
        <v>272 Main St</v>
      </c>
      <c r="H384" s="4" t="str">
        <f>'Raw Data'!H384</f>
        <v>Debit Card</v>
      </c>
      <c r="I384" s="4" t="str">
        <f>'Raw Data'!I384</f>
        <v>Shipped</v>
      </c>
      <c r="J384" s="4" t="str">
        <f>'Raw Data'!J384</f>
        <v>TRK91702525</v>
      </c>
      <c r="K384" s="4">
        <f>'Raw Data'!K384</f>
        <v>8</v>
      </c>
      <c r="L384" s="4" t="str">
        <f>IF('Raw Data'!L384="","No Coupon",'Raw Data'!L384)</f>
        <v>SAVE10</v>
      </c>
      <c r="M384" s="4" t="str">
        <f>'Raw Data'!M384</f>
        <v>Google</v>
      </c>
      <c r="N384" s="4">
        <f>'Raw Data'!N384</f>
        <v>1052.3599999999999</v>
      </c>
    </row>
    <row r="385" spans="1:14" ht="15" customHeight="1" x14ac:dyDescent="0.2">
      <c r="A385" s="4" t="str">
        <f>'Raw Data'!A385</f>
        <v>ORD200383</v>
      </c>
      <c r="B385" s="6">
        <f>'Raw Data'!B385</f>
        <v>44946</v>
      </c>
      <c r="C385" s="4" t="str">
        <f>'Raw Data'!C385</f>
        <v>C18944</v>
      </c>
      <c r="D385" s="4" t="str">
        <f>'Raw Data'!D385</f>
        <v>Chair</v>
      </c>
      <c r="E385" s="4">
        <f>'Raw Data'!E385</f>
        <v>4</v>
      </c>
      <c r="F385" s="4">
        <f>'Raw Data'!F385</f>
        <v>393.8</v>
      </c>
      <c r="G385" s="4" t="str">
        <f>'Raw Data'!G385</f>
        <v>837 Main St</v>
      </c>
      <c r="H385" s="4" t="str">
        <f>'Raw Data'!H385</f>
        <v>Credit Card</v>
      </c>
      <c r="I385" s="4" t="str">
        <f>'Raw Data'!I385</f>
        <v>Pending</v>
      </c>
      <c r="J385" s="4" t="str">
        <f>'Raw Data'!J385</f>
        <v>TRK45275439</v>
      </c>
      <c r="K385" s="4">
        <f>'Raw Data'!K385</f>
        <v>7</v>
      </c>
      <c r="L385" s="4" t="str">
        <f>IF('Raw Data'!L385="","No Coupon",'Raw Data'!L385)</f>
        <v>SAVE10</v>
      </c>
      <c r="M385" s="4" t="str">
        <f>'Raw Data'!M385</f>
        <v>Email</v>
      </c>
      <c r="N385" s="4">
        <f>'Raw Data'!N385</f>
        <v>1575.2</v>
      </c>
    </row>
    <row r="386" spans="1:14" ht="15" customHeight="1" x14ac:dyDescent="0.2">
      <c r="A386" s="4" t="str">
        <f>'Raw Data'!A386</f>
        <v>ORD200384</v>
      </c>
      <c r="B386" s="6">
        <f>'Raw Data'!B386</f>
        <v>45620</v>
      </c>
      <c r="C386" s="4" t="str">
        <f>'Raw Data'!C386</f>
        <v>C35628</v>
      </c>
      <c r="D386" s="4" t="str">
        <f>'Raw Data'!D386</f>
        <v>Chair</v>
      </c>
      <c r="E386" s="4">
        <f>'Raw Data'!E386</f>
        <v>3</v>
      </c>
      <c r="F386" s="4">
        <f>'Raw Data'!F386</f>
        <v>553.57000000000005</v>
      </c>
      <c r="G386" s="4" t="str">
        <f>'Raw Data'!G386</f>
        <v>147 Main St</v>
      </c>
      <c r="H386" s="4" t="str">
        <f>'Raw Data'!H386</f>
        <v>Credit Card</v>
      </c>
      <c r="I386" s="4" t="str">
        <f>'Raw Data'!I386</f>
        <v>Returned</v>
      </c>
      <c r="J386" s="4" t="str">
        <f>'Raw Data'!J386</f>
        <v>TRK45688220</v>
      </c>
      <c r="K386" s="4">
        <f>'Raw Data'!K386</f>
        <v>4</v>
      </c>
      <c r="L386" s="4" t="str">
        <f>IF('Raw Data'!L386="","No Coupon",'Raw Data'!L386)</f>
        <v>FREESHIP</v>
      </c>
      <c r="M386" s="4" t="str">
        <f>'Raw Data'!M386</f>
        <v>Facebook</v>
      </c>
      <c r="N386" s="4">
        <f>'Raw Data'!N386</f>
        <v>1660.71</v>
      </c>
    </row>
    <row r="387" spans="1:14" ht="15" customHeight="1" x14ac:dyDescent="0.2">
      <c r="A387" s="4" t="str">
        <f>'Raw Data'!A387</f>
        <v>ORD200385</v>
      </c>
      <c r="B387" s="6">
        <f>'Raw Data'!B387</f>
        <v>45230</v>
      </c>
      <c r="C387" s="4" t="str">
        <f>'Raw Data'!C387</f>
        <v>C56851</v>
      </c>
      <c r="D387" s="4" t="str">
        <f>'Raw Data'!D387</f>
        <v>Chair</v>
      </c>
      <c r="E387" s="4">
        <f>'Raw Data'!E387</f>
        <v>5</v>
      </c>
      <c r="F387" s="4">
        <f>'Raw Data'!F387</f>
        <v>191.63</v>
      </c>
      <c r="G387" s="4" t="str">
        <f>'Raw Data'!G387</f>
        <v>752 Main St</v>
      </c>
      <c r="H387" s="4" t="str">
        <f>'Raw Data'!H387</f>
        <v>Gift Card</v>
      </c>
      <c r="I387" s="4" t="str">
        <f>'Raw Data'!I387</f>
        <v>Delivered</v>
      </c>
      <c r="J387" s="4" t="str">
        <f>'Raw Data'!J387</f>
        <v>TRK65290904</v>
      </c>
      <c r="K387" s="4">
        <f>'Raw Data'!K387</f>
        <v>6</v>
      </c>
      <c r="L387" s="4" t="str">
        <f>IF('Raw Data'!L387="","No Coupon",'Raw Data'!L387)</f>
        <v>FREESHIP</v>
      </c>
      <c r="M387" s="4" t="str">
        <f>'Raw Data'!M387</f>
        <v>Facebook</v>
      </c>
      <c r="N387" s="4">
        <f>'Raw Data'!N387</f>
        <v>958.15</v>
      </c>
    </row>
    <row r="388" spans="1:14" ht="15" customHeight="1" x14ac:dyDescent="0.2">
      <c r="A388" s="4" t="str">
        <f>'Raw Data'!A388</f>
        <v>ORD200386</v>
      </c>
      <c r="B388" s="6">
        <f>'Raw Data'!B388</f>
        <v>45044</v>
      </c>
      <c r="C388" s="4" t="str">
        <f>'Raw Data'!C388</f>
        <v>C12421</v>
      </c>
      <c r="D388" s="4" t="str">
        <f>'Raw Data'!D388</f>
        <v>Tablet</v>
      </c>
      <c r="E388" s="4">
        <f>'Raw Data'!E388</f>
        <v>1</v>
      </c>
      <c r="F388" s="4">
        <f>'Raw Data'!F388</f>
        <v>93.02</v>
      </c>
      <c r="G388" s="4" t="str">
        <f>'Raw Data'!G388</f>
        <v>373 Main St</v>
      </c>
      <c r="H388" s="4" t="str">
        <f>'Raw Data'!H388</f>
        <v>Online</v>
      </c>
      <c r="I388" s="4" t="str">
        <f>'Raw Data'!I388</f>
        <v>Returned</v>
      </c>
      <c r="J388" s="4" t="str">
        <f>'Raw Data'!J388</f>
        <v>TRK32588504</v>
      </c>
      <c r="K388" s="4">
        <f>'Raw Data'!K388</f>
        <v>4</v>
      </c>
      <c r="L388" s="4" t="str">
        <f>IF('Raw Data'!L388="","No Coupon",'Raw Data'!L388)</f>
        <v>No Coupon</v>
      </c>
      <c r="M388" s="4" t="str">
        <f>'Raw Data'!M388</f>
        <v>Email</v>
      </c>
      <c r="N388" s="4">
        <f>'Raw Data'!N388</f>
        <v>93.02</v>
      </c>
    </row>
    <row r="389" spans="1:14" ht="15" customHeight="1" x14ac:dyDescent="0.2">
      <c r="A389" s="4" t="str">
        <f>'Raw Data'!A389</f>
        <v>ORD200387</v>
      </c>
      <c r="B389" s="6">
        <f>'Raw Data'!B389</f>
        <v>45470</v>
      </c>
      <c r="C389" s="4" t="str">
        <f>'Raw Data'!C389</f>
        <v>C25316</v>
      </c>
      <c r="D389" s="4" t="str">
        <f>'Raw Data'!D389</f>
        <v>Printer</v>
      </c>
      <c r="E389" s="4">
        <f>'Raw Data'!E389</f>
        <v>2</v>
      </c>
      <c r="F389" s="4">
        <f>'Raw Data'!F389</f>
        <v>39.53</v>
      </c>
      <c r="G389" s="4" t="str">
        <f>'Raw Data'!G389</f>
        <v>904 Main St</v>
      </c>
      <c r="H389" s="4" t="str">
        <f>'Raw Data'!H389</f>
        <v>Credit Card</v>
      </c>
      <c r="I389" s="4" t="str">
        <f>'Raw Data'!I389</f>
        <v>Shipped</v>
      </c>
      <c r="J389" s="4" t="str">
        <f>'Raw Data'!J389</f>
        <v>TRK55423551</v>
      </c>
      <c r="K389" s="4">
        <f>'Raw Data'!K389</f>
        <v>3</v>
      </c>
      <c r="L389" s="4" t="str">
        <f>IF('Raw Data'!L389="","No Coupon",'Raw Data'!L389)</f>
        <v>WINTER15</v>
      </c>
      <c r="M389" s="4" t="str">
        <f>'Raw Data'!M389</f>
        <v>Google</v>
      </c>
      <c r="N389" s="4">
        <f>'Raw Data'!N389</f>
        <v>79.06</v>
      </c>
    </row>
    <row r="390" spans="1:14" ht="15" customHeight="1" x14ac:dyDescent="0.2">
      <c r="A390" s="4" t="str">
        <f>'Raw Data'!A390</f>
        <v>ORD200388</v>
      </c>
      <c r="B390" s="6">
        <f>'Raw Data'!B390</f>
        <v>45288</v>
      </c>
      <c r="C390" s="4" t="str">
        <f>'Raw Data'!C390</f>
        <v>C22657</v>
      </c>
      <c r="D390" s="4" t="str">
        <f>'Raw Data'!D390</f>
        <v>Printer</v>
      </c>
      <c r="E390" s="4">
        <f>'Raw Data'!E390</f>
        <v>3</v>
      </c>
      <c r="F390" s="4">
        <f>'Raw Data'!F390</f>
        <v>633.97</v>
      </c>
      <c r="G390" s="4" t="str">
        <f>'Raw Data'!G390</f>
        <v>152 Main St</v>
      </c>
      <c r="H390" s="4" t="str">
        <f>'Raw Data'!H390</f>
        <v>Cash</v>
      </c>
      <c r="I390" s="4" t="str">
        <f>'Raw Data'!I390</f>
        <v>Pending</v>
      </c>
      <c r="J390" s="4" t="str">
        <f>'Raw Data'!J390</f>
        <v>TRK49157047</v>
      </c>
      <c r="K390" s="4">
        <f>'Raw Data'!K390</f>
        <v>7</v>
      </c>
      <c r="L390" s="4" t="str">
        <f>IF('Raw Data'!L390="","No Coupon",'Raw Data'!L390)</f>
        <v>WINTER15</v>
      </c>
      <c r="M390" s="4" t="str">
        <f>'Raw Data'!M390</f>
        <v>Facebook</v>
      </c>
      <c r="N390" s="4">
        <f>'Raw Data'!N390</f>
        <v>1901.91</v>
      </c>
    </row>
    <row r="391" spans="1:14" ht="15" customHeight="1" x14ac:dyDescent="0.2">
      <c r="A391" s="4" t="str">
        <f>'Raw Data'!A391</f>
        <v>ORD200389</v>
      </c>
      <c r="B391" s="6">
        <f>'Raw Data'!B391</f>
        <v>45277</v>
      </c>
      <c r="C391" s="4" t="str">
        <f>'Raw Data'!C391</f>
        <v>C29703</v>
      </c>
      <c r="D391" s="4" t="str">
        <f>'Raw Data'!D391</f>
        <v>Desk</v>
      </c>
      <c r="E391" s="4">
        <f>'Raw Data'!E391</f>
        <v>4</v>
      </c>
      <c r="F391" s="4">
        <f>'Raw Data'!F391</f>
        <v>697.5</v>
      </c>
      <c r="G391" s="4" t="str">
        <f>'Raw Data'!G391</f>
        <v>558 Main St</v>
      </c>
      <c r="H391" s="4" t="str">
        <f>'Raw Data'!H391</f>
        <v>Cash</v>
      </c>
      <c r="I391" s="4" t="str">
        <f>'Raw Data'!I391</f>
        <v>Shipped</v>
      </c>
      <c r="J391" s="4" t="str">
        <f>'Raw Data'!J391</f>
        <v>TRK40543461</v>
      </c>
      <c r="K391" s="4">
        <f>'Raw Data'!K391</f>
        <v>7</v>
      </c>
      <c r="L391" s="4" t="str">
        <f>IF('Raw Data'!L391="","No Coupon",'Raw Data'!L391)</f>
        <v>FREESHIP</v>
      </c>
      <c r="M391" s="4" t="str">
        <f>'Raw Data'!M391</f>
        <v>Referral</v>
      </c>
      <c r="N391" s="4">
        <f>'Raw Data'!N391</f>
        <v>2790</v>
      </c>
    </row>
    <row r="392" spans="1:14" ht="15" customHeight="1" x14ac:dyDescent="0.2">
      <c r="A392" s="4" t="str">
        <f>'Raw Data'!A392</f>
        <v>ORD200390</v>
      </c>
      <c r="B392" s="6">
        <f>'Raw Data'!B392</f>
        <v>45121</v>
      </c>
      <c r="C392" s="4" t="str">
        <f>'Raw Data'!C392</f>
        <v>C55996</v>
      </c>
      <c r="D392" s="4" t="str">
        <f>'Raw Data'!D392</f>
        <v>Printer</v>
      </c>
      <c r="E392" s="4">
        <f>'Raw Data'!E392</f>
        <v>5</v>
      </c>
      <c r="F392" s="4">
        <f>'Raw Data'!F392</f>
        <v>508.69</v>
      </c>
      <c r="G392" s="4" t="str">
        <f>'Raw Data'!G392</f>
        <v>885 Main St</v>
      </c>
      <c r="H392" s="4" t="str">
        <f>'Raw Data'!H392</f>
        <v>Cash</v>
      </c>
      <c r="I392" s="4" t="str">
        <f>'Raw Data'!I392</f>
        <v>Delivered</v>
      </c>
      <c r="J392" s="4" t="str">
        <f>'Raw Data'!J392</f>
        <v>TRK30547638</v>
      </c>
      <c r="K392" s="4">
        <f>'Raw Data'!K392</f>
        <v>10</v>
      </c>
      <c r="L392" s="4" t="str">
        <f>IF('Raw Data'!L392="","No Coupon",'Raw Data'!L392)</f>
        <v>FREESHIP</v>
      </c>
      <c r="M392" s="4" t="str">
        <f>'Raw Data'!M392</f>
        <v>Google</v>
      </c>
      <c r="N392" s="4">
        <f>'Raw Data'!N392</f>
        <v>2543.4499999999998</v>
      </c>
    </row>
    <row r="393" spans="1:14" ht="15" customHeight="1" x14ac:dyDescent="0.2">
      <c r="A393" s="4" t="str">
        <f>'Raw Data'!A393</f>
        <v>ORD200391</v>
      </c>
      <c r="B393" s="6">
        <f>'Raw Data'!B393</f>
        <v>45673</v>
      </c>
      <c r="C393" s="4" t="str">
        <f>'Raw Data'!C393</f>
        <v>C60037</v>
      </c>
      <c r="D393" s="4" t="str">
        <f>'Raw Data'!D393</f>
        <v>Laptop</v>
      </c>
      <c r="E393" s="4">
        <f>'Raw Data'!E393</f>
        <v>2</v>
      </c>
      <c r="F393" s="4">
        <f>'Raw Data'!F393</f>
        <v>527.46</v>
      </c>
      <c r="G393" s="4" t="str">
        <f>'Raw Data'!G393</f>
        <v>516 Main St</v>
      </c>
      <c r="H393" s="4" t="str">
        <f>'Raw Data'!H393</f>
        <v>Debit Card</v>
      </c>
      <c r="I393" s="4" t="str">
        <f>'Raw Data'!I393</f>
        <v>Cancelled</v>
      </c>
      <c r="J393" s="4" t="str">
        <f>'Raw Data'!J393</f>
        <v>TRK82009557</v>
      </c>
      <c r="K393" s="4">
        <f>'Raw Data'!K393</f>
        <v>3</v>
      </c>
      <c r="L393" s="4" t="str">
        <f>IF('Raw Data'!L393="","No Coupon",'Raw Data'!L393)</f>
        <v>FREESHIP</v>
      </c>
      <c r="M393" s="4" t="str">
        <f>'Raw Data'!M393</f>
        <v>Referral</v>
      </c>
      <c r="N393" s="4">
        <f>'Raw Data'!N393</f>
        <v>1054.92</v>
      </c>
    </row>
    <row r="394" spans="1:14" ht="15" customHeight="1" x14ac:dyDescent="0.2">
      <c r="A394" s="4" t="str">
        <f>'Raw Data'!A394</f>
        <v>ORD200392</v>
      </c>
      <c r="B394" s="6">
        <f>'Raw Data'!B394</f>
        <v>45350</v>
      </c>
      <c r="C394" s="4" t="str">
        <f>'Raw Data'!C394</f>
        <v>C95100</v>
      </c>
      <c r="D394" s="4" t="str">
        <f>'Raw Data'!D394</f>
        <v>Phone</v>
      </c>
      <c r="E394" s="4">
        <f>'Raw Data'!E394</f>
        <v>1</v>
      </c>
      <c r="F394" s="4">
        <f>'Raw Data'!F394</f>
        <v>627.20000000000005</v>
      </c>
      <c r="G394" s="4" t="str">
        <f>'Raw Data'!G394</f>
        <v>197 Main St</v>
      </c>
      <c r="H394" s="4" t="str">
        <f>'Raw Data'!H394</f>
        <v>Online</v>
      </c>
      <c r="I394" s="4" t="str">
        <f>'Raw Data'!I394</f>
        <v>Delivered</v>
      </c>
      <c r="J394" s="4" t="str">
        <f>'Raw Data'!J394</f>
        <v>TRK47366265</v>
      </c>
      <c r="K394" s="4">
        <f>'Raw Data'!K394</f>
        <v>1</v>
      </c>
      <c r="L394" s="4" t="str">
        <f>IF('Raw Data'!L394="","No Coupon",'Raw Data'!L394)</f>
        <v>WINTER15</v>
      </c>
      <c r="M394" s="4" t="str">
        <f>'Raw Data'!M394</f>
        <v>Email</v>
      </c>
      <c r="N394" s="4">
        <f>'Raw Data'!N394</f>
        <v>627.20000000000005</v>
      </c>
    </row>
    <row r="395" spans="1:14" ht="15" customHeight="1" x14ac:dyDescent="0.2">
      <c r="A395" s="4" t="str">
        <f>'Raw Data'!A395</f>
        <v>ORD200393</v>
      </c>
      <c r="B395" s="6">
        <f>'Raw Data'!B395</f>
        <v>45487</v>
      </c>
      <c r="C395" s="4" t="str">
        <f>'Raw Data'!C395</f>
        <v>C39906</v>
      </c>
      <c r="D395" s="4" t="str">
        <f>'Raw Data'!D395</f>
        <v>Printer</v>
      </c>
      <c r="E395" s="4">
        <f>'Raw Data'!E395</f>
        <v>1</v>
      </c>
      <c r="F395" s="4">
        <f>'Raw Data'!F395</f>
        <v>75.010000000000005</v>
      </c>
      <c r="G395" s="4" t="str">
        <f>'Raw Data'!G395</f>
        <v>921 Main St</v>
      </c>
      <c r="H395" s="4" t="str">
        <f>'Raw Data'!H395</f>
        <v>Credit Card</v>
      </c>
      <c r="I395" s="4" t="str">
        <f>'Raw Data'!I395</f>
        <v>Returned</v>
      </c>
      <c r="J395" s="4" t="str">
        <f>'Raw Data'!J395</f>
        <v>TRK24632134</v>
      </c>
      <c r="K395" s="4">
        <f>'Raw Data'!K395</f>
        <v>3</v>
      </c>
      <c r="L395" s="4" t="str">
        <f>IF('Raw Data'!L395="","No Coupon",'Raw Data'!L395)</f>
        <v>No Coupon</v>
      </c>
      <c r="M395" s="4" t="str">
        <f>'Raw Data'!M395</f>
        <v>Google</v>
      </c>
      <c r="N395" s="4">
        <f>'Raw Data'!N395</f>
        <v>75.010000000000005</v>
      </c>
    </row>
    <row r="396" spans="1:14" ht="15" customHeight="1" x14ac:dyDescent="0.2">
      <c r="A396" s="4" t="str">
        <f>'Raw Data'!A396</f>
        <v>ORD200394</v>
      </c>
      <c r="B396" s="6">
        <f>'Raw Data'!B396</f>
        <v>45112</v>
      </c>
      <c r="C396" s="4" t="str">
        <f>'Raw Data'!C396</f>
        <v>C70148</v>
      </c>
      <c r="D396" s="4" t="str">
        <f>'Raw Data'!D396</f>
        <v>Desk</v>
      </c>
      <c r="E396" s="4">
        <f>'Raw Data'!E396</f>
        <v>5</v>
      </c>
      <c r="F396" s="4">
        <f>'Raw Data'!F396</f>
        <v>529.54999999999995</v>
      </c>
      <c r="G396" s="4" t="str">
        <f>'Raw Data'!G396</f>
        <v>359 Main St</v>
      </c>
      <c r="H396" s="4" t="str">
        <f>'Raw Data'!H396</f>
        <v>Gift Card</v>
      </c>
      <c r="I396" s="4" t="str">
        <f>'Raw Data'!I396</f>
        <v>Shipped</v>
      </c>
      <c r="J396" s="4" t="str">
        <f>'Raw Data'!J396</f>
        <v>TRK34848650</v>
      </c>
      <c r="K396" s="4">
        <f>'Raw Data'!K396</f>
        <v>10</v>
      </c>
      <c r="L396" s="4" t="str">
        <f>IF('Raw Data'!L396="","No Coupon",'Raw Data'!L396)</f>
        <v>No Coupon</v>
      </c>
      <c r="M396" s="4" t="str">
        <f>'Raw Data'!M396</f>
        <v>Facebook</v>
      </c>
      <c r="N396" s="4">
        <f>'Raw Data'!N396</f>
        <v>2647.75</v>
      </c>
    </row>
    <row r="397" spans="1:14" ht="15" customHeight="1" x14ac:dyDescent="0.2">
      <c r="A397" s="4" t="str">
        <f>'Raw Data'!A397</f>
        <v>ORD200395</v>
      </c>
      <c r="B397" s="6">
        <f>'Raw Data'!B397</f>
        <v>45772</v>
      </c>
      <c r="C397" s="4" t="str">
        <f>'Raw Data'!C397</f>
        <v>C30010</v>
      </c>
      <c r="D397" s="4" t="str">
        <f>'Raw Data'!D397</f>
        <v>Phone</v>
      </c>
      <c r="E397" s="4">
        <f>'Raw Data'!E397</f>
        <v>3</v>
      </c>
      <c r="F397" s="4">
        <f>'Raw Data'!F397</f>
        <v>127.41</v>
      </c>
      <c r="G397" s="4" t="str">
        <f>'Raw Data'!G397</f>
        <v>830 Main St</v>
      </c>
      <c r="H397" s="4" t="str">
        <f>'Raw Data'!H397</f>
        <v>Gift Card</v>
      </c>
      <c r="I397" s="4" t="str">
        <f>'Raw Data'!I397</f>
        <v>Delivered</v>
      </c>
      <c r="J397" s="4" t="str">
        <f>'Raw Data'!J397</f>
        <v>TRK35386084</v>
      </c>
      <c r="K397" s="4">
        <f>'Raw Data'!K397</f>
        <v>7</v>
      </c>
      <c r="L397" s="4" t="str">
        <f>IF('Raw Data'!L397="","No Coupon",'Raw Data'!L397)</f>
        <v>SAVE10</v>
      </c>
      <c r="M397" s="4" t="str">
        <f>'Raw Data'!M397</f>
        <v>Referral</v>
      </c>
      <c r="N397" s="4">
        <f>'Raw Data'!N397</f>
        <v>382.23</v>
      </c>
    </row>
    <row r="398" spans="1:14" ht="15" customHeight="1" x14ac:dyDescent="0.2">
      <c r="A398" s="4" t="str">
        <f>'Raw Data'!A398</f>
        <v>ORD200396</v>
      </c>
      <c r="B398" s="6">
        <f>'Raw Data'!B398</f>
        <v>45261</v>
      </c>
      <c r="C398" s="4" t="str">
        <f>'Raw Data'!C398</f>
        <v>C99217</v>
      </c>
      <c r="D398" s="4" t="str">
        <f>'Raw Data'!D398</f>
        <v>Tablet</v>
      </c>
      <c r="E398" s="4">
        <f>'Raw Data'!E398</f>
        <v>5</v>
      </c>
      <c r="F398" s="4">
        <f>'Raw Data'!F398</f>
        <v>287.13</v>
      </c>
      <c r="G398" s="4" t="str">
        <f>'Raw Data'!G398</f>
        <v>778 Main St</v>
      </c>
      <c r="H398" s="4" t="str">
        <f>'Raw Data'!H398</f>
        <v>Online</v>
      </c>
      <c r="I398" s="4" t="str">
        <f>'Raw Data'!I398</f>
        <v>Shipped</v>
      </c>
      <c r="J398" s="4" t="str">
        <f>'Raw Data'!J398</f>
        <v>TRK82004594</v>
      </c>
      <c r="K398" s="4">
        <f>'Raw Data'!K398</f>
        <v>10</v>
      </c>
      <c r="L398" s="4" t="str">
        <f>IF('Raw Data'!L398="","No Coupon",'Raw Data'!L398)</f>
        <v>SAVE10</v>
      </c>
      <c r="M398" s="4" t="str">
        <f>'Raw Data'!M398</f>
        <v>Email</v>
      </c>
      <c r="N398" s="4">
        <f>'Raw Data'!N398</f>
        <v>1435.65</v>
      </c>
    </row>
    <row r="399" spans="1:14" ht="15" customHeight="1" x14ac:dyDescent="0.2">
      <c r="A399" s="4" t="str">
        <f>'Raw Data'!A399</f>
        <v>ORD200397</v>
      </c>
      <c r="B399" s="6">
        <f>'Raw Data'!B399</f>
        <v>45197</v>
      </c>
      <c r="C399" s="4" t="str">
        <f>'Raw Data'!C399</f>
        <v>C30184</v>
      </c>
      <c r="D399" s="4" t="str">
        <f>'Raw Data'!D399</f>
        <v>Monitor</v>
      </c>
      <c r="E399" s="4">
        <f>'Raw Data'!E399</f>
        <v>1</v>
      </c>
      <c r="F399" s="4">
        <f>'Raw Data'!F399</f>
        <v>427.06</v>
      </c>
      <c r="G399" s="4" t="str">
        <f>'Raw Data'!G399</f>
        <v>987 Main St</v>
      </c>
      <c r="H399" s="4" t="str">
        <f>'Raw Data'!H399</f>
        <v>Online</v>
      </c>
      <c r="I399" s="4" t="str">
        <f>'Raw Data'!I399</f>
        <v>Cancelled</v>
      </c>
      <c r="J399" s="4" t="str">
        <f>'Raw Data'!J399</f>
        <v>TRK86674704</v>
      </c>
      <c r="K399" s="4">
        <f>'Raw Data'!K399</f>
        <v>1</v>
      </c>
      <c r="L399" s="4" t="str">
        <f>IF('Raw Data'!L399="","No Coupon",'Raw Data'!L399)</f>
        <v>WINTER15</v>
      </c>
      <c r="M399" s="4" t="str">
        <f>'Raw Data'!M399</f>
        <v>Referral</v>
      </c>
      <c r="N399" s="4">
        <f>'Raw Data'!N399</f>
        <v>427.06</v>
      </c>
    </row>
    <row r="400" spans="1:14" ht="15" customHeight="1" x14ac:dyDescent="0.2">
      <c r="A400" s="4" t="str">
        <f>'Raw Data'!A400</f>
        <v>ORD200398</v>
      </c>
      <c r="B400" s="6">
        <f>'Raw Data'!B400</f>
        <v>45539</v>
      </c>
      <c r="C400" s="4" t="str">
        <f>'Raw Data'!C400</f>
        <v>C50275</v>
      </c>
      <c r="D400" s="4" t="str">
        <f>'Raw Data'!D400</f>
        <v>Phone</v>
      </c>
      <c r="E400" s="4">
        <f>'Raw Data'!E400</f>
        <v>5</v>
      </c>
      <c r="F400" s="4">
        <f>'Raw Data'!F400</f>
        <v>53.93</v>
      </c>
      <c r="G400" s="4" t="str">
        <f>'Raw Data'!G400</f>
        <v>729 Main St</v>
      </c>
      <c r="H400" s="4" t="str">
        <f>'Raw Data'!H400</f>
        <v>Gift Card</v>
      </c>
      <c r="I400" s="4" t="str">
        <f>'Raw Data'!I400</f>
        <v>Shipped</v>
      </c>
      <c r="J400" s="4" t="str">
        <f>'Raw Data'!J400</f>
        <v>TRK98925264</v>
      </c>
      <c r="K400" s="4">
        <f>'Raw Data'!K400</f>
        <v>7</v>
      </c>
      <c r="L400" s="4" t="str">
        <f>IF('Raw Data'!L400="","No Coupon",'Raw Data'!L400)</f>
        <v>SAVE10</v>
      </c>
      <c r="M400" s="4" t="str">
        <f>'Raw Data'!M400</f>
        <v>Instagram</v>
      </c>
      <c r="N400" s="4">
        <f>'Raw Data'!N400</f>
        <v>269.64999999999998</v>
      </c>
    </row>
    <row r="401" spans="1:14" ht="15" customHeight="1" x14ac:dyDescent="0.2">
      <c r="A401" s="4" t="str">
        <f>'Raw Data'!A401</f>
        <v>ORD200399</v>
      </c>
      <c r="B401" s="6">
        <f>'Raw Data'!B401</f>
        <v>45298</v>
      </c>
      <c r="C401" s="4" t="str">
        <f>'Raw Data'!C401</f>
        <v>C64641</v>
      </c>
      <c r="D401" s="4" t="str">
        <f>'Raw Data'!D401</f>
        <v>Tablet</v>
      </c>
      <c r="E401" s="4">
        <f>'Raw Data'!E401</f>
        <v>5</v>
      </c>
      <c r="F401" s="4">
        <f>'Raw Data'!F401</f>
        <v>423.93</v>
      </c>
      <c r="G401" s="4" t="str">
        <f>'Raw Data'!G401</f>
        <v>319 Main St</v>
      </c>
      <c r="H401" s="4" t="str">
        <f>'Raw Data'!H401</f>
        <v>Debit Card</v>
      </c>
      <c r="I401" s="4" t="str">
        <f>'Raw Data'!I401</f>
        <v>Returned</v>
      </c>
      <c r="J401" s="4" t="str">
        <f>'Raw Data'!J401</f>
        <v>TRK32012588</v>
      </c>
      <c r="K401" s="4">
        <f>'Raw Data'!K401</f>
        <v>5</v>
      </c>
      <c r="L401" s="4" t="str">
        <f>IF('Raw Data'!L401="","No Coupon",'Raw Data'!L401)</f>
        <v>FREESHIP</v>
      </c>
      <c r="M401" s="4" t="str">
        <f>'Raw Data'!M401</f>
        <v>Facebook</v>
      </c>
      <c r="N401" s="4">
        <f>'Raw Data'!N401</f>
        <v>2119.65</v>
      </c>
    </row>
    <row r="402" spans="1:14" ht="15" customHeight="1" x14ac:dyDescent="0.2">
      <c r="A402" s="4" t="str">
        <f>'Raw Data'!A402</f>
        <v>ORD200400</v>
      </c>
      <c r="B402" s="6">
        <f>'Raw Data'!B402</f>
        <v>45563</v>
      </c>
      <c r="C402" s="4" t="str">
        <f>'Raw Data'!C402</f>
        <v>C56266</v>
      </c>
      <c r="D402" s="4" t="str">
        <f>'Raw Data'!D402</f>
        <v>Desk</v>
      </c>
      <c r="E402" s="4">
        <f>'Raw Data'!E402</f>
        <v>4</v>
      </c>
      <c r="F402" s="4">
        <f>'Raw Data'!F402</f>
        <v>160.22</v>
      </c>
      <c r="G402" s="4" t="str">
        <f>'Raw Data'!G402</f>
        <v>304 Main St</v>
      </c>
      <c r="H402" s="4" t="str">
        <f>'Raw Data'!H402</f>
        <v>Debit Card</v>
      </c>
      <c r="I402" s="4" t="str">
        <f>'Raw Data'!I402</f>
        <v>Returned</v>
      </c>
      <c r="J402" s="4" t="str">
        <f>'Raw Data'!J402</f>
        <v>TRK60088901</v>
      </c>
      <c r="K402" s="4">
        <f>'Raw Data'!K402</f>
        <v>9</v>
      </c>
      <c r="L402" s="4" t="str">
        <f>IF('Raw Data'!L402="","No Coupon",'Raw Data'!L402)</f>
        <v>WINTER15</v>
      </c>
      <c r="M402" s="4" t="str">
        <f>'Raw Data'!M402</f>
        <v>Instagram</v>
      </c>
      <c r="N402" s="4">
        <f>'Raw Data'!N402</f>
        <v>640.88</v>
      </c>
    </row>
    <row r="403" spans="1:14" ht="15" customHeight="1" x14ac:dyDescent="0.2">
      <c r="A403" s="4" t="str">
        <f>'Raw Data'!A403</f>
        <v>ORD200401</v>
      </c>
      <c r="B403" s="6">
        <f>'Raw Data'!B403</f>
        <v>45756</v>
      </c>
      <c r="C403" s="4" t="str">
        <f>'Raw Data'!C403</f>
        <v>C98635</v>
      </c>
      <c r="D403" s="4" t="str">
        <f>'Raw Data'!D403</f>
        <v>Printer</v>
      </c>
      <c r="E403" s="4">
        <f>'Raw Data'!E403</f>
        <v>1</v>
      </c>
      <c r="F403" s="4">
        <f>'Raw Data'!F403</f>
        <v>538.67999999999995</v>
      </c>
      <c r="G403" s="4" t="str">
        <f>'Raw Data'!G403</f>
        <v>197 Main St</v>
      </c>
      <c r="H403" s="4" t="str">
        <f>'Raw Data'!H403</f>
        <v>Debit Card</v>
      </c>
      <c r="I403" s="4" t="str">
        <f>'Raw Data'!I403</f>
        <v>Returned</v>
      </c>
      <c r="J403" s="4" t="str">
        <f>'Raw Data'!J403</f>
        <v>TRK14225465</v>
      </c>
      <c r="K403" s="4">
        <f>'Raw Data'!K403</f>
        <v>6</v>
      </c>
      <c r="L403" s="4" t="str">
        <f>IF('Raw Data'!L403="","No Coupon",'Raw Data'!L403)</f>
        <v>No Coupon</v>
      </c>
      <c r="M403" s="4" t="str">
        <f>'Raw Data'!M403</f>
        <v>Referral</v>
      </c>
      <c r="N403" s="4">
        <f>'Raw Data'!N403</f>
        <v>538.67999999999995</v>
      </c>
    </row>
    <row r="404" spans="1:14" ht="15" customHeight="1" x14ac:dyDescent="0.2">
      <c r="A404" s="4" t="str">
        <f>'Raw Data'!A404</f>
        <v>ORD200402</v>
      </c>
      <c r="B404" s="6">
        <f>'Raw Data'!B404</f>
        <v>45025</v>
      </c>
      <c r="C404" s="4" t="str">
        <f>'Raw Data'!C404</f>
        <v>C83026</v>
      </c>
      <c r="D404" s="4" t="str">
        <f>'Raw Data'!D404</f>
        <v>Printer</v>
      </c>
      <c r="E404" s="4">
        <f>'Raw Data'!E404</f>
        <v>5</v>
      </c>
      <c r="F404" s="4">
        <f>'Raw Data'!F404</f>
        <v>337.38</v>
      </c>
      <c r="G404" s="4" t="str">
        <f>'Raw Data'!G404</f>
        <v>858 Main St</v>
      </c>
      <c r="H404" s="4" t="str">
        <f>'Raw Data'!H404</f>
        <v>Gift Card</v>
      </c>
      <c r="I404" s="4" t="str">
        <f>'Raw Data'!I404</f>
        <v>Shipped</v>
      </c>
      <c r="J404" s="4" t="str">
        <f>'Raw Data'!J404</f>
        <v>TRK79746259</v>
      </c>
      <c r="K404" s="4">
        <f>'Raw Data'!K404</f>
        <v>5</v>
      </c>
      <c r="L404" s="4" t="str">
        <f>IF('Raw Data'!L404="","No Coupon",'Raw Data'!L404)</f>
        <v>No Coupon</v>
      </c>
      <c r="M404" s="4" t="str">
        <f>'Raw Data'!M404</f>
        <v>Referral</v>
      </c>
      <c r="N404" s="4">
        <f>'Raw Data'!N404</f>
        <v>1686.9</v>
      </c>
    </row>
    <row r="405" spans="1:14" ht="15" customHeight="1" x14ac:dyDescent="0.2">
      <c r="A405" s="4" t="str">
        <f>'Raw Data'!A405</f>
        <v>ORD200403</v>
      </c>
      <c r="B405" s="6">
        <f>'Raw Data'!B405</f>
        <v>45606</v>
      </c>
      <c r="C405" s="4" t="str">
        <f>'Raw Data'!C405</f>
        <v>C28893</v>
      </c>
      <c r="D405" s="4" t="str">
        <f>'Raw Data'!D405</f>
        <v>Tablet</v>
      </c>
      <c r="E405" s="4">
        <f>'Raw Data'!E405</f>
        <v>1</v>
      </c>
      <c r="F405" s="4">
        <f>'Raw Data'!F405</f>
        <v>620.21</v>
      </c>
      <c r="G405" s="4" t="str">
        <f>'Raw Data'!G405</f>
        <v>740 Main St</v>
      </c>
      <c r="H405" s="4" t="str">
        <f>'Raw Data'!H405</f>
        <v>Online</v>
      </c>
      <c r="I405" s="4" t="str">
        <f>'Raw Data'!I405</f>
        <v>Returned</v>
      </c>
      <c r="J405" s="4" t="str">
        <f>'Raw Data'!J405</f>
        <v>TRK98333066</v>
      </c>
      <c r="K405" s="4">
        <f>'Raw Data'!K405</f>
        <v>1</v>
      </c>
      <c r="L405" s="4" t="str">
        <f>IF('Raw Data'!L405="","No Coupon",'Raw Data'!L405)</f>
        <v>FREESHIP</v>
      </c>
      <c r="M405" s="4" t="str">
        <f>'Raw Data'!M405</f>
        <v>Referral</v>
      </c>
      <c r="N405" s="4">
        <f>'Raw Data'!N405</f>
        <v>620.21</v>
      </c>
    </row>
    <row r="406" spans="1:14" ht="15" customHeight="1" x14ac:dyDescent="0.2">
      <c r="A406" s="4" t="str">
        <f>'Raw Data'!A406</f>
        <v>ORD200404</v>
      </c>
      <c r="B406" s="6">
        <f>'Raw Data'!B406</f>
        <v>44994</v>
      </c>
      <c r="C406" s="4" t="str">
        <f>'Raw Data'!C406</f>
        <v>C45482</v>
      </c>
      <c r="D406" s="4" t="str">
        <f>'Raw Data'!D406</f>
        <v>Monitor</v>
      </c>
      <c r="E406" s="4">
        <f>'Raw Data'!E406</f>
        <v>2</v>
      </c>
      <c r="F406" s="4">
        <f>'Raw Data'!F406</f>
        <v>99.1</v>
      </c>
      <c r="G406" s="4" t="str">
        <f>'Raw Data'!G406</f>
        <v>440 Main St</v>
      </c>
      <c r="H406" s="4" t="str">
        <f>'Raw Data'!H406</f>
        <v>Cash</v>
      </c>
      <c r="I406" s="4" t="str">
        <f>'Raw Data'!I406</f>
        <v>Delivered</v>
      </c>
      <c r="J406" s="4" t="str">
        <f>'Raw Data'!J406</f>
        <v>TRK54571699</v>
      </c>
      <c r="K406" s="4">
        <f>'Raw Data'!K406</f>
        <v>6</v>
      </c>
      <c r="L406" s="4" t="str">
        <f>IF('Raw Data'!L406="","No Coupon",'Raw Data'!L406)</f>
        <v>No Coupon</v>
      </c>
      <c r="M406" s="4" t="str">
        <f>'Raw Data'!M406</f>
        <v>Instagram</v>
      </c>
      <c r="N406" s="4">
        <f>'Raw Data'!N406</f>
        <v>198.2</v>
      </c>
    </row>
    <row r="407" spans="1:14" ht="15" customHeight="1" x14ac:dyDescent="0.2">
      <c r="A407" s="4" t="str">
        <f>'Raw Data'!A407</f>
        <v>ORD200405</v>
      </c>
      <c r="B407" s="6">
        <f>'Raw Data'!B407</f>
        <v>45683</v>
      </c>
      <c r="C407" s="4" t="str">
        <f>'Raw Data'!C407</f>
        <v>C97774</v>
      </c>
      <c r="D407" s="4" t="str">
        <f>'Raw Data'!D407</f>
        <v>Monitor</v>
      </c>
      <c r="E407" s="4">
        <f>'Raw Data'!E407</f>
        <v>4</v>
      </c>
      <c r="F407" s="4">
        <f>'Raw Data'!F407</f>
        <v>451.97</v>
      </c>
      <c r="G407" s="4" t="str">
        <f>'Raw Data'!G407</f>
        <v>603 Main St</v>
      </c>
      <c r="H407" s="4" t="str">
        <f>'Raw Data'!H407</f>
        <v>Online</v>
      </c>
      <c r="I407" s="4" t="str">
        <f>'Raw Data'!I407</f>
        <v>Cancelled</v>
      </c>
      <c r="J407" s="4" t="str">
        <f>'Raw Data'!J407</f>
        <v>TRK64664424</v>
      </c>
      <c r="K407" s="4">
        <f>'Raw Data'!K407</f>
        <v>7</v>
      </c>
      <c r="L407" s="4" t="str">
        <f>IF('Raw Data'!L407="","No Coupon",'Raw Data'!L407)</f>
        <v>WINTER15</v>
      </c>
      <c r="M407" s="4" t="str">
        <f>'Raw Data'!M407</f>
        <v>Email</v>
      </c>
      <c r="N407" s="4">
        <f>'Raw Data'!N407</f>
        <v>1807.88</v>
      </c>
    </row>
    <row r="408" spans="1:14" ht="15" customHeight="1" x14ac:dyDescent="0.2">
      <c r="A408" s="4" t="str">
        <f>'Raw Data'!A408</f>
        <v>ORD200406</v>
      </c>
      <c r="B408" s="6">
        <f>'Raw Data'!B408</f>
        <v>45270</v>
      </c>
      <c r="C408" s="4" t="str">
        <f>'Raw Data'!C408</f>
        <v>C11657</v>
      </c>
      <c r="D408" s="4" t="str">
        <f>'Raw Data'!D408</f>
        <v>Tablet</v>
      </c>
      <c r="E408" s="4">
        <f>'Raw Data'!E408</f>
        <v>4</v>
      </c>
      <c r="F408" s="4">
        <f>'Raw Data'!F408</f>
        <v>66.099999999999994</v>
      </c>
      <c r="G408" s="4" t="str">
        <f>'Raw Data'!G408</f>
        <v>572 Main St</v>
      </c>
      <c r="H408" s="4" t="str">
        <f>'Raw Data'!H408</f>
        <v>Cash</v>
      </c>
      <c r="I408" s="4" t="str">
        <f>'Raw Data'!I408</f>
        <v>Returned</v>
      </c>
      <c r="J408" s="4" t="str">
        <f>'Raw Data'!J408</f>
        <v>TRK50284486</v>
      </c>
      <c r="K408" s="4">
        <f>'Raw Data'!K408</f>
        <v>9</v>
      </c>
      <c r="L408" s="4" t="str">
        <f>IF('Raw Data'!L408="","No Coupon",'Raw Data'!L408)</f>
        <v>WINTER15</v>
      </c>
      <c r="M408" s="4" t="str">
        <f>'Raw Data'!M408</f>
        <v>Google</v>
      </c>
      <c r="N408" s="4">
        <f>'Raw Data'!N408</f>
        <v>264.39999999999998</v>
      </c>
    </row>
    <row r="409" spans="1:14" ht="15" customHeight="1" x14ac:dyDescent="0.2">
      <c r="A409" s="4" t="str">
        <f>'Raw Data'!A409</f>
        <v>ORD200407</v>
      </c>
      <c r="B409" s="6">
        <f>'Raw Data'!B409</f>
        <v>45151</v>
      </c>
      <c r="C409" s="4" t="str">
        <f>'Raw Data'!C409</f>
        <v>C85993</v>
      </c>
      <c r="D409" s="4" t="str">
        <f>'Raw Data'!D409</f>
        <v>Tablet</v>
      </c>
      <c r="E409" s="4">
        <f>'Raw Data'!E409</f>
        <v>4</v>
      </c>
      <c r="F409" s="4">
        <f>'Raw Data'!F409</f>
        <v>547.32000000000005</v>
      </c>
      <c r="G409" s="4" t="str">
        <f>'Raw Data'!G409</f>
        <v>250 Main St</v>
      </c>
      <c r="H409" s="4" t="str">
        <f>'Raw Data'!H409</f>
        <v>Cash</v>
      </c>
      <c r="I409" s="4" t="str">
        <f>'Raw Data'!I409</f>
        <v>Returned</v>
      </c>
      <c r="J409" s="4" t="str">
        <f>'Raw Data'!J409</f>
        <v>TRK72547640</v>
      </c>
      <c r="K409" s="4">
        <f>'Raw Data'!K409</f>
        <v>8</v>
      </c>
      <c r="L409" s="4" t="str">
        <f>IF('Raw Data'!L409="","No Coupon",'Raw Data'!L409)</f>
        <v>FREESHIP</v>
      </c>
      <c r="M409" s="4" t="str">
        <f>'Raw Data'!M409</f>
        <v>Instagram</v>
      </c>
      <c r="N409" s="4">
        <f>'Raw Data'!N409</f>
        <v>2189.2800000000002</v>
      </c>
    </row>
    <row r="410" spans="1:14" ht="15" customHeight="1" x14ac:dyDescent="0.2">
      <c r="A410" s="4" t="str">
        <f>'Raw Data'!A410</f>
        <v>ORD200408</v>
      </c>
      <c r="B410" s="6">
        <f>'Raw Data'!B410</f>
        <v>45658</v>
      </c>
      <c r="C410" s="4" t="str">
        <f>'Raw Data'!C410</f>
        <v>C11906</v>
      </c>
      <c r="D410" s="4" t="str">
        <f>'Raw Data'!D410</f>
        <v>Printer</v>
      </c>
      <c r="E410" s="4">
        <f>'Raw Data'!E410</f>
        <v>3</v>
      </c>
      <c r="F410" s="4">
        <f>'Raw Data'!F410</f>
        <v>412.53</v>
      </c>
      <c r="G410" s="4" t="str">
        <f>'Raw Data'!G410</f>
        <v>536 Main St</v>
      </c>
      <c r="H410" s="4" t="str">
        <f>'Raw Data'!H410</f>
        <v>Online</v>
      </c>
      <c r="I410" s="4" t="str">
        <f>'Raw Data'!I410</f>
        <v>Pending</v>
      </c>
      <c r="J410" s="4" t="str">
        <f>'Raw Data'!J410</f>
        <v>TRK31140158</v>
      </c>
      <c r="K410" s="4">
        <f>'Raw Data'!K410</f>
        <v>6</v>
      </c>
      <c r="L410" s="4" t="str">
        <f>IF('Raw Data'!L410="","No Coupon",'Raw Data'!L410)</f>
        <v>WINTER15</v>
      </c>
      <c r="M410" s="4" t="str">
        <f>'Raw Data'!M410</f>
        <v>Google</v>
      </c>
      <c r="N410" s="4">
        <f>'Raw Data'!N410</f>
        <v>1237.5899999999999</v>
      </c>
    </row>
    <row r="411" spans="1:14" ht="15" customHeight="1" x14ac:dyDescent="0.2">
      <c r="A411" s="4" t="str">
        <f>'Raw Data'!A411</f>
        <v>ORD200409</v>
      </c>
      <c r="B411" s="6">
        <f>'Raw Data'!B411</f>
        <v>45105</v>
      </c>
      <c r="C411" s="4" t="str">
        <f>'Raw Data'!C411</f>
        <v>C45187</v>
      </c>
      <c r="D411" s="4" t="str">
        <f>'Raw Data'!D411</f>
        <v>Desk</v>
      </c>
      <c r="E411" s="4">
        <f>'Raw Data'!E411</f>
        <v>5</v>
      </c>
      <c r="F411" s="4">
        <f>'Raw Data'!F411</f>
        <v>84.13</v>
      </c>
      <c r="G411" s="4" t="str">
        <f>'Raw Data'!G411</f>
        <v>767 Main St</v>
      </c>
      <c r="H411" s="4" t="str">
        <f>'Raw Data'!H411</f>
        <v>Online</v>
      </c>
      <c r="I411" s="4" t="str">
        <f>'Raw Data'!I411</f>
        <v>Delivered</v>
      </c>
      <c r="J411" s="4" t="str">
        <f>'Raw Data'!J411</f>
        <v>TRK12320793</v>
      </c>
      <c r="K411" s="4">
        <f>'Raw Data'!K411</f>
        <v>9</v>
      </c>
      <c r="L411" s="4" t="str">
        <f>IF('Raw Data'!L411="","No Coupon",'Raw Data'!L411)</f>
        <v>SAVE10</v>
      </c>
      <c r="M411" s="4" t="str">
        <f>'Raw Data'!M411</f>
        <v>Google</v>
      </c>
      <c r="N411" s="4">
        <f>'Raw Data'!N411</f>
        <v>420.65</v>
      </c>
    </row>
    <row r="412" spans="1:14" ht="15" customHeight="1" x14ac:dyDescent="0.2">
      <c r="A412" s="4" t="str">
        <f>'Raw Data'!A412</f>
        <v>ORD200410</v>
      </c>
      <c r="B412" s="6">
        <f>'Raw Data'!B412</f>
        <v>45309</v>
      </c>
      <c r="C412" s="4" t="str">
        <f>'Raw Data'!C412</f>
        <v>C37375</v>
      </c>
      <c r="D412" s="4" t="str">
        <f>'Raw Data'!D412</f>
        <v>Tablet</v>
      </c>
      <c r="E412" s="4">
        <f>'Raw Data'!E412</f>
        <v>2</v>
      </c>
      <c r="F412" s="4">
        <f>'Raw Data'!F412</f>
        <v>518.23</v>
      </c>
      <c r="G412" s="4" t="str">
        <f>'Raw Data'!G412</f>
        <v>184 Main St</v>
      </c>
      <c r="H412" s="4" t="str">
        <f>'Raw Data'!H412</f>
        <v>Debit Card</v>
      </c>
      <c r="I412" s="4" t="str">
        <f>'Raw Data'!I412</f>
        <v>Shipped</v>
      </c>
      <c r="J412" s="4" t="str">
        <f>'Raw Data'!J412</f>
        <v>TRK52470162</v>
      </c>
      <c r="K412" s="4">
        <f>'Raw Data'!K412</f>
        <v>5</v>
      </c>
      <c r="L412" s="4" t="str">
        <f>IF('Raw Data'!L412="","No Coupon",'Raw Data'!L412)</f>
        <v>No Coupon</v>
      </c>
      <c r="M412" s="4" t="str">
        <f>'Raw Data'!M412</f>
        <v>Email</v>
      </c>
      <c r="N412" s="4">
        <f>'Raw Data'!N412</f>
        <v>1036.46</v>
      </c>
    </row>
    <row r="413" spans="1:14" ht="15" customHeight="1" x14ac:dyDescent="0.2">
      <c r="A413" s="4" t="str">
        <f>'Raw Data'!A413</f>
        <v>ORD200411</v>
      </c>
      <c r="B413" s="6">
        <f>'Raw Data'!B413</f>
        <v>45462</v>
      </c>
      <c r="C413" s="4" t="str">
        <f>'Raw Data'!C413</f>
        <v>C66567</v>
      </c>
      <c r="D413" s="4" t="str">
        <f>'Raw Data'!D413</f>
        <v>Desk</v>
      </c>
      <c r="E413" s="4">
        <f>'Raw Data'!E413</f>
        <v>2</v>
      </c>
      <c r="F413" s="4">
        <f>'Raw Data'!F413</f>
        <v>39.51</v>
      </c>
      <c r="G413" s="4" t="str">
        <f>'Raw Data'!G413</f>
        <v>981 Main St</v>
      </c>
      <c r="H413" s="4" t="str">
        <f>'Raw Data'!H413</f>
        <v>Online</v>
      </c>
      <c r="I413" s="4" t="str">
        <f>'Raw Data'!I413</f>
        <v>Shipped</v>
      </c>
      <c r="J413" s="4" t="str">
        <f>'Raw Data'!J413</f>
        <v>TRK21174822</v>
      </c>
      <c r="K413" s="4">
        <f>'Raw Data'!K413</f>
        <v>5</v>
      </c>
      <c r="L413" s="4" t="str">
        <f>IF('Raw Data'!L413="","No Coupon",'Raw Data'!L413)</f>
        <v>No Coupon</v>
      </c>
      <c r="M413" s="4" t="str">
        <f>'Raw Data'!M413</f>
        <v>Facebook</v>
      </c>
      <c r="N413" s="4">
        <f>'Raw Data'!N413</f>
        <v>79.02</v>
      </c>
    </row>
    <row r="414" spans="1:14" ht="15" customHeight="1" x14ac:dyDescent="0.2">
      <c r="A414" s="4" t="str">
        <f>'Raw Data'!A414</f>
        <v>ORD200412</v>
      </c>
      <c r="B414" s="6">
        <f>'Raw Data'!B414</f>
        <v>45758</v>
      </c>
      <c r="C414" s="4" t="str">
        <f>'Raw Data'!C414</f>
        <v>C42451</v>
      </c>
      <c r="D414" s="4" t="str">
        <f>'Raw Data'!D414</f>
        <v>Tablet</v>
      </c>
      <c r="E414" s="4">
        <f>'Raw Data'!E414</f>
        <v>5</v>
      </c>
      <c r="F414" s="4">
        <f>'Raw Data'!F414</f>
        <v>133.01</v>
      </c>
      <c r="G414" s="4" t="str">
        <f>'Raw Data'!G414</f>
        <v>246 Main St</v>
      </c>
      <c r="H414" s="4" t="str">
        <f>'Raw Data'!H414</f>
        <v>Credit Card</v>
      </c>
      <c r="I414" s="4" t="str">
        <f>'Raw Data'!I414</f>
        <v>Returned</v>
      </c>
      <c r="J414" s="4" t="str">
        <f>'Raw Data'!J414</f>
        <v>TRK31313343</v>
      </c>
      <c r="K414" s="4">
        <f>'Raw Data'!K414</f>
        <v>10</v>
      </c>
      <c r="L414" s="4" t="str">
        <f>IF('Raw Data'!L414="","No Coupon",'Raw Data'!L414)</f>
        <v>No Coupon</v>
      </c>
      <c r="M414" s="4" t="str">
        <f>'Raw Data'!M414</f>
        <v>Facebook</v>
      </c>
      <c r="N414" s="4">
        <f>'Raw Data'!N414</f>
        <v>665.05</v>
      </c>
    </row>
    <row r="415" spans="1:14" ht="15" customHeight="1" x14ac:dyDescent="0.2">
      <c r="A415" s="4" t="str">
        <f>'Raw Data'!A415</f>
        <v>ORD200413</v>
      </c>
      <c r="B415" s="6">
        <f>'Raw Data'!B415</f>
        <v>45207</v>
      </c>
      <c r="C415" s="4" t="str">
        <f>'Raw Data'!C415</f>
        <v>C13923</v>
      </c>
      <c r="D415" s="4" t="str">
        <f>'Raw Data'!D415</f>
        <v>Tablet</v>
      </c>
      <c r="E415" s="4">
        <f>'Raw Data'!E415</f>
        <v>1</v>
      </c>
      <c r="F415" s="4">
        <f>'Raw Data'!F415</f>
        <v>118.8</v>
      </c>
      <c r="G415" s="4" t="str">
        <f>'Raw Data'!G415</f>
        <v>123 Main St</v>
      </c>
      <c r="H415" s="4" t="str">
        <f>'Raw Data'!H415</f>
        <v>Online</v>
      </c>
      <c r="I415" s="4" t="str">
        <f>'Raw Data'!I415</f>
        <v>Delivered</v>
      </c>
      <c r="J415" s="4" t="str">
        <f>'Raw Data'!J415</f>
        <v>TRK87598790</v>
      </c>
      <c r="K415" s="4">
        <f>'Raw Data'!K415</f>
        <v>6</v>
      </c>
      <c r="L415" s="4" t="str">
        <f>IF('Raw Data'!L415="","No Coupon",'Raw Data'!L415)</f>
        <v>SAVE10</v>
      </c>
      <c r="M415" s="4" t="str">
        <f>'Raw Data'!M415</f>
        <v>Email</v>
      </c>
      <c r="N415" s="4">
        <f>'Raw Data'!N415</f>
        <v>118.8</v>
      </c>
    </row>
    <row r="416" spans="1:14" ht="15" customHeight="1" x14ac:dyDescent="0.2">
      <c r="A416" s="4" t="str">
        <f>'Raw Data'!A416</f>
        <v>ORD200414</v>
      </c>
      <c r="B416" s="6">
        <f>'Raw Data'!B416</f>
        <v>45781</v>
      </c>
      <c r="C416" s="4" t="str">
        <f>'Raw Data'!C416</f>
        <v>C11829</v>
      </c>
      <c r="D416" s="4" t="str">
        <f>'Raw Data'!D416</f>
        <v>Desk</v>
      </c>
      <c r="E416" s="4">
        <f>'Raw Data'!E416</f>
        <v>2</v>
      </c>
      <c r="F416" s="4">
        <f>'Raw Data'!F416</f>
        <v>139.57</v>
      </c>
      <c r="G416" s="4" t="str">
        <f>'Raw Data'!G416</f>
        <v>797 Main St</v>
      </c>
      <c r="H416" s="4" t="str">
        <f>'Raw Data'!H416</f>
        <v>Cash</v>
      </c>
      <c r="I416" s="4" t="str">
        <f>'Raw Data'!I416</f>
        <v>Delivered</v>
      </c>
      <c r="J416" s="4" t="str">
        <f>'Raw Data'!J416</f>
        <v>TRK84229257</v>
      </c>
      <c r="K416" s="4">
        <f>'Raw Data'!K416</f>
        <v>4</v>
      </c>
      <c r="L416" s="4" t="str">
        <f>IF('Raw Data'!L416="","No Coupon",'Raw Data'!L416)</f>
        <v>WINTER15</v>
      </c>
      <c r="M416" s="4" t="str">
        <f>'Raw Data'!M416</f>
        <v>Facebook</v>
      </c>
      <c r="N416" s="4">
        <f>'Raw Data'!N416</f>
        <v>279.14</v>
      </c>
    </row>
    <row r="417" spans="1:14" ht="15" customHeight="1" x14ac:dyDescent="0.2">
      <c r="A417" s="4" t="str">
        <f>'Raw Data'!A417</f>
        <v>ORD200415</v>
      </c>
      <c r="B417" s="6">
        <f>'Raw Data'!B417</f>
        <v>45753</v>
      </c>
      <c r="C417" s="4" t="str">
        <f>'Raw Data'!C417</f>
        <v>C62169</v>
      </c>
      <c r="D417" s="4" t="str">
        <f>'Raw Data'!D417</f>
        <v>Chair</v>
      </c>
      <c r="E417" s="4">
        <f>'Raw Data'!E417</f>
        <v>1</v>
      </c>
      <c r="F417" s="4">
        <f>'Raw Data'!F417</f>
        <v>184.15</v>
      </c>
      <c r="G417" s="4" t="str">
        <f>'Raw Data'!G417</f>
        <v>655 Main St</v>
      </c>
      <c r="H417" s="4" t="str">
        <f>'Raw Data'!H417</f>
        <v>Gift Card</v>
      </c>
      <c r="I417" s="4" t="str">
        <f>'Raw Data'!I417</f>
        <v>Shipped</v>
      </c>
      <c r="J417" s="4" t="str">
        <f>'Raw Data'!J417</f>
        <v>TRK64558985</v>
      </c>
      <c r="K417" s="4">
        <f>'Raw Data'!K417</f>
        <v>5</v>
      </c>
      <c r="L417" s="4" t="str">
        <f>IF('Raw Data'!L417="","No Coupon",'Raw Data'!L417)</f>
        <v>FREESHIP</v>
      </c>
      <c r="M417" s="4" t="str">
        <f>'Raw Data'!M417</f>
        <v>Facebook</v>
      </c>
      <c r="N417" s="4">
        <f>'Raw Data'!N417</f>
        <v>184.15</v>
      </c>
    </row>
    <row r="418" spans="1:14" ht="15" customHeight="1" x14ac:dyDescent="0.2">
      <c r="A418" s="4" t="str">
        <f>'Raw Data'!A418</f>
        <v>ORD200416</v>
      </c>
      <c r="B418" s="6">
        <f>'Raw Data'!B418</f>
        <v>45125</v>
      </c>
      <c r="C418" s="4" t="str">
        <f>'Raw Data'!C418</f>
        <v>C20881</v>
      </c>
      <c r="D418" s="4" t="str">
        <f>'Raw Data'!D418</f>
        <v>Laptop</v>
      </c>
      <c r="E418" s="4">
        <f>'Raw Data'!E418</f>
        <v>2</v>
      </c>
      <c r="F418" s="4">
        <f>'Raw Data'!F418</f>
        <v>644.04999999999995</v>
      </c>
      <c r="G418" s="4" t="str">
        <f>'Raw Data'!G418</f>
        <v>652 Main St</v>
      </c>
      <c r="H418" s="4" t="str">
        <f>'Raw Data'!H418</f>
        <v>Gift Card</v>
      </c>
      <c r="I418" s="4" t="str">
        <f>'Raw Data'!I418</f>
        <v>Cancelled</v>
      </c>
      <c r="J418" s="4" t="str">
        <f>'Raw Data'!J418</f>
        <v>TRK26263902</v>
      </c>
      <c r="K418" s="4">
        <f>'Raw Data'!K418</f>
        <v>5</v>
      </c>
      <c r="L418" s="4" t="str">
        <f>IF('Raw Data'!L418="","No Coupon",'Raw Data'!L418)</f>
        <v>WINTER15</v>
      </c>
      <c r="M418" s="4" t="str">
        <f>'Raw Data'!M418</f>
        <v>Referral</v>
      </c>
      <c r="N418" s="4">
        <f>'Raw Data'!N418</f>
        <v>1288.0999999999999</v>
      </c>
    </row>
    <row r="419" spans="1:14" ht="15" customHeight="1" x14ac:dyDescent="0.2">
      <c r="A419" s="4" t="str">
        <f>'Raw Data'!A419</f>
        <v>ORD200417</v>
      </c>
      <c r="B419" s="6">
        <f>'Raw Data'!B419</f>
        <v>45223</v>
      </c>
      <c r="C419" s="4" t="str">
        <f>'Raw Data'!C419</f>
        <v>C44492</v>
      </c>
      <c r="D419" s="4" t="str">
        <f>'Raw Data'!D419</f>
        <v>Laptop</v>
      </c>
      <c r="E419" s="4">
        <f>'Raw Data'!E419</f>
        <v>5</v>
      </c>
      <c r="F419" s="4">
        <f>'Raw Data'!F419</f>
        <v>55.41</v>
      </c>
      <c r="G419" s="4" t="str">
        <f>'Raw Data'!G419</f>
        <v>954 Main St</v>
      </c>
      <c r="H419" s="4" t="str">
        <f>'Raw Data'!H419</f>
        <v>Online</v>
      </c>
      <c r="I419" s="4" t="str">
        <f>'Raw Data'!I419</f>
        <v>Cancelled</v>
      </c>
      <c r="J419" s="4" t="str">
        <f>'Raw Data'!J419</f>
        <v>TRK51429869</v>
      </c>
      <c r="K419" s="4">
        <f>'Raw Data'!K419</f>
        <v>5</v>
      </c>
      <c r="L419" s="4" t="str">
        <f>IF('Raw Data'!L419="","No Coupon",'Raw Data'!L419)</f>
        <v>No Coupon</v>
      </c>
      <c r="M419" s="4" t="str">
        <f>'Raw Data'!M419</f>
        <v>Google</v>
      </c>
      <c r="N419" s="4">
        <f>'Raw Data'!N419</f>
        <v>277.05</v>
      </c>
    </row>
    <row r="420" spans="1:14" ht="15" customHeight="1" x14ac:dyDescent="0.2">
      <c r="A420" s="4" t="str">
        <f>'Raw Data'!A420</f>
        <v>ORD200418</v>
      </c>
      <c r="B420" s="6">
        <f>'Raw Data'!B420</f>
        <v>44937</v>
      </c>
      <c r="C420" s="4" t="str">
        <f>'Raw Data'!C420</f>
        <v>C74169</v>
      </c>
      <c r="D420" s="4" t="str">
        <f>'Raw Data'!D420</f>
        <v>Printer</v>
      </c>
      <c r="E420" s="4">
        <f>'Raw Data'!E420</f>
        <v>1</v>
      </c>
      <c r="F420" s="4">
        <f>'Raw Data'!F420</f>
        <v>310.93</v>
      </c>
      <c r="G420" s="4" t="str">
        <f>'Raw Data'!G420</f>
        <v>862 Main St</v>
      </c>
      <c r="H420" s="4" t="str">
        <f>'Raw Data'!H420</f>
        <v>Online</v>
      </c>
      <c r="I420" s="4" t="str">
        <f>'Raw Data'!I420</f>
        <v>Cancelled</v>
      </c>
      <c r="J420" s="4" t="str">
        <f>'Raw Data'!J420</f>
        <v>TRK66144809</v>
      </c>
      <c r="K420" s="4">
        <f>'Raw Data'!K420</f>
        <v>3</v>
      </c>
      <c r="L420" s="4" t="str">
        <f>IF('Raw Data'!L420="","No Coupon",'Raw Data'!L420)</f>
        <v>No Coupon</v>
      </c>
      <c r="M420" s="4" t="str">
        <f>'Raw Data'!M420</f>
        <v>Facebook</v>
      </c>
      <c r="N420" s="4">
        <f>'Raw Data'!N420</f>
        <v>310.93</v>
      </c>
    </row>
    <row r="421" spans="1:14" ht="15" customHeight="1" x14ac:dyDescent="0.2">
      <c r="A421" s="4" t="str">
        <f>'Raw Data'!A421</f>
        <v>ORD200419</v>
      </c>
      <c r="B421" s="6">
        <f>'Raw Data'!B421</f>
        <v>45399</v>
      </c>
      <c r="C421" s="4" t="str">
        <f>'Raw Data'!C421</f>
        <v>C70999</v>
      </c>
      <c r="D421" s="4" t="str">
        <f>'Raw Data'!D421</f>
        <v>Tablet</v>
      </c>
      <c r="E421" s="4">
        <f>'Raw Data'!E421</f>
        <v>2</v>
      </c>
      <c r="F421" s="4">
        <f>'Raw Data'!F421</f>
        <v>216.66</v>
      </c>
      <c r="G421" s="4" t="str">
        <f>'Raw Data'!G421</f>
        <v>885 Main St</v>
      </c>
      <c r="H421" s="4" t="str">
        <f>'Raw Data'!H421</f>
        <v>Debit Card</v>
      </c>
      <c r="I421" s="4" t="str">
        <f>'Raw Data'!I421</f>
        <v>Pending</v>
      </c>
      <c r="J421" s="4" t="str">
        <f>'Raw Data'!J421</f>
        <v>TRK75644156</v>
      </c>
      <c r="K421" s="4">
        <f>'Raw Data'!K421</f>
        <v>6</v>
      </c>
      <c r="L421" s="4" t="str">
        <f>IF('Raw Data'!L421="","No Coupon",'Raw Data'!L421)</f>
        <v>FREESHIP</v>
      </c>
      <c r="M421" s="4" t="str">
        <f>'Raw Data'!M421</f>
        <v>Instagram</v>
      </c>
      <c r="N421" s="4">
        <f>'Raw Data'!N421</f>
        <v>433.32</v>
      </c>
    </row>
    <row r="422" spans="1:14" ht="15" customHeight="1" x14ac:dyDescent="0.2">
      <c r="A422" s="4" t="str">
        <f>'Raw Data'!A422</f>
        <v>ORD200420</v>
      </c>
      <c r="B422" s="6">
        <f>'Raw Data'!B422</f>
        <v>45625</v>
      </c>
      <c r="C422" s="4" t="str">
        <f>'Raw Data'!C422</f>
        <v>C11921</v>
      </c>
      <c r="D422" s="4" t="str">
        <f>'Raw Data'!D422</f>
        <v>Phone</v>
      </c>
      <c r="E422" s="4">
        <f>'Raw Data'!E422</f>
        <v>1</v>
      </c>
      <c r="F422" s="4">
        <f>'Raw Data'!F422</f>
        <v>452.7</v>
      </c>
      <c r="G422" s="4" t="str">
        <f>'Raw Data'!G422</f>
        <v>439 Main St</v>
      </c>
      <c r="H422" s="4" t="str">
        <f>'Raw Data'!H422</f>
        <v>Debit Card</v>
      </c>
      <c r="I422" s="4" t="str">
        <f>'Raw Data'!I422</f>
        <v>Shipped</v>
      </c>
      <c r="J422" s="4" t="str">
        <f>'Raw Data'!J422</f>
        <v>TRK91362635</v>
      </c>
      <c r="K422" s="4">
        <f>'Raw Data'!K422</f>
        <v>5</v>
      </c>
      <c r="L422" s="4" t="str">
        <f>IF('Raw Data'!L422="","No Coupon",'Raw Data'!L422)</f>
        <v>FREESHIP</v>
      </c>
      <c r="M422" s="4" t="str">
        <f>'Raw Data'!M422</f>
        <v>Instagram</v>
      </c>
      <c r="N422" s="4">
        <f>'Raw Data'!N422</f>
        <v>452.7</v>
      </c>
    </row>
    <row r="423" spans="1:14" ht="15" customHeight="1" x14ac:dyDescent="0.2">
      <c r="A423" s="4" t="str">
        <f>'Raw Data'!A423</f>
        <v>ORD200421</v>
      </c>
      <c r="B423" s="6">
        <f>'Raw Data'!B423</f>
        <v>45214</v>
      </c>
      <c r="C423" s="4" t="str">
        <f>'Raw Data'!C423</f>
        <v>C50683</v>
      </c>
      <c r="D423" s="4" t="str">
        <f>'Raw Data'!D423</f>
        <v>Chair</v>
      </c>
      <c r="E423" s="4">
        <f>'Raw Data'!E423</f>
        <v>2</v>
      </c>
      <c r="F423" s="4">
        <f>'Raw Data'!F423</f>
        <v>288.20999999999998</v>
      </c>
      <c r="G423" s="4" t="str">
        <f>'Raw Data'!G423</f>
        <v>769 Main St</v>
      </c>
      <c r="H423" s="4" t="str">
        <f>'Raw Data'!H423</f>
        <v>Debit Card</v>
      </c>
      <c r="I423" s="4" t="str">
        <f>'Raw Data'!I423</f>
        <v>Cancelled</v>
      </c>
      <c r="J423" s="4" t="str">
        <f>'Raw Data'!J423</f>
        <v>TRK53032122</v>
      </c>
      <c r="K423" s="4">
        <f>'Raw Data'!K423</f>
        <v>5</v>
      </c>
      <c r="L423" s="4" t="str">
        <f>IF('Raw Data'!L423="","No Coupon",'Raw Data'!L423)</f>
        <v>No Coupon</v>
      </c>
      <c r="M423" s="4" t="str">
        <f>'Raw Data'!M423</f>
        <v>Email</v>
      </c>
      <c r="N423" s="4">
        <f>'Raw Data'!N423</f>
        <v>576.41999999999996</v>
      </c>
    </row>
    <row r="424" spans="1:14" ht="15" customHeight="1" x14ac:dyDescent="0.2">
      <c r="A424" s="4" t="str">
        <f>'Raw Data'!A424</f>
        <v>ORD200422</v>
      </c>
      <c r="B424" s="6">
        <f>'Raw Data'!B424</f>
        <v>45082</v>
      </c>
      <c r="C424" s="4" t="str">
        <f>'Raw Data'!C424</f>
        <v>C76140</v>
      </c>
      <c r="D424" s="4" t="str">
        <f>'Raw Data'!D424</f>
        <v>Phone</v>
      </c>
      <c r="E424" s="4">
        <f>'Raw Data'!E424</f>
        <v>4</v>
      </c>
      <c r="F424" s="4">
        <f>'Raw Data'!F424</f>
        <v>206.6</v>
      </c>
      <c r="G424" s="4" t="str">
        <f>'Raw Data'!G424</f>
        <v>914 Main St</v>
      </c>
      <c r="H424" s="4" t="str">
        <f>'Raw Data'!H424</f>
        <v>Gift Card</v>
      </c>
      <c r="I424" s="4" t="str">
        <f>'Raw Data'!I424</f>
        <v>Returned</v>
      </c>
      <c r="J424" s="4" t="str">
        <f>'Raw Data'!J424</f>
        <v>TRK25861469</v>
      </c>
      <c r="K424" s="4">
        <f>'Raw Data'!K424</f>
        <v>6</v>
      </c>
      <c r="L424" s="4" t="str">
        <f>IF('Raw Data'!L424="","No Coupon",'Raw Data'!L424)</f>
        <v>WINTER15</v>
      </c>
      <c r="M424" s="4" t="str">
        <f>'Raw Data'!M424</f>
        <v>Referral</v>
      </c>
      <c r="N424" s="4">
        <f>'Raw Data'!N424</f>
        <v>826.4</v>
      </c>
    </row>
    <row r="425" spans="1:14" ht="15" customHeight="1" x14ac:dyDescent="0.2">
      <c r="A425" s="4" t="str">
        <f>'Raw Data'!A425</f>
        <v>ORD200423</v>
      </c>
      <c r="B425" s="6">
        <f>'Raw Data'!B425</f>
        <v>45493</v>
      </c>
      <c r="C425" s="4" t="str">
        <f>'Raw Data'!C425</f>
        <v>C94311</v>
      </c>
      <c r="D425" s="4" t="str">
        <f>'Raw Data'!D425</f>
        <v>Printer</v>
      </c>
      <c r="E425" s="4">
        <f>'Raw Data'!E425</f>
        <v>4</v>
      </c>
      <c r="F425" s="4">
        <f>'Raw Data'!F425</f>
        <v>685.2</v>
      </c>
      <c r="G425" s="4" t="str">
        <f>'Raw Data'!G425</f>
        <v>195 Main St</v>
      </c>
      <c r="H425" s="4" t="str">
        <f>'Raw Data'!H425</f>
        <v>Gift Card</v>
      </c>
      <c r="I425" s="4" t="str">
        <f>'Raw Data'!I425</f>
        <v>Cancelled</v>
      </c>
      <c r="J425" s="4" t="str">
        <f>'Raw Data'!J425</f>
        <v>TRK97308771</v>
      </c>
      <c r="K425" s="4">
        <f>'Raw Data'!K425</f>
        <v>6</v>
      </c>
      <c r="L425" s="4" t="str">
        <f>IF('Raw Data'!L425="","No Coupon",'Raw Data'!L425)</f>
        <v>WINTER15</v>
      </c>
      <c r="M425" s="4" t="str">
        <f>'Raw Data'!M425</f>
        <v>Google</v>
      </c>
      <c r="N425" s="4">
        <f>'Raw Data'!N425</f>
        <v>2740.8</v>
      </c>
    </row>
    <row r="426" spans="1:14" ht="15" customHeight="1" x14ac:dyDescent="0.2">
      <c r="A426" s="4" t="str">
        <f>'Raw Data'!A426</f>
        <v>ORD200424</v>
      </c>
      <c r="B426" s="6">
        <f>'Raw Data'!B426</f>
        <v>45028</v>
      </c>
      <c r="C426" s="4" t="str">
        <f>'Raw Data'!C426</f>
        <v>C49491</v>
      </c>
      <c r="D426" s="4" t="str">
        <f>'Raw Data'!D426</f>
        <v>Chair</v>
      </c>
      <c r="E426" s="4">
        <f>'Raw Data'!E426</f>
        <v>5</v>
      </c>
      <c r="F426" s="4">
        <f>'Raw Data'!F426</f>
        <v>22.94</v>
      </c>
      <c r="G426" s="4" t="str">
        <f>'Raw Data'!G426</f>
        <v>339 Main St</v>
      </c>
      <c r="H426" s="4" t="str">
        <f>'Raw Data'!H426</f>
        <v>Cash</v>
      </c>
      <c r="I426" s="4" t="str">
        <f>'Raw Data'!I426</f>
        <v>Pending</v>
      </c>
      <c r="J426" s="4" t="str">
        <f>'Raw Data'!J426</f>
        <v>TRK64012257</v>
      </c>
      <c r="K426" s="4">
        <f>'Raw Data'!K426</f>
        <v>10</v>
      </c>
      <c r="L426" s="4" t="str">
        <f>IF('Raw Data'!L426="","No Coupon",'Raw Data'!L426)</f>
        <v>No Coupon</v>
      </c>
      <c r="M426" s="4" t="str">
        <f>'Raw Data'!M426</f>
        <v>Email</v>
      </c>
      <c r="N426" s="4">
        <f>'Raw Data'!N426</f>
        <v>114.7</v>
      </c>
    </row>
    <row r="427" spans="1:14" ht="15" customHeight="1" x14ac:dyDescent="0.2">
      <c r="A427" s="4" t="str">
        <f>'Raw Data'!A427</f>
        <v>ORD200425</v>
      </c>
      <c r="B427" s="6">
        <f>'Raw Data'!B427</f>
        <v>44994</v>
      </c>
      <c r="C427" s="4" t="str">
        <f>'Raw Data'!C427</f>
        <v>C40648</v>
      </c>
      <c r="D427" s="4" t="str">
        <f>'Raw Data'!D427</f>
        <v>Laptop</v>
      </c>
      <c r="E427" s="4">
        <f>'Raw Data'!E427</f>
        <v>2</v>
      </c>
      <c r="F427" s="4">
        <f>'Raw Data'!F427</f>
        <v>301.88</v>
      </c>
      <c r="G427" s="4" t="str">
        <f>'Raw Data'!G427</f>
        <v>488 Main St</v>
      </c>
      <c r="H427" s="4" t="str">
        <f>'Raw Data'!H427</f>
        <v>Gift Card</v>
      </c>
      <c r="I427" s="4" t="str">
        <f>'Raw Data'!I427</f>
        <v>Returned</v>
      </c>
      <c r="J427" s="4" t="str">
        <f>'Raw Data'!J427</f>
        <v>TRK25325993</v>
      </c>
      <c r="K427" s="4">
        <f>'Raw Data'!K427</f>
        <v>5</v>
      </c>
      <c r="L427" s="4" t="str">
        <f>IF('Raw Data'!L427="","No Coupon",'Raw Data'!L427)</f>
        <v>WINTER15</v>
      </c>
      <c r="M427" s="4" t="str">
        <f>'Raw Data'!M427</f>
        <v>Email</v>
      </c>
      <c r="N427" s="4">
        <f>'Raw Data'!N427</f>
        <v>603.76</v>
      </c>
    </row>
    <row r="428" spans="1:14" ht="15" customHeight="1" x14ac:dyDescent="0.2">
      <c r="A428" s="4" t="str">
        <f>'Raw Data'!A428</f>
        <v>ORD200426</v>
      </c>
      <c r="B428" s="6">
        <f>'Raw Data'!B428</f>
        <v>45732</v>
      </c>
      <c r="C428" s="4" t="str">
        <f>'Raw Data'!C428</f>
        <v>C40967</v>
      </c>
      <c r="D428" s="4" t="str">
        <f>'Raw Data'!D428</f>
        <v>Monitor</v>
      </c>
      <c r="E428" s="4">
        <f>'Raw Data'!E428</f>
        <v>5</v>
      </c>
      <c r="F428" s="4">
        <f>'Raw Data'!F428</f>
        <v>57.45</v>
      </c>
      <c r="G428" s="4" t="str">
        <f>'Raw Data'!G428</f>
        <v>315 Main St</v>
      </c>
      <c r="H428" s="4" t="str">
        <f>'Raw Data'!H428</f>
        <v>Cash</v>
      </c>
      <c r="I428" s="4" t="str">
        <f>'Raw Data'!I428</f>
        <v>Cancelled</v>
      </c>
      <c r="J428" s="4" t="str">
        <f>'Raw Data'!J428</f>
        <v>TRK24839296</v>
      </c>
      <c r="K428" s="4">
        <f>'Raw Data'!K428</f>
        <v>10</v>
      </c>
      <c r="L428" s="4" t="str">
        <f>IF('Raw Data'!L428="","No Coupon",'Raw Data'!L428)</f>
        <v>No Coupon</v>
      </c>
      <c r="M428" s="4" t="str">
        <f>'Raw Data'!M428</f>
        <v>Facebook</v>
      </c>
      <c r="N428" s="4">
        <f>'Raw Data'!N428</f>
        <v>287.25</v>
      </c>
    </row>
    <row r="429" spans="1:14" ht="15" customHeight="1" x14ac:dyDescent="0.2">
      <c r="A429" s="4" t="str">
        <f>'Raw Data'!A429</f>
        <v>ORD200427</v>
      </c>
      <c r="B429" s="6">
        <f>'Raw Data'!B429</f>
        <v>45644</v>
      </c>
      <c r="C429" s="4" t="str">
        <f>'Raw Data'!C429</f>
        <v>C25406</v>
      </c>
      <c r="D429" s="4" t="str">
        <f>'Raw Data'!D429</f>
        <v>Desk</v>
      </c>
      <c r="E429" s="4">
        <f>'Raw Data'!E429</f>
        <v>1</v>
      </c>
      <c r="F429" s="4">
        <f>'Raw Data'!F429</f>
        <v>161.24</v>
      </c>
      <c r="G429" s="4" t="str">
        <f>'Raw Data'!G429</f>
        <v>379 Main St</v>
      </c>
      <c r="H429" s="4" t="str">
        <f>'Raw Data'!H429</f>
        <v>Credit Card</v>
      </c>
      <c r="I429" s="4" t="str">
        <f>'Raw Data'!I429</f>
        <v>Pending</v>
      </c>
      <c r="J429" s="4" t="str">
        <f>'Raw Data'!J429</f>
        <v>TRK70952564</v>
      </c>
      <c r="K429" s="4">
        <f>'Raw Data'!K429</f>
        <v>3</v>
      </c>
      <c r="L429" s="4" t="str">
        <f>IF('Raw Data'!L429="","No Coupon",'Raw Data'!L429)</f>
        <v>WINTER15</v>
      </c>
      <c r="M429" s="4" t="str">
        <f>'Raw Data'!M429</f>
        <v>Instagram</v>
      </c>
      <c r="N429" s="4">
        <f>'Raw Data'!N429</f>
        <v>161.24</v>
      </c>
    </row>
    <row r="430" spans="1:14" ht="15" customHeight="1" x14ac:dyDescent="0.2">
      <c r="A430" s="4" t="str">
        <f>'Raw Data'!A430</f>
        <v>ORD200428</v>
      </c>
      <c r="B430" s="6">
        <f>'Raw Data'!B430</f>
        <v>45622</v>
      </c>
      <c r="C430" s="4" t="str">
        <f>'Raw Data'!C430</f>
        <v>C77085</v>
      </c>
      <c r="D430" s="4" t="str">
        <f>'Raw Data'!D430</f>
        <v>Chair</v>
      </c>
      <c r="E430" s="4">
        <f>'Raw Data'!E430</f>
        <v>4</v>
      </c>
      <c r="F430" s="4">
        <f>'Raw Data'!F430</f>
        <v>262.58</v>
      </c>
      <c r="G430" s="4" t="str">
        <f>'Raw Data'!G430</f>
        <v>895 Main St</v>
      </c>
      <c r="H430" s="4" t="str">
        <f>'Raw Data'!H430</f>
        <v>Online</v>
      </c>
      <c r="I430" s="4" t="str">
        <f>'Raw Data'!I430</f>
        <v>Cancelled</v>
      </c>
      <c r="J430" s="4" t="str">
        <f>'Raw Data'!J430</f>
        <v>TRK57227640</v>
      </c>
      <c r="K430" s="4">
        <f>'Raw Data'!K430</f>
        <v>8</v>
      </c>
      <c r="L430" s="4" t="str">
        <f>IF('Raw Data'!L430="","No Coupon",'Raw Data'!L430)</f>
        <v>WINTER15</v>
      </c>
      <c r="M430" s="4" t="str">
        <f>'Raw Data'!M430</f>
        <v>Email</v>
      </c>
      <c r="N430" s="4">
        <f>'Raw Data'!N430</f>
        <v>1050.32</v>
      </c>
    </row>
    <row r="431" spans="1:14" ht="15" customHeight="1" x14ac:dyDescent="0.2">
      <c r="A431" s="4" t="str">
        <f>'Raw Data'!A431</f>
        <v>ORD200429</v>
      </c>
      <c r="B431" s="6">
        <f>'Raw Data'!B431</f>
        <v>45645</v>
      </c>
      <c r="C431" s="4" t="str">
        <f>'Raw Data'!C431</f>
        <v>C38126</v>
      </c>
      <c r="D431" s="4" t="str">
        <f>'Raw Data'!D431</f>
        <v>Printer</v>
      </c>
      <c r="E431" s="4">
        <f>'Raw Data'!E431</f>
        <v>4</v>
      </c>
      <c r="F431" s="4">
        <f>'Raw Data'!F431</f>
        <v>515.19000000000005</v>
      </c>
      <c r="G431" s="4" t="str">
        <f>'Raw Data'!G431</f>
        <v>522 Main St</v>
      </c>
      <c r="H431" s="4" t="str">
        <f>'Raw Data'!H431</f>
        <v>Credit Card</v>
      </c>
      <c r="I431" s="4" t="str">
        <f>'Raw Data'!I431</f>
        <v>Pending</v>
      </c>
      <c r="J431" s="4" t="str">
        <f>'Raw Data'!J431</f>
        <v>TRK90838498</v>
      </c>
      <c r="K431" s="4">
        <f>'Raw Data'!K431</f>
        <v>9</v>
      </c>
      <c r="L431" s="4" t="str">
        <f>IF('Raw Data'!L431="","No Coupon",'Raw Data'!L431)</f>
        <v>SAVE10</v>
      </c>
      <c r="M431" s="4" t="str">
        <f>'Raw Data'!M431</f>
        <v>Facebook</v>
      </c>
      <c r="N431" s="4">
        <f>'Raw Data'!N431</f>
        <v>2060.7600000000002</v>
      </c>
    </row>
    <row r="432" spans="1:14" ht="15" customHeight="1" x14ac:dyDescent="0.2">
      <c r="A432" s="4" t="str">
        <f>'Raw Data'!A432</f>
        <v>ORD200430</v>
      </c>
      <c r="B432" s="6">
        <f>'Raw Data'!B432</f>
        <v>45084</v>
      </c>
      <c r="C432" s="4" t="str">
        <f>'Raw Data'!C432</f>
        <v>C87448</v>
      </c>
      <c r="D432" s="4" t="str">
        <f>'Raw Data'!D432</f>
        <v>Phone</v>
      </c>
      <c r="E432" s="4">
        <f>'Raw Data'!E432</f>
        <v>1</v>
      </c>
      <c r="F432" s="4">
        <f>'Raw Data'!F432</f>
        <v>450.07</v>
      </c>
      <c r="G432" s="4" t="str">
        <f>'Raw Data'!G432</f>
        <v>433 Main St</v>
      </c>
      <c r="H432" s="4" t="str">
        <f>'Raw Data'!H432</f>
        <v>Gift Card</v>
      </c>
      <c r="I432" s="4" t="str">
        <f>'Raw Data'!I432</f>
        <v>Shipped</v>
      </c>
      <c r="J432" s="4" t="str">
        <f>'Raw Data'!J432</f>
        <v>TRK44134016</v>
      </c>
      <c r="K432" s="4">
        <f>'Raw Data'!K432</f>
        <v>6</v>
      </c>
      <c r="L432" s="4" t="str">
        <f>IF('Raw Data'!L432="","No Coupon",'Raw Data'!L432)</f>
        <v>FREESHIP</v>
      </c>
      <c r="M432" s="4" t="str">
        <f>'Raw Data'!M432</f>
        <v>Google</v>
      </c>
      <c r="N432" s="4">
        <f>'Raw Data'!N432</f>
        <v>450.07</v>
      </c>
    </row>
    <row r="433" spans="1:14" ht="15" customHeight="1" x14ac:dyDescent="0.2">
      <c r="A433" s="4" t="str">
        <f>'Raw Data'!A433</f>
        <v>ORD200431</v>
      </c>
      <c r="B433" s="6">
        <f>'Raw Data'!B433</f>
        <v>45571</v>
      </c>
      <c r="C433" s="4" t="str">
        <f>'Raw Data'!C433</f>
        <v>C62312</v>
      </c>
      <c r="D433" s="4" t="str">
        <f>'Raw Data'!D433</f>
        <v>Printer</v>
      </c>
      <c r="E433" s="4">
        <f>'Raw Data'!E433</f>
        <v>1</v>
      </c>
      <c r="F433" s="4">
        <f>'Raw Data'!F433</f>
        <v>52.54</v>
      </c>
      <c r="G433" s="4" t="str">
        <f>'Raw Data'!G433</f>
        <v>651 Main St</v>
      </c>
      <c r="H433" s="4" t="str">
        <f>'Raw Data'!H433</f>
        <v>Debit Card</v>
      </c>
      <c r="I433" s="4" t="str">
        <f>'Raw Data'!I433</f>
        <v>Cancelled</v>
      </c>
      <c r="J433" s="4" t="str">
        <f>'Raw Data'!J433</f>
        <v>TRK59623037</v>
      </c>
      <c r="K433" s="4">
        <f>'Raw Data'!K433</f>
        <v>6</v>
      </c>
      <c r="L433" s="4" t="str">
        <f>IF('Raw Data'!L433="","No Coupon",'Raw Data'!L433)</f>
        <v>WINTER15</v>
      </c>
      <c r="M433" s="4" t="str">
        <f>'Raw Data'!M433</f>
        <v>Facebook</v>
      </c>
      <c r="N433" s="4">
        <f>'Raw Data'!N433</f>
        <v>52.54</v>
      </c>
    </row>
    <row r="434" spans="1:14" ht="15" customHeight="1" x14ac:dyDescent="0.2">
      <c r="A434" s="4" t="str">
        <f>'Raw Data'!A434</f>
        <v>ORD200432</v>
      </c>
      <c r="B434" s="6">
        <f>'Raw Data'!B434</f>
        <v>45173</v>
      </c>
      <c r="C434" s="4" t="str">
        <f>'Raw Data'!C434</f>
        <v>C58443</v>
      </c>
      <c r="D434" s="4" t="str">
        <f>'Raw Data'!D434</f>
        <v>Tablet</v>
      </c>
      <c r="E434" s="4">
        <f>'Raw Data'!E434</f>
        <v>2</v>
      </c>
      <c r="F434" s="4">
        <f>'Raw Data'!F434</f>
        <v>424.32</v>
      </c>
      <c r="G434" s="4" t="str">
        <f>'Raw Data'!G434</f>
        <v>662 Main St</v>
      </c>
      <c r="H434" s="4" t="str">
        <f>'Raw Data'!H434</f>
        <v>Credit Card</v>
      </c>
      <c r="I434" s="4" t="str">
        <f>'Raw Data'!I434</f>
        <v>Returned</v>
      </c>
      <c r="J434" s="4" t="str">
        <f>'Raw Data'!J434</f>
        <v>TRK77163738</v>
      </c>
      <c r="K434" s="4">
        <f>'Raw Data'!K434</f>
        <v>6</v>
      </c>
      <c r="L434" s="4" t="str">
        <f>IF('Raw Data'!L434="","No Coupon",'Raw Data'!L434)</f>
        <v>No Coupon</v>
      </c>
      <c r="M434" s="4" t="str">
        <f>'Raw Data'!M434</f>
        <v>Referral</v>
      </c>
      <c r="N434" s="4">
        <f>'Raw Data'!N434</f>
        <v>848.64</v>
      </c>
    </row>
    <row r="435" spans="1:14" ht="15" customHeight="1" x14ac:dyDescent="0.2">
      <c r="A435" s="4" t="str">
        <f>'Raw Data'!A435</f>
        <v>ORD200433</v>
      </c>
      <c r="B435" s="6">
        <f>'Raw Data'!B435</f>
        <v>45164</v>
      </c>
      <c r="C435" s="4" t="str">
        <f>'Raw Data'!C435</f>
        <v>C36613</v>
      </c>
      <c r="D435" s="4" t="str">
        <f>'Raw Data'!D435</f>
        <v>Monitor</v>
      </c>
      <c r="E435" s="4">
        <f>'Raw Data'!E435</f>
        <v>3</v>
      </c>
      <c r="F435" s="4">
        <f>'Raw Data'!F435</f>
        <v>631.64</v>
      </c>
      <c r="G435" s="4" t="str">
        <f>'Raw Data'!G435</f>
        <v>785 Main St</v>
      </c>
      <c r="H435" s="4" t="str">
        <f>'Raw Data'!H435</f>
        <v>Credit Card</v>
      </c>
      <c r="I435" s="4" t="str">
        <f>'Raw Data'!I435</f>
        <v>Returned</v>
      </c>
      <c r="J435" s="4" t="str">
        <f>'Raw Data'!J435</f>
        <v>TRK13282106</v>
      </c>
      <c r="K435" s="4">
        <f>'Raw Data'!K435</f>
        <v>3</v>
      </c>
      <c r="L435" s="4" t="str">
        <f>IF('Raw Data'!L435="","No Coupon",'Raw Data'!L435)</f>
        <v>FREESHIP</v>
      </c>
      <c r="M435" s="4" t="str">
        <f>'Raw Data'!M435</f>
        <v>Facebook</v>
      </c>
      <c r="N435" s="4">
        <f>'Raw Data'!N435</f>
        <v>1894.92</v>
      </c>
    </row>
    <row r="436" spans="1:14" ht="15" customHeight="1" x14ac:dyDescent="0.2">
      <c r="A436" s="4" t="str">
        <f>'Raw Data'!A436</f>
        <v>ORD200434</v>
      </c>
      <c r="B436" s="6">
        <f>'Raw Data'!B436</f>
        <v>45221</v>
      </c>
      <c r="C436" s="4" t="str">
        <f>'Raw Data'!C436</f>
        <v>C73893</v>
      </c>
      <c r="D436" s="4" t="str">
        <f>'Raw Data'!D436</f>
        <v>Printer</v>
      </c>
      <c r="E436" s="4">
        <f>'Raw Data'!E436</f>
        <v>5</v>
      </c>
      <c r="F436" s="4">
        <f>'Raw Data'!F436</f>
        <v>327.68</v>
      </c>
      <c r="G436" s="4" t="str">
        <f>'Raw Data'!G436</f>
        <v>384 Main St</v>
      </c>
      <c r="H436" s="4" t="str">
        <f>'Raw Data'!H436</f>
        <v>Credit Card</v>
      </c>
      <c r="I436" s="4" t="str">
        <f>'Raw Data'!I436</f>
        <v>Returned</v>
      </c>
      <c r="J436" s="4" t="str">
        <f>'Raw Data'!J436</f>
        <v>TRK85939879</v>
      </c>
      <c r="K436" s="4">
        <f>'Raw Data'!K436</f>
        <v>6</v>
      </c>
      <c r="L436" s="4" t="str">
        <f>IF('Raw Data'!L436="","No Coupon",'Raw Data'!L436)</f>
        <v>No Coupon</v>
      </c>
      <c r="M436" s="4" t="str">
        <f>'Raw Data'!M436</f>
        <v>Facebook</v>
      </c>
      <c r="N436" s="4">
        <f>'Raw Data'!N436</f>
        <v>1638.4</v>
      </c>
    </row>
    <row r="437" spans="1:14" ht="15" customHeight="1" x14ac:dyDescent="0.2">
      <c r="A437" s="4" t="str">
        <f>'Raw Data'!A437</f>
        <v>ORD200435</v>
      </c>
      <c r="B437" s="6">
        <f>'Raw Data'!B437</f>
        <v>45073</v>
      </c>
      <c r="C437" s="4" t="str">
        <f>'Raw Data'!C437</f>
        <v>C48601</v>
      </c>
      <c r="D437" s="4" t="str">
        <f>'Raw Data'!D437</f>
        <v>Printer</v>
      </c>
      <c r="E437" s="4">
        <f>'Raw Data'!E437</f>
        <v>1</v>
      </c>
      <c r="F437" s="4">
        <f>'Raw Data'!F437</f>
        <v>414.47</v>
      </c>
      <c r="G437" s="4" t="str">
        <f>'Raw Data'!G437</f>
        <v>101 Main St</v>
      </c>
      <c r="H437" s="4" t="str">
        <f>'Raw Data'!H437</f>
        <v>Debit Card</v>
      </c>
      <c r="I437" s="4" t="str">
        <f>'Raw Data'!I437</f>
        <v>Returned</v>
      </c>
      <c r="J437" s="4" t="str">
        <f>'Raw Data'!J437</f>
        <v>TRK97868309</v>
      </c>
      <c r="K437" s="4">
        <f>'Raw Data'!K437</f>
        <v>3</v>
      </c>
      <c r="L437" s="4" t="str">
        <f>IF('Raw Data'!L437="","No Coupon",'Raw Data'!L437)</f>
        <v>FREESHIP</v>
      </c>
      <c r="M437" s="4" t="str">
        <f>'Raw Data'!M437</f>
        <v>Instagram</v>
      </c>
      <c r="N437" s="4">
        <f>'Raw Data'!N437</f>
        <v>414.47</v>
      </c>
    </row>
    <row r="438" spans="1:14" ht="15" customHeight="1" x14ac:dyDescent="0.2">
      <c r="A438" s="4" t="str">
        <f>'Raw Data'!A438</f>
        <v>ORD200436</v>
      </c>
      <c r="B438" s="6">
        <f>'Raw Data'!B438</f>
        <v>44968</v>
      </c>
      <c r="C438" s="4" t="str">
        <f>'Raw Data'!C438</f>
        <v>C14568</v>
      </c>
      <c r="D438" s="4" t="str">
        <f>'Raw Data'!D438</f>
        <v>Laptop</v>
      </c>
      <c r="E438" s="4">
        <f>'Raw Data'!E438</f>
        <v>4</v>
      </c>
      <c r="F438" s="4">
        <f>'Raw Data'!F438</f>
        <v>221.33</v>
      </c>
      <c r="G438" s="4" t="str">
        <f>'Raw Data'!G438</f>
        <v>651 Main St</v>
      </c>
      <c r="H438" s="4" t="str">
        <f>'Raw Data'!H438</f>
        <v>Online</v>
      </c>
      <c r="I438" s="4" t="str">
        <f>'Raw Data'!I438</f>
        <v>Pending</v>
      </c>
      <c r="J438" s="4" t="str">
        <f>'Raw Data'!J438</f>
        <v>TRK73545796</v>
      </c>
      <c r="K438" s="4">
        <f>'Raw Data'!K438</f>
        <v>5</v>
      </c>
      <c r="L438" s="4" t="str">
        <f>IF('Raw Data'!L438="","No Coupon",'Raw Data'!L438)</f>
        <v>No Coupon</v>
      </c>
      <c r="M438" s="4" t="str">
        <f>'Raw Data'!M438</f>
        <v>Google</v>
      </c>
      <c r="N438" s="4">
        <f>'Raw Data'!N438</f>
        <v>885.32</v>
      </c>
    </row>
    <row r="439" spans="1:14" ht="15" customHeight="1" x14ac:dyDescent="0.2">
      <c r="A439" s="4" t="str">
        <f>'Raw Data'!A439</f>
        <v>ORD200437</v>
      </c>
      <c r="B439" s="6">
        <f>'Raw Data'!B439</f>
        <v>45400</v>
      </c>
      <c r="C439" s="4" t="str">
        <f>'Raw Data'!C439</f>
        <v>C63378</v>
      </c>
      <c r="D439" s="4" t="str">
        <f>'Raw Data'!D439</f>
        <v>Phone</v>
      </c>
      <c r="E439" s="4">
        <f>'Raw Data'!E439</f>
        <v>1</v>
      </c>
      <c r="F439" s="4">
        <f>'Raw Data'!F439</f>
        <v>512.39</v>
      </c>
      <c r="G439" s="4" t="str">
        <f>'Raw Data'!G439</f>
        <v>955 Main St</v>
      </c>
      <c r="H439" s="4" t="str">
        <f>'Raw Data'!H439</f>
        <v>Online</v>
      </c>
      <c r="I439" s="4" t="str">
        <f>'Raw Data'!I439</f>
        <v>Delivered</v>
      </c>
      <c r="J439" s="4" t="str">
        <f>'Raw Data'!J439</f>
        <v>TRK20863705</v>
      </c>
      <c r="K439" s="4">
        <f>'Raw Data'!K439</f>
        <v>2</v>
      </c>
      <c r="L439" s="4" t="str">
        <f>IF('Raw Data'!L439="","No Coupon",'Raw Data'!L439)</f>
        <v>FREESHIP</v>
      </c>
      <c r="M439" s="4" t="str">
        <f>'Raw Data'!M439</f>
        <v>Instagram</v>
      </c>
      <c r="N439" s="4">
        <f>'Raw Data'!N439</f>
        <v>512.39</v>
      </c>
    </row>
    <row r="440" spans="1:14" ht="15" customHeight="1" x14ac:dyDescent="0.2">
      <c r="A440" s="4" t="str">
        <f>'Raw Data'!A440</f>
        <v>ORD200438</v>
      </c>
      <c r="B440" s="6">
        <f>'Raw Data'!B440</f>
        <v>45660</v>
      </c>
      <c r="C440" s="4" t="str">
        <f>'Raw Data'!C440</f>
        <v>C77800</v>
      </c>
      <c r="D440" s="4" t="str">
        <f>'Raw Data'!D440</f>
        <v>Tablet</v>
      </c>
      <c r="E440" s="4">
        <f>'Raw Data'!E440</f>
        <v>3</v>
      </c>
      <c r="F440" s="4">
        <f>'Raw Data'!F440</f>
        <v>459.34</v>
      </c>
      <c r="G440" s="4" t="str">
        <f>'Raw Data'!G440</f>
        <v>436 Main St</v>
      </c>
      <c r="H440" s="4" t="str">
        <f>'Raw Data'!H440</f>
        <v>Gift Card</v>
      </c>
      <c r="I440" s="4" t="str">
        <f>'Raw Data'!I440</f>
        <v>Pending</v>
      </c>
      <c r="J440" s="4" t="str">
        <f>'Raw Data'!J440</f>
        <v>TRK27439574</v>
      </c>
      <c r="K440" s="4">
        <f>'Raw Data'!K440</f>
        <v>3</v>
      </c>
      <c r="L440" s="4" t="str">
        <f>IF('Raw Data'!L440="","No Coupon",'Raw Data'!L440)</f>
        <v>SAVE10</v>
      </c>
      <c r="M440" s="4" t="str">
        <f>'Raw Data'!M440</f>
        <v>Instagram</v>
      </c>
      <c r="N440" s="4">
        <f>'Raw Data'!N440</f>
        <v>1378.02</v>
      </c>
    </row>
    <row r="441" spans="1:14" ht="15" customHeight="1" x14ac:dyDescent="0.2">
      <c r="A441" s="4" t="str">
        <f>'Raw Data'!A441</f>
        <v>ORD200439</v>
      </c>
      <c r="B441" s="6">
        <f>'Raw Data'!B441</f>
        <v>45543</v>
      </c>
      <c r="C441" s="4" t="str">
        <f>'Raw Data'!C441</f>
        <v>C91155</v>
      </c>
      <c r="D441" s="4" t="str">
        <f>'Raw Data'!D441</f>
        <v>Tablet</v>
      </c>
      <c r="E441" s="4">
        <f>'Raw Data'!E441</f>
        <v>1</v>
      </c>
      <c r="F441" s="4">
        <f>'Raw Data'!F441</f>
        <v>146.32</v>
      </c>
      <c r="G441" s="4" t="str">
        <f>'Raw Data'!G441</f>
        <v>321 Main St</v>
      </c>
      <c r="H441" s="4" t="str">
        <f>'Raw Data'!H441</f>
        <v>Online</v>
      </c>
      <c r="I441" s="4" t="str">
        <f>'Raw Data'!I441</f>
        <v>Shipped</v>
      </c>
      <c r="J441" s="4" t="str">
        <f>'Raw Data'!J441</f>
        <v>TRK36260319</v>
      </c>
      <c r="K441" s="4">
        <f>'Raw Data'!K441</f>
        <v>4</v>
      </c>
      <c r="L441" s="4" t="str">
        <f>IF('Raw Data'!L441="","No Coupon",'Raw Data'!L441)</f>
        <v>WINTER15</v>
      </c>
      <c r="M441" s="4" t="str">
        <f>'Raw Data'!M441</f>
        <v>Facebook</v>
      </c>
      <c r="N441" s="4">
        <f>'Raw Data'!N441</f>
        <v>146.32</v>
      </c>
    </row>
    <row r="442" spans="1:14" ht="15" customHeight="1" x14ac:dyDescent="0.2">
      <c r="A442" s="4" t="str">
        <f>'Raw Data'!A442</f>
        <v>ORD200440</v>
      </c>
      <c r="B442" s="6">
        <f>'Raw Data'!B442</f>
        <v>45601</v>
      </c>
      <c r="C442" s="4" t="str">
        <f>'Raw Data'!C442</f>
        <v>C60215</v>
      </c>
      <c r="D442" s="4" t="str">
        <f>'Raw Data'!D442</f>
        <v>Desk</v>
      </c>
      <c r="E442" s="4">
        <f>'Raw Data'!E442</f>
        <v>4</v>
      </c>
      <c r="F442" s="4">
        <f>'Raw Data'!F442</f>
        <v>83.6</v>
      </c>
      <c r="G442" s="4" t="str">
        <f>'Raw Data'!G442</f>
        <v>978 Main St</v>
      </c>
      <c r="H442" s="4" t="str">
        <f>'Raw Data'!H442</f>
        <v>Debit Card</v>
      </c>
      <c r="I442" s="4" t="str">
        <f>'Raw Data'!I442</f>
        <v>Pending</v>
      </c>
      <c r="J442" s="4" t="str">
        <f>'Raw Data'!J442</f>
        <v>TRK31727767</v>
      </c>
      <c r="K442" s="4">
        <f>'Raw Data'!K442</f>
        <v>4</v>
      </c>
      <c r="L442" s="4" t="str">
        <f>IF('Raw Data'!L442="","No Coupon",'Raw Data'!L442)</f>
        <v>SAVE10</v>
      </c>
      <c r="M442" s="4" t="str">
        <f>'Raw Data'!M442</f>
        <v>Facebook</v>
      </c>
      <c r="N442" s="4">
        <f>'Raw Data'!N442</f>
        <v>334.4</v>
      </c>
    </row>
    <row r="443" spans="1:14" ht="15" customHeight="1" x14ac:dyDescent="0.2">
      <c r="A443" s="4" t="str">
        <f>'Raw Data'!A443</f>
        <v>ORD200441</v>
      </c>
      <c r="B443" s="6">
        <f>'Raw Data'!B443</f>
        <v>45273</v>
      </c>
      <c r="C443" s="4" t="str">
        <f>'Raw Data'!C443</f>
        <v>C52915</v>
      </c>
      <c r="D443" s="4" t="str">
        <f>'Raw Data'!D443</f>
        <v>Printer</v>
      </c>
      <c r="E443" s="4">
        <f>'Raw Data'!E443</f>
        <v>2</v>
      </c>
      <c r="F443" s="4">
        <f>'Raw Data'!F443</f>
        <v>328.54</v>
      </c>
      <c r="G443" s="4" t="str">
        <f>'Raw Data'!G443</f>
        <v>475 Main St</v>
      </c>
      <c r="H443" s="4" t="str">
        <f>'Raw Data'!H443</f>
        <v>Gift Card</v>
      </c>
      <c r="I443" s="4" t="str">
        <f>'Raw Data'!I443</f>
        <v>Returned</v>
      </c>
      <c r="J443" s="4" t="str">
        <f>'Raw Data'!J443</f>
        <v>TRK79466982</v>
      </c>
      <c r="K443" s="4">
        <f>'Raw Data'!K443</f>
        <v>6</v>
      </c>
      <c r="L443" s="4" t="str">
        <f>IF('Raw Data'!L443="","No Coupon",'Raw Data'!L443)</f>
        <v>FREESHIP</v>
      </c>
      <c r="M443" s="4" t="str">
        <f>'Raw Data'!M443</f>
        <v>Email</v>
      </c>
      <c r="N443" s="4">
        <f>'Raw Data'!N443</f>
        <v>657.08</v>
      </c>
    </row>
    <row r="444" spans="1:14" ht="15" customHeight="1" x14ac:dyDescent="0.2">
      <c r="A444" s="4" t="str">
        <f>'Raw Data'!A444</f>
        <v>ORD200442</v>
      </c>
      <c r="B444" s="6">
        <f>'Raw Data'!B444</f>
        <v>45418</v>
      </c>
      <c r="C444" s="4" t="str">
        <f>'Raw Data'!C444</f>
        <v>C72588</v>
      </c>
      <c r="D444" s="4" t="str">
        <f>'Raw Data'!D444</f>
        <v>Chair</v>
      </c>
      <c r="E444" s="4">
        <f>'Raw Data'!E444</f>
        <v>5</v>
      </c>
      <c r="F444" s="4">
        <f>'Raw Data'!F444</f>
        <v>314.94</v>
      </c>
      <c r="G444" s="4" t="str">
        <f>'Raw Data'!G444</f>
        <v>661 Main St</v>
      </c>
      <c r="H444" s="4" t="str">
        <f>'Raw Data'!H444</f>
        <v>Cash</v>
      </c>
      <c r="I444" s="4" t="str">
        <f>'Raw Data'!I444</f>
        <v>Pending</v>
      </c>
      <c r="J444" s="4" t="str">
        <f>'Raw Data'!J444</f>
        <v>TRK43410829</v>
      </c>
      <c r="K444" s="4">
        <f>'Raw Data'!K444</f>
        <v>8</v>
      </c>
      <c r="L444" s="4" t="str">
        <f>IF('Raw Data'!L444="","No Coupon",'Raw Data'!L444)</f>
        <v>SAVE10</v>
      </c>
      <c r="M444" s="4" t="str">
        <f>'Raw Data'!M444</f>
        <v>Instagram</v>
      </c>
      <c r="N444" s="4">
        <f>'Raw Data'!N444</f>
        <v>1574.7</v>
      </c>
    </row>
    <row r="445" spans="1:14" ht="15" customHeight="1" x14ac:dyDescent="0.2">
      <c r="A445" s="4" t="str">
        <f>'Raw Data'!A445</f>
        <v>ORD200443</v>
      </c>
      <c r="B445" s="6">
        <f>'Raw Data'!B445</f>
        <v>45426</v>
      </c>
      <c r="C445" s="4" t="str">
        <f>'Raw Data'!C445</f>
        <v>C61668</v>
      </c>
      <c r="D445" s="4" t="str">
        <f>'Raw Data'!D445</f>
        <v>Chair</v>
      </c>
      <c r="E445" s="4">
        <f>'Raw Data'!E445</f>
        <v>2</v>
      </c>
      <c r="F445" s="4">
        <f>'Raw Data'!F445</f>
        <v>69.64</v>
      </c>
      <c r="G445" s="4" t="str">
        <f>'Raw Data'!G445</f>
        <v>813 Main St</v>
      </c>
      <c r="H445" s="4" t="str">
        <f>'Raw Data'!H445</f>
        <v>Cash</v>
      </c>
      <c r="I445" s="4" t="str">
        <f>'Raw Data'!I445</f>
        <v>Returned</v>
      </c>
      <c r="J445" s="4" t="str">
        <f>'Raw Data'!J445</f>
        <v>TRK58970302</v>
      </c>
      <c r="K445" s="4">
        <f>'Raw Data'!K445</f>
        <v>6</v>
      </c>
      <c r="L445" s="4" t="str">
        <f>IF('Raw Data'!L445="","No Coupon",'Raw Data'!L445)</f>
        <v>No Coupon</v>
      </c>
      <c r="M445" s="4" t="str">
        <f>'Raw Data'!M445</f>
        <v>Facebook</v>
      </c>
      <c r="N445" s="4">
        <f>'Raw Data'!N445</f>
        <v>139.28</v>
      </c>
    </row>
    <row r="446" spans="1:14" ht="15" customHeight="1" x14ac:dyDescent="0.2">
      <c r="A446" s="4" t="str">
        <f>'Raw Data'!A446</f>
        <v>ORD200444</v>
      </c>
      <c r="B446" s="6">
        <f>'Raw Data'!B446</f>
        <v>45451</v>
      </c>
      <c r="C446" s="4" t="str">
        <f>'Raw Data'!C446</f>
        <v>C79508</v>
      </c>
      <c r="D446" s="4" t="str">
        <f>'Raw Data'!D446</f>
        <v>Printer</v>
      </c>
      <c r="E446" s="4">
        <f>'Raw Data'!E446</f>
        <v>1</v>
      </c>
      <c r="F446" s="4">
        <f>'Raw Data'!F446</f>
        <v>135.16999999999999</v>
      </c>
      <c r="G446" s="4" t="str">
        <f>'Raw Data'!G446</f>
        <v>585 Main St</v>
      </c>
      <c r="H446" s="4" t="str">
        <f>'Raw Data'!H446</f>
        <v>Online</v>
      </c>
      <c r="I446" s="4" t="str">
        <f>'Raw Data'!I446</f>
        <v>Shipped</v>
      </c>
      <c r="J446" s="4" t="str">
        <f>'Raw Data'!J446</f>
        <v>TRK61882353</v>
      </c>
      <c r="K446" s="4">
        <f>'Raw Data'!K446</f>
        <v>6</v>
      </c>
      <c r="L446" s="4" t="str">
        <f>IF('Raw Data'!L446="","No Coupon",'Raw Data'!L446)</f>
        <v>FREESHIP</v>
      </c>
      <c r="M446" s="4" t="str">
        <f>'Raw Data'!M446</f>
        <v>Instagram</v>
      </c>
      <c r="N446" s="4">
        <f>'Raw Data'!N446</f>
        <v>135.16999999999999</v>
      </c>
    </row>
    <row r="447" spans="1:14" ht="15" customHeight="1" x14ac:dyDescent="0.2">
      <c r="A447" s="4" t="str">
        <f>'Raw Data'!A447</f>
        <v>ORD200445</v>
      </c>
      <c r="B447" s="6">
        <f>'Raw Data'!B447</f>
        <v>45374</v>
      </c>
      <c r="C447" s="4" t="str">
        <f>'Raw Data'!C447</f>
        <v>C94569</v>
      </c>
      <c r="D447" s="4" t="str">
        <f>'Raw Data'!D447</f>
        <v>Phone</v>
      </c>
      <c r="E447" s="4">
        <f>'Raw Data'!E447</f>
        <v>1</v>
      </c>
      <c r="F447" s="4">
        <f>'Raw Data'!F447</f>
        <v>487.21</v>
      </c>
      <c r="G447" s="4" t="str">
        <f>'Raw Data'!G447</f>
        <v>227 Main St</v>
      </c>
      <c r="H447" s="4" t="str">
        <f>'Raw Data'!H447</f>
        <v>Cash</v>
      </c>
      <c r="I447" s="4" t="str">
        <f>'Raw Data'!I447</f>
        <v>Delivered</v>
      </c>
      <c r="J447" s="4" t="str">
        <f>'Raw Data'!J447</f>
        <v>TRK31351770</v>
      </c>
      <c r="K447" s="4">
        <f>'Raw Data'!K447</f>
        <v>3</v>
      </c>
      <c r="L447" s="4" t="str">
        <f>IF('Raw Data'!L447="","No Coupon",'Raw Data'!L447)</f>
        <v>SAVE10</v>
      </c>
      <c r="M447" s="4" t="str">
        <f>'Raw Data'!M447</f>
        <v>Referral</v>
      </c>
      <c r="N447" s="4">
        <f>'Raw Data'!N447</f>
        <v>487.21</v>
      </c>
    </row>
    <row r="448" spans="1:14" ht="15" customHeight="1" x14ac:dyDescent="0.2">
      <c r="A448" s="4" t="str">
        <f>'Raw Data'!A448</f>
        <v>ORD200446</v>
      </c>
      <c r="B448" s="6">
        <f>'Raw Data'!B448</f>
        <v>45217</v>
      </c>
      <c r="C448" s="4" t="str">
        <f>'Raw Data'!C448</f>
        <v>C89592</v>
      </c>
      <c r="D448" s="4" t="str">
        <f>'Raw Data'!D448</f>
        <v>Laptop</v>
      </c>
      <c r="E448" s="4">
        <f>'Raw Data'!E448</f>
        <v>5</v>
      </c>
      <c r="F448" s="4">
        <f>'Raw Data'!F448</f>
        <v>509.58</v>
      </c>
      <c r="G448" s="4" t="str">
        <f>'Raw Data'!G448</f>
        <v>262 Main St</v>
      </c>
      <c r="H448" s="4" t="str">
        <f>'Raw Data'!H448</f>
        <v>Online</v>
      </c>
      <c r="I448" s="4" t="str">
        <f>'Raw Data'!I448</f>
        <v>Delivered</v>
      </c>
      <c r="J448" s="4" t="str">
        <f>'Raw Data'!J448</f>
        <v>TRK49442402</v>
      </c>
      <c r="K448" s="4">
        <f>'Raw Data'!K448</f>
        <v>6</v>
      </c>
      <c r="L448" s="4" t="str">
        <f>IF('Raw Data'!L448="","No Coupon",'Raw Data'!L448)</f>
        <v>FREESHIP</v>
      </c>
      <c r="M448" s="4" t="str">
        <f>'Raw Data'!M448</f>
        <v>Instagram</v>
      </c>
      <c r="N448" s="4">
        <f>'Raw Data'!N448</f>
        <v>2547.9</v>
      </c>
    </row>
    <row r="449" spans="1:14" ht="15" customHeight="1" x14ac:dyDescent="0.2">
      <c r="A449" s="4" t="str">
        <f>'Raw Data'!A449</f>
        <v>ORD200447</v>
      </c>
      <c r="B449" s="6">
        <f>'Raw Data'!B449</f>
        <v>45389</v>
      </c>
      <c r="C449" s="4" t="str">
        <f>'Raw Data'!C449</f>
        <v>C48207</v>
      </c>
      <c r="D449" s="4" t="str">
        <f>'Raw Data'!D449</f>
        <v>Printer</v>
      </c>
      <c r="E449" s="4">
        <f>'Raw Data'!E449</f>
        <v>2</v>
      </c>
      <c r="F449" s="4">
        <f>'Raw Data'!F449</f>
        <v>416.81</v>
      </c>
      <c r="G449" s="4" t="str">
        <f>'Raw Data'!G449</f>
        <v>356 Main St</v>
      </c>
      <c r="H449" s="4" t="str">
        <f>'Raw Data'!H449</f>
        <v>Cash</v>
      </c>
      <c r="I449" s="4" t="str">
        <f>'Raw Data'!I449</f>
        <v>Returned</v>
      </c>
      <c r="J449" s="4" t="str">
        <f>'Raw Data'!J449</f>
        <v>TRK45355655</v>
      </c>
      <c r="K449" s="4">
        <f>'Raw Data'!K449</f>
        <v>2</v>
      </c>
      <c r="L449" s="4" t="str">
        <f>IF('Raw Data'!L449="","No Coupon",'Raw Data'!L449)</f>
        <v>No Coupon</v>
      </c>
      <c r="M449" s="4" t="str">
        <f>'Raw Data'!M449</f>
        <v>Facebook</v>
      </c>
      <c r="N449" s="4">
        <f>'Raw Data'!N449</f>
        <v>833.62</v>
      </c>
    </row>
    <row r="450" spans="1:14" ht="15" customHeight="1" x14ac:dyDescent="0.2">
      <c r="A450" s="4" t="str">
        <f>'Raw Data'!A450</f>
        <v>ORD200448</v>
      </c>
      <c r="B450" s="6">
        <f>'Raw Data'!B450</f>
        <v>45173</v>
      </c>
      <c r="C450" s="4" t="str">
        <f>'Raw Data'!C450</f>
        <v>C16776</v>
      </c>
      <c r="D450" s="4" t="str">
        <f>'Raw Data'!D450</f>
        <v>Laptop</v>
      </c>
      <c r="E450" s="4">
        <f>'Raw Data'!E450</f>
        <v>2</v>
      </c>
      <c r="F450" s="4">
        <f>'Raw Data'!F450</f>
        <v>160</v>
      </c>
      <c r="G450" s="4" t="str">
        <f>'Raw Data'!G450</f>
        <v>854 Main St</v>
      </c>
      <c r="H450" s="4" t="str">
        <f>'Raw Data'!H450</f>
        <v>Cash</v>
      </c>
      <c r="I450" s="4" t="str">
        <f>'Raw Data'!I450</f>
        <v>Pending</v>
      </c>
      <c r="J450" s="4" t="str">
        <f>'Raw Data'!J450</f>
        <v>TRK12860600</v>
      </c>
      <c r="K450" s="4">
        <f>'Raw Data'!K450</f>
        <v>4</v>
      </c>
      <c r="L450" s="4" t="str">
        <f>IF('Raw Data'!L450="","No Coupon",'Raw Data'!L450)</f>
        <v>SAVE10</v>
      </c>
      <c r="M450" s="4" t="str">
        <f>'Raw Data'!M450</f>
        <v>Instagram</v>
      </c>
      <c r="N450" s="4">
        <f>'Raw Data'!N450</f>
        <v>320</v>
      </c>
    </row>
    <row r="451" spans="1:14" ht="15" customHeight="1" x14ac:dyDescent="0.2">
      <c r="A451" s="4" t="str">
        <f>'Raw Data'!A451</f>
        <v>ORD200449</v>
      </c>
      <c r="B451" s="6">
        <f>'Raw Data'!B451</f>
        <v>45530</v>
      </c>
      <c r="C451" s="4" t="str">
        <f>'Raw Data'!C451</f>
        <v>C91518</v>
      </c>
      <c r="D451" s="4" t="str">
        <f>'Raw Data'!D451</f>
        <v>Tablet</v>
      </c>
      <c r="E451" s="4">
        <f>'Raw Data'!E451</f>
        <v>3</v>
      </c>
      <c r="F451" s="4">
        <f>'Raw Data'!F451</f>
        <v>253.05</v>
      </c>
      <c r="G451" s="4" t="str">
        <f>'Raw Data'!G451</f>
        <v>286 Main St</v>
      </c>
      <c r="H451" s="4" t="str">
        <f>'Raw Data'!H451</f>
        <v>Online</v>
      </c>
      <c r="I451" s="4" t="str">
        <f>'Raw Data'!I451</f>
        <v>Pending</v>
      </c>
      <c r="J451" s="4" t="str">
        <f>'Raw Data'!J451</f>
        <v>TRK48688724</v>
      </c>
      <c r="K451" s="4">
        <f>'Raw Data'!K451</f>
        <v>3</v>
      </c>
      <c r="L451" s="4" t="str">
        <f>IF('Raw Data'!L451="","No Coupon",'Raw Data'!L451)</f>
        <v>No Coupon</v>
      </c>
      <c r="M451" s="4" t="str">
        <f>'Raw Data'!M451</f>
        <v>Instagram</v>
      </c>
      <c r="N451" s="4">
        <f>'Raw Data'!N451</f>
        <v>759.15</v>
      </c>
    </row>
    <row r="452" spans="1:14" ht="15" customHeight="1" x14ac:dyDescent="0.2">
      <c r="A452" s="4" t="str">
        <f>'Raw Data'!A452</f>
        <v>ORD200450</v>
      </c>
      <c r="B452" s="6">
        <f>'Raw Data'!B452</f>
        <v>45306</v>
      </c>
      <c r="C452" s="4" t="str">
        <f>'Raw Data'!C452</f>
        <v>C36408</v>
      </c>
      <c r="D452" s="4" t="str">
        <f>'Raw Data'!D452</f>
        <v>Monitor</v>
      </c>
      <c r="E452" s="4">
        <f>'Raw Data'!E452</f>
        <v>5</v>
      </c>
      <c r="F452" s="4">
        <f>'Raw Data'!F452</f>
        <v>615.1</v>
      </c>
      <c r="G452" s="4" t="str">
        <f>'Raw Data'!G452</f>
        <v>160 Main St</v>
      </c>
      <c r="H452" s="4" t="str">
        <f>'Raw Data'!H452</f>
        <v>Gift Card</v>
      </c>
      <c r="I452" s="4" t="str">
        <f>'Raw Data'!I452</f>
        <v>Returned</v>
      </c>
      <c r="J452" s="4" t="str">
        <f>'Raw Data'!J452</f>
        <v>TRK94023253</v>
      </c>
      <c r="K452" s="4">
        <f>'Raw Data'!K452</f>
        <v>10</v>
      </c>
      <c r="L452" s="4" t="str">
        <f>IF('Raw Data'!L452="","No Coupon",'Raw Data'!L452)</f>
        <v>WINTER15</v>
      </c>
      <c r="M452" s="4" t="str">
        <f>'Raw Data'!M452</f>
        <v>Instagram</v>
      </c>
      <c r="N452" s="4">
        <f>'Raw Data'!N452</f>
        <v>3075.5</v>
      </c>
    </row>
    <row r="453" spans="1:14" ht="15" customHeight="1" x14ac:dyDescent="0.2">
      <c r="A453" s="4" t="str">
        <f>'Raw Data'!A453</f>
        <v>ORD200451</v>
      </c>
      <c r="B453" s="6">
        <f>'Raw Data'!B453</f>
        <v>45017</v>
      </c>
      <c r="C453" s="4" t="str">
        <f>'Raw Data'!C453</f>
        <v>C14837</v>
      </c>
      <c r="D453" s="4" t="str">
        <f>'Raw Data'!D453</f>
        <v>Monitor</v>
      </c>
      <c r="E453" s="4">
        <f>'Raw Data'!E453</f>
        <v>1</v>
      </c>
      <c r="F453" s="4">
        <f>'Raw Data'!F453</f>
        <v>183.18</v>
      </c>
      <c r="G453" s="4" t="str">
        <f>'Raw Data'!G453</f>
        <v>647 Main St</v>
      </c>
      <c r="H453" s="4" t="str">
        <f>'Raw Data'!H453</f>
        <v>Debit Card</v>
      </c>
      <c r="I453" s="4" t="str">
        <f>'Raw Data'!I453</f>
        <v>Cancelled</v>
      </c>
      <c r="J453" s="4" t="str">
        <f>'Raw Data'!J453</f>
        <v>TRK17501136</v>
      </c>
      <c r="K453" s="4">
        <f>'Raw Data'!K453</f>
        <v>6</v>
      </c>
      <c r="L453" s="4" t="str">
        <f>IF('Raw Data'!L453="","No Coupon",'Raw Data'!L453)</f>
        <v>SAVE10</v>
      </c>
      <c r="M453" s="4" t="str">
        <f>'Raw Data'!M453</f>
        <v>Email</v>
      </c>
      <c r="N453" s="4">
        <f>'Raw Data'!N453</f>
        <v>183.18</v>
      </c>
    </row>
    <row r="454" spans="1:14" ht="15" customHeight="1" x14ac:dyDescent="0.2">
      <c r="A454" s="4" t="str">
        <f>'Raw Data'!A454</f>
        <v>ORD200452</v>
      </c>
      <c r="B454" s="6">
        <f>'Raw Data'!B454</f>
        <v>45130</v>
      </c>
      <c r="C454" s="4" t="str">
        <f>'Raw Data'!C454</f>
        <v>C36467</v>
      </c>
      <c r="D454" s="4" t="str">
        <f>'Raw Data'!D454</f>
        <v>Printer</v>
      </c>
      <c r="E454" s="4">
        <f>'Raw Data'!E454</f>
        <v>1</v>
      </c>
      <c r="F454" s="4">
        <f>'Raw Data'!F454</f>
        <v>75.78</v>
      </c>
      <c r="G454" s="4" t="str">
        <f>'Raw Data'!G454</f>
        <v>581 Main St</v>
      </c>
      <c r="H454" s="4" t="str">
        <f>'Raw Data'!H454</f>
        <v>Cash</v>
      </c>
      <c r="I454" s="4" t="str">
        <f>'Raw Data'!I454</f>
        <v>Pending</v>
      </c>
      <c r="J454" s="4" t="str">
        <f>'Raw Data'!J454</f>
        <v>TRK20863987</v>
      </c>
      <c r="K454" s="4">
        <f>'Raw Data'!K454</f>
        <v>5</v>
      </c>
      <c r="L454" s="4" t="str">
        <f>IF('Raw Data'!L454="","No Coupon",'Raw Data'!L454)</f>
        <v>SAVE10</v>
      </c>
      <c r="M454" s="4" t="str">
        <f>'Raw Data'!M454</f>
        <v>Google</v>
      </c>
      <c r="N454" s="4">
        <f>'Raw Data'!N454</f>
        <v>75.78</v>
      </c>
    </row>
    <row r="455" spans="1:14" ht="15" customHeight="1" x14ac:dyDescent="0.2">
      <c r="A455" s="4" t="str">
        <f>'Raw Data'!A455</f>
        <v>ORD200453</v>
      </c>
      <c r="B455" s="6">
        <f>'Raw Data'!B455</f>
        <v>45779</v>
      </c>
      <c r="C455" s="4" t="str">
        <f>'Raw Data'!C455</f>
        <v>C15017</v>
      </c>
      <c r="D455" s="4" t="str">
        <f>'Raw Data'!D455</f>
        <v>Tablet</v>
      </c>
      <c r="E455" s="4">
        <f>'Raw Data'!E455</f>
        <v>1</v>
      </c>
      <c r="F455" s="4">
        <f>'Raw Data'!F455</f>
        <v>675.57</v>
      </c>
      <c r="G455" s="4" t="str">
        <f>'Raw Data'!G455</f>
        <v>492 Main St</v>
      </c>
      <c r="H455" s="4" t="str">
        <f>'Raw Data'!H455</f>
        <v>Cash</v>
      </c>
      <c r="I455" s="4" t="str">
        <f>'Raw Data'!I455</f>
        <v>Shipped</v>
      </c>
      <c r="J455" s="4" t="str">
        <f>'Raw Data'!J455</f>
        <v>TRK51241924</v>
      </c>
      <c r="K455" s="4">
        <f>'Raw Data'!K455</f>
        <v>1</v>
      </c>
      <c r="L455" s="4" t="str">
        <f>IF('Raw Data'!L455="","No Coupon",'Raw Data'!L455)</f>
        <v>WINTER15</v>
      </c>
      <c r="M455" s="4" t="str">
        <f>'Raw Data'!M455</f>
        <v>Facebook</v>
      </c>
      <c r="N455" s="4">
        <f>'Raw Data'!N455</f>
        <v>675.57</v>
      </c>
    </row>
    <row r="456" spans="1:14" ht="15" customHeight="1" x14ac:dyDescent="0.2">
      <c r="A456" s="4" t="str">
        <f>'Raw Data'!A456</f>
        <v>ORD200454</v>
      </c>
      <c r="B456" s="6">
        <f>'Raw Data'!B456</f>
        <v>45623</v>
      </c>
      <c r="C456" s="4" t="str">
        <f>'Raw Data'!C456</f>
        <v>C54759</v>
      </c>
      <c r="D456" s="4" t="str">
        <f>'Raw Data'!D456</f>
        <v>Laptop</v>
      </c>
      <c r="E456" s="4">
        <f>'Raw Data'!E456</f>
        <v>1</v>
      </c>
      <c r="F456" s="4">
        <f>'Raw Data'!F456</f>
        <v>109.29</v>
      </c>
      <c r="G456" s="4" t="str">
        <f>'Raw Data'!G456</f>
        <v>686 Main St</v>
      </c>
      <c r="H456" s="4" t="str">
        <f>'Raw Data'!H456</f>
        <v>Debit Card</v>
      </c>
      <c r="I456" s="4" t="str">
        <f>'Raw Data'!I456</f>
        <v>Cancelled</v>
      </c>
      <c r="J456" s="4" t="str">
        <f>'Raw Data'!J456</f>
        <v>TRK75583042</v>
      </c>
      <c r="K456" s="4">
        <f>'Raw Data'!K456</f>
        <v>5</v>
      </c>
      <c r="L456" s="4" t="str">
        <f>IF('Raw Data'!L456="","No Coupon",'Raw Data'!L456)</f>
        <v>FREESHIP</v>
      </c>
      <c r="M456" s="4" t="str">
        <f>'Raw Data'!M456</f>
        <v>Google</v>
      </c>
      <c r="N456" s="4">
        <f>'Raw Data'!N456</f>
        <v>109.29</v>
      </c>
    </row>
    <row r="457" spans="1:14" ht="15" customHeight="1" x14ac:dyDescent="0.2">
      <c r="A457" s="4" t="str">
        <f>'Raw Data'!A457</f>
        <v>ORD200455</v>
      </c>
      <c r="B457" s="6">
        <f>'Raw Data'!B457</f>
        <v>45377</v>
      </c>
      <c r="C457" s="4" t="str">
        <f>'Raw Data'!C457</f>
        <v>C58341</v>
      </c>
      <c r="D457" s="4" t="str">
        <f>'Raw Data'!D457</f>
        <v>Phone</v>
      </c>
      <c r="E457" s="4">
        <f>'Raw Data'!E457</f>
        <v>1</v>
      </c>
      <c r="F457" s="4">
        <f>'Raw Data'!F457</f>
        <v>639.83000000000004</v>
      </c>
      <c r="G457" s="4" t="str">
        <f>'Raw Data'!G457</f>
        <v>874 Main St</v>
      </c>
      <c r="H457" s="4" t="str">
        <f>'Raw Data'!H457</f>
        <v>Debit Card</v>
      </c>
      <c r="I457" s="4" t="str">
        <f>'Raw Data'!I457</f>
        <v>Pending</v>
      </c>
      <c r="J457" s="4" t="str">
        <f>'Raw Data'!J457</f>
        <v>TRK32856728</v>
      </c>
      <c r="K457" s="4">
        <f>'Raw Data'!K457</f>
        <v>2</v>
      </c>
      <c r="L457" s="4" t="str">
        <f>IF('Raw Data'!L457="","No Coupon",'Raw Data'!L457)</f>
        <v>SAVE10</v>
      </c>
      <c r="M457" s="4" t="str">
        <f>'Raw Data'!M457</f>
        <v>Referral</v>
      </c>
      <c r="N457" s="4">
        <f>'Raw Data'!N457</f>
        <v>639.83000000000004</v>
      </c>
    </row>
    <row r="458" spans="1:14" ht="15" customHeight="1" x14ac:dyDescent="0.2">
      <c r="A458" s="4" t="str">
        <f>'Raw Data'!A458</f>
        <v>ORD200456</v>
      </c>
      <c r="B458" s="6">
        <f>'Raw Data'!B458</f>
        <v>45103</v>
      </c>
      <c r="C458" s="4" t="str">
        <f>'Raw Data'!C458</f>
        <v>C94479</v>
      </c>
      <c r="D458" s="4" t="str">
        <f>'Raw Data'!D458</f>
        <v>Desk</v>
      </c>
      <c r="E458" s="4">
        <f>'Raw Data'!E458</f>
        <v>5</v>
      </c>
      <c r="F458" s="4">
        <f>'Raw Data'!F458</f>
        <v>62.81</v>
      </c>
      <c r="G458" s="4" t="str">
        <f>'Raw Data'!G458</f>
        <v>259 Main St</v>
      </c>
      <c r="H458" s="4" t="str">
        <f>'Raw Data'!H458</f>
        <v>Credit Card</v>
      </c>
      <c r="I458" s="4" t="str">
        <f>'Raw Data'!I458</f>
        <v>Shipped</v>
      </c>
      <c r="J458" s="4" t="str">
        <f>'Raw Data'!J458</f>
        <v>TRK69089975</v>
      </c>
      <c r="K458" s="4">
        <f>'Raw Data'!K458</f>
        <v>9</v>
      </c>
      <c r="L458" s="4" t="str">
        <f>IF('Raw Data'!L458="","No Coupon",'Raw Data'!L458)</f>
        <v>SAVE10</v>
      </c>
      <c r="M458" s="4" t="str">
        <f>'Raw Data'!M458</f>
        <v>Facebook</v>
      </c>
      <c r="N458" s="4">
        <f>'Raw Data'!N458</f>
        <v>314.05</v>
      </c>
    </row>
    <row r="459" spans="1:14" ht="15" customHeight="1" x14ac:dyDescent="0.2">
      <c r="A459" s="4" t="str">
        <f>'Raw Data'!A459</f>
        <v>ORD200457</v>
      </c>
      <c r="B459" s="6">
        <f>'Raw Data'!B459</f>
        <v>45802</v>
      </c>
      <c r="C459" s="4" t="str">
        <f>'Raw Data'!C459</f>
        <v>C50236</v>
      </c>
      <c r="D459" s="4" t="str">
        <f>'Raw Data'!D459</f>
        <v>Desk</v>
      </c>
      <c r="E459" s="4">
        <f>'Raw Data'!E459</f>
        <v>4</v>
      </c>
      <c r="F459" s="4">
        <f>'Raw Data'!F459</f>
        <v>615.83000000000004</v>
      </c>
      <c r="G459" s="4" t="str">
        <f>'Raw Data'!G459</f>
        <v>545 Main St</v>
      </c>
      <c r="H459" s="4" t="str">
        <f>'Raw Data'!H459</f>
        <v>Online</v>
      </c>
      <c r="I459" s="4" t="str">
        <f>'Raw Data'!I459</f>
        <v>Returned</v>
      </c>
      <c r="J459" s="4" t="str">
        <f>'Raw Data'!J459</f>
        <v>TRK67692578</v>
      </c>
      <c r="K459" s="4">
        <f>'Raw Data'!K459</f>
        <v>4</v>
      </c>
      <c r="L459" s="4" t="str">
        <f>IF('Raw Data'!L459="","No Coupon",'Raw Data'!L459)</f>
        <v>WINTER15</v>
      </c>
      <c r="M459" s="4" t="str">
        <f>'Raw Data'!M459</f>
        <v>Instagram</v>
      </c>
      <c r="N459" s="4">
        <f>'Raw Data'!N459</f>
        <v>2463.3200000000002</v>
      </c>
    </row>
    <row r="460" spans="1:14" ht="15" customHeight="1" x14ac:dyDescent="0.2">
      <c r="A460" s="4" t="str">
        <f>'Raw Data'!A460</f>
        <v>ORD200458</v>
      </c>
      <c r="B460" s="6">
        <f>'Raw Data'!B460</f>
        <v>45475</v>
      </c>
      <c r="C460" s="4" t="str">
        <f>'Raw Data'!C460</f>
        <v>C31412</v>
      </c>
      <c r="D460" s="4" t="str">
        <f>'Raw Data'!D460</f>
        <v>Monitor</v>
      </c>
      <c r="E460" s="4">
        <f>'Raw Data'!E460</f>
        <v>4</v>
      </c>
      <c r="F460" s="4">
        <f>'Raw Data'!F460</f>
        <v>510.58</v>
      </c>
      <c r="G460" s="4" t="str">
        <f>'Raw Data'!G460</f>
        <v>196 Main St</v>
      </c>
      <c r="H460" s="4" t="str">
        <f>'Raw Data'!H460</f>
        <v>Credit Card</v>
      </c>
      <c r="I460" s="4" t="str">
        <f>'Raw Data'!I460</f>
        <v>Returned</v>
      </c>
      <c r="J460" s="4" t="str">
        <f>'Raw Data'!J460</f>
        <v>TRK61946127</v>
      </c>
      <c r="K460" s="4">
        <f>'Raw Data'!K460</f>
        <v>7</v>
      </c>
      <c r="L460" s="4" t="str">
        <f>IF('Raw Data'!L460="","No Coupon",'Raw Data'!L460)</f>
        <v>WINTER15</v>
      </c>
      <c r="M460" s="4" t="str">
        <f>'Raw Data'!M460</f>
        <v>Email</v>
      </c>
      <c r="N460" s="4">
        <f>'Raw Data'!N460</f>
        <v>2042.32</v>
      </c>
    </row>
    <row r="461" spans="1:14" ht="15" customHeight="1" x14ac:dyDescent="0.2">
      <c r="A461" s="4" t="str">
        <f>'Raw Data'!A461</f>
        <v>ORD200459</v>
      </c>
      <c r="B461" s="6">
        <f>'Raw Data'!B461</f>
        <v>45497</v>
      </c>
      <c r="C461" s="4" t="str">
        <f>'Raw Data'!C461</f>
        <v>C90142</v>
      </c>
      <c r="D461" s="4" t="str">
        <f>'Raw Data'!D461</f>
        <v>Desk</v>
      </c>
      <c r="E461" s="4">
        <f>'Raw Data'!E461</f>
        <v>1</v>
      </c>
      <c r="F461" s="4">
        <f>'Raw Data'!F461</f>
        <v>334.39</v>
      </c>
      <c r="G461" s="4" t="str">
        <f>'Raw Data'!G461</f>
        <v>433 Main St</v>
      </c>
      <c r="H461" s="4" t="str">
        <f>'Raw Data'!H461</f>
        <v>Credit Card</v>
      </c>
      <c r="I461" s="4" t="str">
        <f>'Raw Data'!I461</f>
        <v>Returned</v>
      </c>
      <c r="J461" s="4" t="str">
        <f>'Raw Data'!J461</f>
        <v>TRK39717191</v>
      </c>
      <c r="K461" s="4">
        <f>'Raw Data'!K461</f>
        <v>2</v>
      </c>
      <c r="L461" s="4" t="str">
        <f>IF('Raw Data'!L461="","No Coupon",'Raw Data'!L461)</f>
        <v>No Coupon</v>
      </c>
      <c r="M461" s="4" t="str">
        <f>'Raw Data'!M461</f>
        <v>Instagram</v>
      </c>
      <c r="N461" s="4">
        <f>'Raw Data'!N461</f>
        <v>334.39</v>
      </c>
    </row>
    <row r="462" spans="1:14" ht="15" customHeight="1" x14ac:dyDescent="0.2">
      <c r="A462" s="4" t="str">
        <f>'Raw Data'!A462</f>
        <v>ORD200460</v>
      </c>
      <c r="B462" s="6">
        <f>'Raw Data'!B462</f>
        <v>45571</v>
      </c>
      <c r="C462" s="4" t="str">
        <f>'Raw Data'!C462</f>
        <v>C83548</v>
      </c>
      <c r="D462" s="4" t="str">
        <f>'Raw Data'!D462</f>
        <v>Laptop</v>
      </c>
      <c r="E462" s="4">
        <f>'Raw Data'!E462</f>
        <v>1</v>
      </c>
      <c r="F462" s="4">
        <f>'Raw Data'!F462</f>
        <v>144.25</v>
      </c>
      <c r="G462" s="4" t="str">
        <f>'Raw Data'!G462</f>
        <v>474 Main St</v>
      </c>
      <c r="H462" s="4" t="str">
        <f>'Raw Data'!H462</f>
        <v>Cash</v>
      </c>
      <c r="I462" s="4" t="str">
        <f>'Raw Data'!I462</f>
        <v>Returned</v>
      </c>
      <c r="J462" s="4" t="str">
        <f>'Raw Data'!J462</f>
        <v>TRK93822942</v>
      </c>
      <c r="K462" s="4">
        <f>'Raw Data'!K462</f>
        <v>2</v>
      </c>
      <c r="L462" s="4" t="str">
        <f>IF('Raw Data'!L462="","No Coupon",'Raw Data'!L462)</f>
        <v>WINTER15</v>
      </c>
      <c r="M462" s="4" t="str">
        <f>'Raw Data'!M462</f>
        <v>Referral</v>
      </c>
      <c r="N462" s="4">
        <f>'Raw Data'!N462</f>
        <v>144.25</v>
      </c>
    </row>
    <row r="463" spans="1:14" ht="15" customHeight="1" x14ac:dyDescent="0.2">
      <c r="A463" s="4" t="str">
        <f>'Raw Data'!A463</f>
        <v>ORD200461</v>
      </c>
      <c r="B463" s="6">
        <f>'Raw Data'!B463</f>
        <v>45451</v>
      </c>
      <c r="C463" s="4" t="str">
        <f>'Raw Data'!C463</f>
        <v>C29697</v>
      </c>
      <c r="D463" s="4" t="str">
        <f>'Raw Data'!D463</f>
        <v>Tablet</v>
      </c>
      <c r="E463" s="4">
        <f>'Raw Data'!E463</f>
        <v>1</v>
      </c>
      <c r="F463" s="4">
        <f>'Raw Data'!F463</f>
        <v>401.82</v>
      </c>
      <c r="G463" s="4" t="str">
        <f>'Raw Data'!G463</f>
        <v>407 Main St</v>
      </c>
      <c r="H463" s="4" t="str">
        <f>'Raw Data'!H463</f>
        <v>Credit Card</v>
      </c>
      <c r="I463" s="4" t="str">
        <f>'Raw Data'!I463</f>
        <v>Shipped</v>
      </c>
      <c r="J463" s="4" t="str">
        <f>'Raw Data'!J463</f>
        <v>TRK47776482</v>
      </c>
      <c r="K463" s="4">
        <f>'Raw Data'!K463</f>
        <v>5</v>
      </c>
      <c r="L463" s="4" t="str">
        <f>IF('Raw Data'!L463="","No Coupon",'Raw Data'!L463)</f>
        <v>FREESHIP</v>
      </c>
      <c r="M463" s="4" t="str">
        <f>'Raw Data'!M463</f>
        <v>Google</v>
      </c>
      <c r="N463" s="4">
        <f>'Raw Data'!N463</f>
        <v>401.82</v>
      </c>
    </row>
    <row r="464" spans="1:14" ht="15" customHeight="1" x14ac:dyDescent="0.2">
      <c r="A464" s="4" t="str">
        <f>'Raw Data'!A464</f>
        <v>ORD200462</v>
      </c>
      <c r="B464" s="6">
        <f>'Raw Data'!B464</f>
        <v>45747</v>
      </c>
      <c r="C464" s="4" t="str">
        <f>'Raw Data'!C464</f>
        <v>C22991</v>
      </c>
      <c r="D464" s="4" t="str">
        <f>'Raw Data'!D464</f>
        <v>Phone</v>
      </c>
      <c r="E464" s="4">
        <f>'Raw Data'!E464</f>
        <v>1</v>
      </c>
      <c r="F464" s="4">
        <f>'Raw Data'!F464</f>
        <v>252.68</v>
      </c>
      <c r="G464" s="4" t="str">
        <f>'Raw Data'!G464</f>
        <v>731 Main St</v>
      </c>
      <c r="H464" s="4" t="str">
        <f>'Raw Data'!H464</f>
        <v>Online</v>
      </c>
      <c r="I464" s="4" t="str">
        <f>'Raw Data'!I464</f>
        <v>Cancelled</v>
      </c>
      <c r="J464" s="4" t="str">
        <f>'Raw Data'!J464</f>
        <v>TRK32796086</v>
      </c>
      <c r="K464" s="4">
        <f>'Raw Data'!K464</f>
        <v>1</v>
      </c>
      <c r="L464" s="4" t="str">
        <f>IF('Raw Data'!L464="","No Coupon",'Raw Data'!L464)</f>
        <v>No Coupon</v>
      </c>
      <c r="M464" s="4" t="str">
        <f>'Raw Data'!M464</f>
        <v>Referral</v>
      </c>
      <c r="N464" s="4">
        <f>'Raw Data'!N464</f>
        <v>252.68</v>
      </c>
    </row>
    <row r="465" spans="1:14" ht="15" customHeight="1" x14ac:dyDescent="0.2">
      <c r="A465" s="4" t="str">
        <f>'Raw Data'!A465</f>
        <v>ORD200463</v>
      </c>
      <c r="B465" s="6">
        <f>'Raw Data'!B465</f>
        <v>45072</v>
      </c>
      <c r="C465" s="4" t="str">
        <f>'Raw Data'!C465</f>
        <v>C25276</v>
      </c>
      <c r="D465" s="4" t="str">
        <f>'Raw Data'!D465</f>
        <v>Laptop</v>
      </c>
      <c r="E465" s="4">
        <f>'Raw Data'!E465</f>
        <v>5</v>
      </c>
      <c r="F465" s="4">
        <f>'Raw Data'!F465</f>
        <v>662.78</v>
      </c>
      <c r="G465" s="4" t="str">
        <f>'Raw Data'!G465</f>
        <v>214 Main St</v>
      </c>
      <c r="H465" s="4" t="str">
        <f>'Raw Data'!H465</f>
        <v>Debit Card</v>
      </c>
      <c r="I465" s="4" t="str">
        <f>'Raw Data'!I465</f>
        <v>Shipped</v>
      </c>
      <c r="J465" s="4" t="str">
        <f>'Raw Data'!J465</f>
        <v>TRK14011732</v>
      </c>
      <c r="K465" s="4">
        <f>'Raw Data'!K465</f>
        <v>9</v>
      </c>
      <c r="L465" s="4" t="str">
        <f>IF('Raw Data'!L465="","No Coupon",'Raw Data'!L465)</f>
        <v>SAVE10</v>
      </c>
      <c r="M465" s="4" t="str">
        <f>'Raw Data'!M465</f>
        <v>Instagram</v>
      </c>
      <c r="N465" s="4">
        <f>'Raw Data'!N465</f>
        <v>3313.9</v>
      </c>
    </row>
    <row r="466" spans="1:14" ht="15" customHeight="1" x14ac:dyDescent="0.2">
      <c r="A466" s="4" t="str">
        <f>'Raw Data'!A466</f>
        <v>ORD200464</v>
      </c>
      <c r="B466" s="6">
        <f>'Raw Data'!B466</f>
        <v>44999</v>
      </c>
      <c r="C466" s="4" t="str">
        <f>'Raw Data'!C466</f>
        <v>C39176</v>
      </c>
      <c r="D466" s="4" t="str">
        <f>'Raw Data'!D466</f>
        <v>Tablet</v>
      </c>
      <c r="E466" s="4">
        <f>'Raw Data'!E466</f>
        <v>4</v>
      </c>
      <c r="F466" s="4">
        <f>'Raw Data'!F466</f>
        <v>434.42</v>
      </c>
      <c r="G466" s="4" t="str">
        <f>'Raw Data'!G466</f>
        <v>739 Main St</v>
      </c>
      <c r="H466" s="4" t="str">
        <f>'Raw Data'!H466</f>
        <v>Online</v>
      </c>
      <c r="I466" s="4" t="str">
        <f>'Raw Data'!I466</f>
        <v>Cancelled</v>
      </c>
      <c r="J466" s="4" t="str">
        <f>'Raw Data'!J466</f>
        <v>TRK71418686</v>
      </c>
      <c r="K466" s="4">
        <f>'Raw Data'!K466</f>
        <v>6</v>
      </c>
      <c r="L466" s="4" t="str">
        <f>IF('Raw Data'!L466="","No Coupon",'Raw Data'!L466)</f>
        <v>FREESHIP</v>
      </c>
      <c r="M466" s="4" t="str">
        <f>'Raw Data'!M466</f>
        <v>Google</v>
      </c>
      <c r="N466" s="4">
        <f>'Raw Data'!N466</f>
        <v>1737.68</v>
      </c>
    </row>
    <row r="467" spans="1:14" ht="15" customHeight="1" x14ac:dyDescent="0.2">
      <c r="A467" s="4" t="str">
        <f>'Raw Data'!A467</f>
        <v>ORD200465</v>
      </c>
      <c r="B467" s="6">
        <f>'Raw Data'!B467</f>
        <v>45348</v>
      </c>
      <c r="C467" s="4" t="str">
        <f>'Raw Data'!C467</f>
        <v>C58773</v>
      </c>
      <c r="D467" s="4" t="str">
        <f>'Raw Data'!D467</f>
        <v>Printer</v>
      </c>
      <c r="E467" s="4">
        <f>'Raw Data'!E467</f>
        <v>5</v>
      </c>
      <c r="F467" s="4">
        <f>'Raw Data'!F467</f>
        <v>513.49</v>
      </c>
      <c r="G467" s="4" t="str">
        <f>'Raw Data'!G467</f>
        <v>391 Main St</v>
      </c>
      <c r="H467" s="4" t="str">
        <f>'Raw Data'!H467</f>
        <v>Gift Card</v>
      </c>
      <c r="I467" s="4" t="str">
        <f>'Raw Data'!I467</f>
        <v>Cancelled</v>
      </c>
      <c r="J467" s="4" t="str">
        <f>'Raw Data'!J467</f>
        <v>TRK65438300</v>
      </c>
      <c r="K467" s="4">
        <f>'Raw Data'!K467</f>
        <v>8</v>
      </c>
      <c r="L467" s="4" t="str">
        <f>IF('Raw Data'!L467="","No Coupon",'Raw Data'!L467)</f>
        <v>No Coupon</v>
      </c>
      <c r="M467" s="4" t="str">
        <f>'Raw Data'!M467</f>
        <v>Google</v>
      </c>
      <c r="N467" s="4">
        <f>'Raw Data'!N467</f>
        <v>2567.4499999999998</v>
      </c>
    </row>
    <row r="468" spans="1:14" ht="15" customHeight="1" x14ac:dyDescent="0.2">
      <c r="A468" s="4" t="str">
        <f>'Raw Data'!A468</f>
        <v>ORD200466</v>
      </c>
      <c r="B468" s="6">
        <f>'Raw Data'!B468</f>
        <v>45125</v>
      </c>
      <c r="C468" s="4" t="str">
        <f>'Raw Data'!C468</f>
        <v>C37412</v>
      </c>
      <c r="D468" s="4" t="str">
        <f>'Raw Data'!D468</f>
        <v>Phone</v>
      </c>
      <c r="E468" s="4">
        <f>'Raw Data'!E468</f>
        <v>1</v>
      </c>
      <c r="F468" s="4">
        <f>'Raw Data'!F468</f>
        <v>432.47</v>
      </c>
      <c r="G468" s="4" t="str">
        <f>'Raw Data'!G468</f>
        <v>895 Main St</v>
      </c>
      <c r="H468" s="4" t="str">
        <f>'Raw Data'!H468</f>
        <v>Cash</v>
      </c>
      <c r="I468" s="4" t="str">
        <f>'Raw Data'!I468</f>
        <v>Delivered</v>
      </c>
      <c r="J468" s="4" t="str">
        <f>'Raw Data'!J468</f>
        <v>TRK97829604</v>
      </c>
      <c r="K468" s="4">
        <f>'Raw Data'!K468</f>
        <v>4</v>
      </c>
      <c r="L468" s="4" t="str">
        <f>IF('Raw Data'!L468="","No Coupon",'Raw Data'!L468)</f>
        <v>FREESHIP</v>
      </c>
      <c r="M468" s="4" t="str">
        <f>'Raw Data'!M468</f>
        <v>Referral</v>
      </c>
      <c r="N468" s="4">
        <f>'Raw Data'!N468</f>
        <v>432.47</v>
      </c>
    </row>
    <row r="469" spans="1:14" ht="15" customHeight="1" x14ac:dyDescent="0.2">
      <c r="A469" s="4" t="str">
        <f>'Raw Data'!A469</f>
        <v>ORD200467</v>
      </c>
      <c r="B469" s="6">
        <f>'Raw Data'!B469</f>
        <v>45534</v>
      </c>
      <c r="C469" s="4" t="str">
        <f>'Raw Data'!C469</f>
        <v>C36492</v>
      </c>
      <c r="D469" s="4" t="str">
        <f>'Raw Data'!D469</f>
        <v>Desk</v>
      </c>
      <c r="E469" s="4">
        <f>'Raw Data'!E469</f>
        <v>1</v>
      </c>
      <c r="F469" s="4">
        <f>'Raw Data'!F469</f>
        <v>45.94</v>
      </c>
      <c r="G469" s="4" t="str">
        <f>'Raw Data'!G469</f>
        <v>572 Main St</v>
      </c>
      <c r="H469" s="4" t="str">
        <f>'Raw Data'!H469</f>
        <v>Cash</v>
      </c>
      <c r="I469" s="4" t="str">
        <f>'Raw Data'!I469</f>
        <v>Cancelled</v>
      </c>
      <c r="J469" s="4" t="str">
        <f>'Raw Data'!J469</f>
        <v>TRK44350440</v>
      </c>
      <c r="K469" s="4">
        <f>'Raw Data'!K469</f>
        <v>2</v>
      </c>
      <c r="L469" s="4" t="str">
        <f>IF('Raw Data'!L469="","No Coupon",'Raw Data'!L469)</f>
        <v>WINTER15</v>
      </c>
      <c r="M469" s="4" t="str">
        <f>'Raw Data'!M469</f>
        <v>Email</v>
      </c>
      <c r="N469" s="4">
        <f>'Raw Data'!N469</f>
        <v>45.94</v>
      </c>
    </row>
    <row r="470" spans="1:14" ht="15" customHeight="1" x14ac:dyDescent="0.2">
      <c r="A470" s="4" t="str">
        <f>'Raw Data'!A470</f>
        <v>ORD200468</v>
      </c>
      <c r="B470" s="6">
        <f>'Raw Data'!B470</f>
        <v>45829</v>
      </c>
      <c r="C470" s="4" t="str">
        <f>'Raw Data'!C470</f>
        <v>C90110</v>
      </c>
      <c r="D470" s="4" t="str">
        <f>'Raw Data'!D470</f>
        <v>Phone</v>
      </c>
      <c r="E470" s="4">
        <f>'Raw Data'!E470</f>
        <v>1</v>
      </c>
      <c r="F470" s="4">
        <f>'Raw Data'!F470</f>
        <v>418.36</v>
      </c>
      <c r="G470" s="4" t="str">
        <f>'Raw Data'!G470</f>
        <v>998 Main St</v>
      </c>
      <c r="H470" s="4" t="str">
        <f>'Raw Data'!H470</f>
        <v>Credit Card</v>
      </c>
      <c r="I470" s="4" t="str">
        <f>'Raw Data'!I470</f>
        <v>Delivered</v>
      </c>
      <c r="J470" s="4" t="str">
        <f>'Raw Data'!J470</f>
        <v>TRK60203957</v>
      </c>
      <c r="K470" s="4">
        <f>'Raw Data'!K470</f>
        <v>5</v>
      </c>
      <c r="L470" s="4" t="str">
        <f>IF('Raw Data'!L470="","No Coupon",'Raw Data'!L470)</f>
        <v>FREESHIP</v>
      </c>
      <c r="M470" s="4" t="str">
        <f>'Raw Data'!M470</f>
        <v>Email</v>
      </c>
      <c r="N470" s="4">
        <f>'Raw Data'!N470</f>
        <v>418.36</v>
      </c>
    </row>
    <row r="471" spans="1:14" ht="15" customHeight="1" x14ac:dyDescent="0.2">
      <c r="A471" s="4" t="str">
        <f>'Raw Data'!A471</f>
        <v>ORD200469</v>
      </c>
      <c r="B471" s="6">
        <f>'Raw Data'!B471</f>
        <v>45256</v>
      </c>
      <c r="C471" s="4" t="str">
        <f>'Raw Data'!C471</f>
        <v>C13877</v>
      </c>
      <c r="D471" s="4" t="str">
        <f>'Raw Data'!D471</f>
        <v>Chair</v>
      </c>
      <c r="E471" s="4">
        <f>'Raw Data'!E471</f>
        <v>5</v>
      </c>
      <c r="F471" s="4">
        <f>'Raw Data'!F471</f>
        <v>676.98</v>
      </c>
      <c r="G471" s="4" t="str">
        <f>'Raw Data'!G471</f>
        <v>893 Main St</v>
      </c>
      <c r="H471" s="4" t="str">
        <f>'Raw Data'!H471</f>
        <v>Cash</v>
      </c>
      <c r="I471" s="4" t="str">
        <f>'Raw Data'!I471</f>
        <v>Cancelled</v>
      </c>
      <c r="J471" s="4" t="str">
        <f>'Raw Data'!J471</f>
        <v>TRK17254691</v>
      </c>
      <c r="K471" s="4">
        <f>'Raw Data'!K471</f>
        <v>5</v>
      </c>
      <c r="L471" s="4" t="str">
        <f>IF('Raw Data'!L471="","No Coupon",'Raw Data'!L471)</f>
        <v>No Coupon</v>
      </c>
      <c r="M471" s="4" t="str">
        <f>'Raw Data'!M471</f>
        <v>Facebook</v>
      </c>
      <c r="N471" s="4">
        <f>'Raw Data'!N471</f>
        <v>3384.9</v>
      </c>
    </row>
    <row r="472" spans="1:14" ht="15" customHeight="1" x14ac:dyDescent="0.2">
      <c r="A472" s="4" t="str">
        <f>'Raw Data'!A472</f>
        <v>ORD200470</v>
      </c>
      <c r="B472" s="6">
        <f>'Raw Data'!B472</f>
        <v>45198</v>
      </c>
      <c r="C472" s="4" t="str">
        <f>'Raw Data'!C472</f>
        <v>C25149</v>
      </c>
      <c r="D472" s="4" t="str">
        <f>'Raw Data'!D472</f>
        <v>Tablet</v>
      </c>
      <c r="E472" s="4">
        <f>'Raw Data'!E472</f>
        <v>4</v>
      </c>
      <c r="F472" s="4">
        <f>'Raw Data'!F472</f>
        <v>263.62</v>
      </c>
      <c r="G472" s="4" t="str">
        <f>'Raw Data'!G472</f>
        <v>672 Main St</v>
      </c>
      <c r="H472" s="4" t="str">
        <f>'Raw Data'!H472</f>
        <v>Cash</v>
      </c>
      <c r="I472" s="4" t="str">
        <f>'Raw Data'!I472</f>
        <v>Shipped</v>
      </c>
      <c r="J472" s="4" t="str">
        <f>'Raw Data'!J472</f>
        <v>TRK33538608</v>
      </c>
      <c r="K472" s="4">
        <f>'Raw Data'!K472</f>
        <v>5</v>
      </c>
      <c r="L472" s="4" t="str">
        <f>IF('Raw Data'!L472="","No Coupon",'Raw Data'!L472)</f>
        <v>SAVE10</v>
      </c>
      <c r="M472" s="4" t="str">
        <f>'Raw Data'!M472</f>
        <v>Email</v>
      </c>
      <c r="N472" s="4">
        <f>'Raw Data'!N472</f>
        <v>1054.48</v>
      </c>
    </row>
    <row r="473" spans="1:14" ht="15" customHeight="1" x14ac:dyDescent="0.2">
      <c r="A473" s="4" t="str">
        <f>'Raw Data'!A473</f>
        <v>ORD200471</v>
      </c>
      <c r="B473" s="6">
        <f>'Raw Data'!B473</f>
        <v>45766</v>
      </c>
      <c r="C473" s="4" t="str">
        <f>'Raw Data'!C473</f>
        <v>C52717</v>
      </c>
      <c r="D473" s="4" t="str">
        <f>'Raw Data'!D473</f>
        <v>Desk</v>
      </c>
      <c r="E473" s="4">
        <f>'Raw Data'!E473</f>
        <v>5</v>
      </c>
      <c r="F473" s="4">
        <f>'Raw Data'!F473</f>
        <v>551.27</v>
      </c>
      <c r="G473" s="4" t="str">
        <f>'Raw Data'!G473</f>
        <v>395 Main St</v>
      </c>
      <c r="H473" s="4" t="str">
        <f>'Raw Data'!H473</f>
        <v>Online</v>
      </c>
      <c r="I473" s="4" t="str">
        <f>'Raw Data'!I473</f>
        <v>Cancelled</v>
      </c>
      <c r="J473" s="4" t="str">
        <f>'Raw Data'!J473</f>
        <v>TRK27625571</v>
      </c>
      <c r="K473" s="4">
        <f>'Raw Data'!K473</f>
        <v>7</v>
      </c>
      <c r="L473" s="4" t="str">
        <f>IF('Raw Data'!L473="","No Coupon",'Raw Data'!L473)</f>
        <v>FREESHIP</v>
      </c>
      <c r="M473" s="4" t="str">
        <f>'Raw Data'!M473</f>
        <v>Referral</v>
      </c>
      <c r="N473" s="4">
        <f>'Raw Data'!N473</f>
        <v>2756.35</v>
      </c>
    </row>
    <row r="474" spans="1:14" ht="15" customHeight="1" x14ac:dyDescent="0.2">
      <c r="A474" s="4" t="str">
        <f>'Raw Data'!A474</f>
        <v>ORD200472</v>
      </c>
      <c r="B474" s="6">
        <f>'Raw Data'!B474</f>
        <v>44932</v>
      </c>
      <c r="C474" s="4" t="str">
        <f>'Raw Data'!C474</f>
        <v>C60029</v>
      </c>
      <c r="D474" s="4" t="str">
        <f>'Raw Data'!D474</f>
        <v>Chair</v>
      </c>
      <c r="E474" s="4">
        <f>'Raw Data'!E474</f>
        <v>3</v>
      </c>
      <c r="F474" s="4">
        <f>'Raw Data'!F474</f>
        <v>508.12</v>
      </c>
      <c r="G474" s="4" t="str">
        <f>'Raw Data'!G474</f>
        <v>796 Main St</v>
      </c>
      <c r="H474" s="4" t="str">
        <f>'Raw Data'!H474</f>
        <v>Credit Card</v>
      </c>
      <c r="I474" s="4" t="str">
        <f>'Raw Data'!I474</f>
        <v>Cancelled</v>
      </c>
      <c r="J474" s="4" t="str">
        <f>'Raw Data'!J474</f>
        <v>TRK86461316</v>
      </c>
      <c r="K474" s="4">
        <f>'Raw Data'!K474</f>
        <v>8</v>
      </c>
      <c r="L474" s="4" t="str">
        <f>IF('Raw Data'!L474="","No Coupon",'Raw Data'!L474)</f>
        <v>FREESHIP</v>
      </c>
      <c r="M474" s="4" t="str">
        <f>'Raw Data'!M474</f>
        <v>Referral</v>
      </c>
      <c r="N474" s="4">
        <f>'Raw Data'!N474</f>
        <v>1524.36</v>
      </c>
    </row>
    <row r="475" spans="1:14" ht="15" customHeight="1" x14ac:dyDescent="0.2">
      <c r="A475" s="4" t="str">
        <f>'Raw Data'!A475</f>
        <v>ORD200473</v>
      </c>
      <c r="B475" s="6">
        <f>'Raw Data'!B475</f>
        <v>45713</v>
      </c>
      <c r="C475" s="4" t="str">
        <f>'Raw Data'!C475</f>
        <v>C28552</v>
      </c>
      <c r="D475" s="4" t="str">
        <f>'Raw Data'!D475</f>
        <v>Chair</v>
      </c>
      <c r="E475" s="4">
        <f>'Raw Data'!E475</f>
        <v>2</v>
      </c>
      <c r="F475" s="4">
        <f>'Raw Data'!F475</f>
        <v>14.93</v>
      </c>
      <c r="G475" s="4" t="str">
        <f>'Raw Data'!G475</f>
        <v>449 Main St</v>
      </c>
      <c r="H475" s="4" t="str">
        <f>'Raw Data'!H475</f>
        <v>Online</v>
      </c>
      <c r="I475" s="4" t="str">
        <f>'Raw Data'!I475</f>
        <v>Shipped</v>
      </c>
      <c r="J475" s="4" t="str">
        <f>'Raw Data'!J475</f>
        <v>TRK71597160</v>
      </c>
      <c r="K475" s="4">
        <f>'Raw Data'!K475</f>
        <v>4</v>
      </c>
      <c r="L475" s="4" t="str">
        <f>IF('Raw Data'!L475="","No Coupon",'Raw Data'!L475)</f>
        <v>No Coupon</v>
      </c>
      <c r="M475" s="4" t="str">
        <f>'Raw Data'!M475</f>
        <v>Facebook</v>
      </c>
      <c r="N475" s="4">
        <f>'Raw Data'!N475</f>
        <v>29.86</v>
      </c>
    </row>
    <row r="476" spans="1:14" ht="15" customHeight="1" x14ac:dyDescent="0.2">
      <c r="A476" s="4" t="str">
        <f>'Raw Data'!A476</f>
        <v>ORD200474</v>
      </c>
      <c r="B476" s="6">
        <f>'Raw Data'!B476</f>
        <v>45245</v>
      </c>
      <c r="C476" s="4" t="str">
        <f>'Raw Data'!C476</f>
        <v>C72293</v>
      </c>
      <c r="D476" s="4" t="str">
        <f>'Raw Data'!D476</f>
        <v>Printer</v>
      </c>
      <c r="E476" s="4">
        <f>'Raw Data'!E476</f>
        <v>3</v>
      </c>
      <c r="F476" s="4">
        <f>'Raw Data'!F476</f>
        <v>229.34</v>
      </c>
      <c r="G476" s="4" t="str">
        <f>'Raw Data'!G476</f>
        <v>398 Main St</v>
      </c>
      <c r="H476" s="4" t="str">
        <f>'Raw Data'!H476</f>
        <v>Credit Card</v>
      </c>
      <c r="I476" s="4" t="str">
        <f>'Raw Data'!I476</f>
        <v>Shipped</v>
      </c>
      <c r="J476" s="4" t="str">
        <f>'Raw Data'!J476</f>
        <v>TRK84378003</v>
      </c>
      <c r="K476" s="4">
        <f>'Raw Data'!K476</f>
        <v>6</v>
      </c>
      <c r="L476" s="4" t="str">
        <f>IF('Raw Data'!L476="","No Coupon",'Raw Data'!L476)</f>
        <v>SAVE10</v>
      </c>
      <c r="M476" s="4" t="str">
        <f>'Raw Data'!M476</f>
        <v>Referral</v>
      </c>
      <c r="N476" s="4">
        <f>'Raw Data'!N476</f>
        <v>688.02</v>
      </c>
    </row>
    <row r="477" spans="1:14" ht="15" customHeight="1" x14ac:dyDescent="0.2">
      <c r="A477" s="4" t="str">
        <f>'Raw Data'!A477</f>
        <v>ORD200475</v>
      </c>
      <c r="B477" s="6">
        <f>'Raw Data'!B477</f>
        <v>45766</v>
      </c>
      <c r="C477" s="4" t="str">
        <f>'Raw Data'!C477</f>
        <v>C29844</v>
      </c>
      <c r="D477" s="4" t="str">
        <f>'Raw Data'!D477</f>
        <v>Tablet</v>
      </c>
      <c r="E477" s="4">
        <f>'Raw Data'!E477</f>
        <v>2</v>
      </c>
      <c r="F477" s="4">
        <f>'Raw Data'!F477</f>
        <v>438.62</v>
      </c>
      <c r="G477" s="4" t="str">
        <f>'Raw Data'!G477</f>
        <v>363 Main St</v>
      </c>
      <c r="H477" s="4" t="str">
        <f>'Raw Data'!H477</f>
        <v>Cash</v>
      </c>
      <c r="I477" s="4" t="str">
        <f>'Raw Data'!I477</f>
        <v>Cancelled</v>
      </c>
      <c r="J477" s="4" t="str">
        <f>'Raw Data'!J477</f>
        <v>TRK91642337</v>
      </c>
      <c r="K477" s="4">
        <f>'Raw Data'!K477</f>
        <v>3</v>
      </c>
      <c r="L477" s="4" t="str">
        <f>IF('Raw Data'!L477="","No Coupon",'Raw Data'!L477)</f>
        <v>SAVE10</v>
      </c>
      <c r="M477" s="4" t="str">
        <f>'Raw Data'!M477</f>
        <v>Facebook</v>
      </c>
      <c r="N477" s="4">
        <f>'Raw Data'!N477</f>
        <v>877.24</v>
      </c>
    </row>
    <row r="478" spans="1:14" ht="15" customHeight="1" x14ac:dyDescent="0.2">
      <c r="A478" s="4" t="str">
        <f>'Raw Data'!A478</f>
        <v>ORD200476</v>
      </c>
      <c r="B478" s="6">
        <f>'Raw Data'!B478</f>
        <v>45306</v>
      </c>
      <c r="C478" s="4" t="str">
        <f>'Raw Data'!C478</f>
        <v>C77872</v>
      </c>
      <c r="D478" s="4" t="str">
        <f>'Raw Data'!D478</f>
        <v>Phone</v>
      </c>
      <c r="E478" s="4">
        <f>'Raw Data'!E478</f>
        <v>2</v>
      </c>
      <c r="F478" s="4">
        <f>'Raw Data'!F478</f>
        <v>513.59</v>
      </c>
      <c r="G478" s="4" t="str">
        <f>'Raw Data'!G478</f>
        <v>867 Main St</v>
      </c>
      <c r="H478" s="4" t="str">
        <f>'Raw Data'!H478</f>
        <v>Online</v>
      </c>
      <c r="I478" s="4" t="str">
        <f>'Raw Data'!I478</f>
        <v>Returned</v>
      </c>
      <c r="J478" s="4" t="str">
        <f>'Raw Data'!J478</f>
        <v>TRK19292184</v>
      </c>
      <c r="K478" s="4">
        <f>'Raw Data'!K478</f>
        <v>4</v>
      </c>
      <c r="L478" s="4" t="str">
        <f>IF('Raw Data'!L478="","No Coupon",'Raw Data'!L478)</f>
        <v>FREESHIP</v>
      </c>
      <c r="M478" s="4" t="str">
        <f>'Raw Data'!M478</f>
        <v>Referral</v>
      </c>
      <c r="N478" s="4">
        <f>'Raw Data'!N478</f>
        <v>1027.18</v>
      </c>
    </row>
    <row r="479" spans="1:14" ht="15" customHeight="1" x14ac:dyDescent="0.2">
      <c r="A479" s="4" t="str">
        <f>'Raw Data'!A479</f>
        <v>ORD200477</v>
      </c>
      <c r="B479" s="6">
        <f>'Raw Data'!B479</f>
        <v>45721</v>
      </c>
      <c r="C479" s="4" t="str">
        <f>'Raw Data'!C479</f>
        <v>C56564</v>
      </c>
      <c r="D479" s="4" t="str">
        <f>'Raw Data'!D479</f>
        <v>Phone</v>
      </c>
      <c r="E479" s="4">
        <f>'Raw Data'!E479</f>
        <v>2</v>
      </c>
      <c r="F479" s="4">
        <f>'Raw Data'!F479</f>
        <v>253.74</v>
      </c>
      <c r="G479" s="4" t="str">
        <f>'Raw Data'!G479</f>
        <v>481 Main St</v>
      </c>
      <c r="H479" s="4" t="str">
        <f>'Raw Data'!H479</f>
        <v>Online</v>
      </c>
      <c r="I479" s="4" t="str">
        <f>'Raw Data'!I479</f>
        <v>Shipped</v>
      </c>
      <c r="J479" s="4" t="str">
        <f>'Raw Data'!J479</f>
        <v>TRK13166044</v>
      </c>
      <c r="K479" s="4">
        <f>'Raw Data'!K479</f>
        <v>5</v>
      </c>
      <c r="L479" s="4" t="str">
        <f>IF('Raw Data'!L479="","No Coupon",'Raw Data'!L479)</f>
        <v>SAVE10</v>
      </c>
      <c r="M479" s="4" t="str">
        <f>'Raw Data'!M479</f>
        <v>Google</v>
      </c>
      <c r="N479" s="4">
        <f>'Raw Data'!N479</f>
        <v>507.48</v>
      </c>
    </row>
    <row r="480" spans="1:14" ht="15" customHeight="1" x14ac:dyDescent="0.2">
      <c r="A480" s="4" t="str">
        <f>'Raw Data'!A480</f>
        <v>ORD200478</v>
      </c>
      <c r="B480" s="6">
        <f>'Raw Data'!B480</f>
        <v>45597</v>
      </c>
      <c r="C480" s="4" t="str">
        <f>'Raw Data'!C480</f>
        <v>C16758</v>
      </c>
      <c r="D480" s="4" t="str">
        <f>'Raw Data'!D480</f>
        <v>Tablet</v>
      </c>
      <c r="E480" s="4">
        <f>'Raw Data'!E480</f>
        <v>3</v>
      </c>
      <c r="F480" s="4">
        <f>'Raw Data'!F480</f>
        <v>62.77</v>
      </c>
      <c r="G480" s="4" t="str">
        <f>'Raw Data'!G480</f>
        <v>914 Main St</v>
      </c>
      <c r="H480" s="4" t="str">
        <f>'Raw Data'!H480</f>
        <v>Gift Card</v>
      </c>
      <c r="I480" s="4" t="str">
        <f>'Raw Data'!I480</f>
        <v>Shipped</v>
      </c>
      <c r="J480" s="4" t="str">
        <f>'Raw Data'!J480</f>
        <v>TRK88544431</v>
      </c>
      <c r="K480" s="4">
        <f>'Raw Data'!K480</f>
        <v>6</v>
      </c>
      <c r="L480" s="4" t="str">
        <f>IF('Raw Data'!L480="","No Coupon",'Raw Data'!L480)</f>
        <v>FREESHIP</v>
      </c>
      <c r="M480" s="4" t="str">
        <f>'Raw Data'!M480</f>
        <v>Referral</v>
      </c>
      <c r="N480" s="4">
        <f>'Raw Data'!N480</f>
        <v>188.31</v>
      </c>
    </row>
    <row r="481" spans="1:14" ht="15" customHeight="1" x14ac:dyDescent="0.2">
      <c r="A481" s="4" t="str">
        <f>'Raw Data'!A481</f>
        <v>ORD200479</v>
      </c>
      <c r="B481" s="6">
        <f>'Raw Data'!B481</f>
        <v>44975</v>
      </c>
      <c r="C481" s="4" t="str">
        <f>'Raw Data'!C481</f>
        <v>C87011</v>
      </c>
      <c r="D481" s="4" t="str">
        <f>'Raw Data'!D481</f>
        <v>Monitor</v>
      </c>
      <c r="E481" s="4">
        <f>'Raw Data'!E481</f>
        <v>4</v>
      </c>
      <c r="F481" s="4">
        <f>'Raw Data'!F481</f>
        <v>25.29</v>
      </c>
      <c r="G481" s="4" t="str">
        <f>'Raw Data'!G481</f>
        <v>943 Main St</v>
      </c>
      <c r="H481" s="4" t="str">
        <f>'Raw Data'!H481</f>
        <v>Credit Card</v>
      </c>
      <c r="I481" s="4" t="str">
        <f>'Raw Data'!I481</f>
        <v>Pending</v>
      </c>
      <c r="J481" s="4" t="str">
        <f>'Raw Data'!J481</f>
        <v>TRK21429162</v>
      </c>
      <c r="K481" s="4">
        <f>'Raw Data'!K481</f>
        <v>8</v>
      </c>
      <c r="L481" s="4" t="str">
        <f>IF('Raw Data'!L481="","No Coupon",'Raw Data'!L481)</f>
        <v>No Coupon</v>
      </c>
      <c r="M481" s="4" t="str">
        <f>'Raw Data'!M481</f>
        <v>Google</v>
      </c>
      <c r="N481" s="4">
        <f>'Raw Data'!N481</f>
        <v>101.16</v>
      </c>
    </row>
    <row r="482" spans="1:14" ht="15" customHeight="1" x14ac:dyDescent="0.2">
      <c r="A482" s="4" t="str">
        <f>'Raw Data'!A482</f>
        <v>ORD200480</v>
      </c>
      <c r="B482" s="6">
        <f>'Raw Data'!B482</f>
        <v>45093</v>
      </c>
      <c r="C482" s="4" t="str">
        <f>'Raw Data'!C482</f>
        <v>C21147</v>
      </c>
      <c r="D482" s="4" t="str">
        <f>'Raw Data'!D482</f>
        <v>Chair</v>
      </c>
      <c r="E482" s="4">
        <f>'Raw Data'!E482</f>
        <v>1</v>
      </c>
      <c r="F482" s="4">
        <f>'Raw Data'!F482</f>
        <v>335.1</v>
      </c>
      <c r="G482" s="4" t="str">
        <f>'Raw Data'!G482</f>
        <v>126 Main St</v>
      </c>
      <c r="H482" s="4" t="str">
        <f>'Raw Data'!H482</f>
        <v>Debit Card</v>
      </c>
      <c r="I482" s="4" t="str">
        <f>'Raw Data'!I482</f>
        <v>Pending</v>
      </c>
      <c r="J482" s="4" t="str">
        <f>'Raw Data'!J482</f>
        <v>TRK93171043</v>
      </c>
      <c r="K482" s="4">
        <f>'Raw Data'!K482</f>
        <v>6</v>
      </c>
      <c r="L482" s="4" t="str">
        <f>IF('Raw Data'!L482="","No Coupon",'Raw Data'!L482)</f>
        <v>FREESHIP</v>
      </c>
      <c r="M482" s="4" t="str">
        <f>'Raw Data'!M482</f>
        <v>Referral</v>
      </c>
      <c r="N482" s="4">
        <f>'Raw Data'!N482</f>
        <v>335.1</v>
      </c>
    </row>
    <row r="483" spans="1:14" ht="15" customHeight="1" x14ac:dyDescent="0.2">
      <c r="A483" s="4" t="str">
        <f>'Raw Data'!A483</f>
        <v>ORD200481</v>
      </c>
      <c r="B483" s="6">
        <f>'Raw Data'!B483</f>
        <v>45039</v>
      </c>
      <c r="C483" s="4" t="str">
        <f>'Raw Data'!C483</f>
        <v>C94568</v>
      </c>
      <c r="D483" s="4" t="str">
        <f>'Raw Data'!D483</f>
        <v>Laptop</v>
      </c>
      <c r="E483" s="4">
        <f>'Raw Data'!E483</f>
        <v>4</v>
      </c>
      <c r="F483" s="4">
        <f>'Raw Data'!F483</f>
        <v>484.85</v>
      </c>
      <c r="G483" s="4" t="str">
        <f>'Raw Data'!G483</f>
        <v>317 Main St</v>
      </c>
      <c r="H483" s="4" t="str">
        <f>'Raw Data'!H483</f>
        <v>Debit Card</v>
      </c>
      <c r="I483" s="4" t="str">
        <f>'Raw Data'!I483</f>
        <v>Delivered</v>
      </c>
      <c r="J483" s="4" t="str">
        <f>'Raw Data'!J483</f>
        <v>TRK58653915</v>
      </c>
      <c r="K483" s="4">
        <f>'Raw Data'!K483</f>
        <v>5</v>
      </c>
      <c r="L483" s="4" t="str">
        <f>IF('Raw Data'!L483="","No Coupon",'Raw Data'!L483)</f>
        <v>WINTER15</v>
      </c>
      <c r="M483" s="4" t="str">
        <f>'Raw Data'!M483</f>
        <v>Referral</v>
      </c>
      <c r="N483" s="4">
        <f>'Raw Data'!N483</f>
        <v>1939.4</v>
      </c>
    </row>
    <row r="484" spans="1:14" ht="15" customHeight="1" x14ac:dyDescent="0.2">
      <c r="A484" s="4" t="str">
        <f>'Raw Data'!A484</f>
        <v>ORD200482</v>
      </c>
      <c r="B484" s="6">
        <f>'Raw Data'!B484</f>
        <v>45718</v>
      </c>
      <c r="C484" s="4" t="str">
        <f>'Raw Data'!C484</f>
        <v>C35852</v>
      </c>
      <c r="D484" s="4" t="str">
        <f>'Raw Data'!D484</f>
        <v>Monitor</v>
      </c>
      <c r="E484" s="4">
        <f>'Raw Data'!E484</f>
        <v>3</v>
      </c>
      <c r="F484" s="4">
        <f>'Raw Data'!F484</f>
        <v>381.41</v>
      </c>
      <c r="G484" s="4" t="str">
        <f>'Raw Data'!G484</f>
        <v>989 Main St</v>
      </c>
      <c r="H484" s="4" t="str">
        <f>'Raw Data'!H484</f>
        <v>Online</v>
      </c>
      <c r="I484" s="4" t="str">
        <f>'Raw Data'!I484</f>
        <v>Pending</v>
      </c>
      <c r="J484" s="4" t="str">
        <f>'Raw Data'!J484</f>
        <v>TRK22302049</v>
      </c>
      <c r="K484" s="4">
        <f>'Raw Data'!K484</f>
        <v>6</v>
      </c>
      <c r="L484" s="4" t="str">
        <f>IF('Raw Data'!L484="","No Coupon",'Raw Data'!L484)</f>
        <v>No Coupon</v>
      </c>
      <c r="M484" s="4" t="str">
        <f>'Raw Data'!M484</f>
        <v>Instagram</v>
      </c>
      <c r="N484" s="4">
        <f>'Raw Data'!N484</f>
        <v>1144.23</v>
      </c>
    </row>
    <row r="485" spans="1:14" ht="15" customHeight="1" x14ac:dyDescent="0.2">
      <c r="A485" s="4" t="str">
        <f>'Raw Data'!A485</f>
        <v>ORD200483</v>
      </c>
      <c r="B485" s="6">
        <f>'Raw Data'!B485</f>
        <v>44944</v>
      </c>
      <c r="C485" s="4" t="str">
        <f>'Raw Data'!C485</f>
        <v>C66462</v>
      </c>
      <c r="D485" s="4" t="str">
        <f>'Raw Data'!D485</f>
        <v>Phone</v>
      </c>
      <c r="E485" s="4">
        <f>'Raw Data'!E485</f>
        <v>5</v>
      </c>
      <c r="F485" s="4">
        <f>'Raw Data'!F485</f>
        <v>347.92</v>
      </c>
      <c r="G485" s="4" t="str">
        <f>'Raw Data'!G485</f>
        <v>982 Main St</v>
      </c>
      <c r="H485" s="4" t="str">
        <f>'Raw Data'!H485</f>
        <v>Cash</v>
      </c>
      <c r="I485" s="4" t="str">
        <f>'Raw Data'!I485</f>
        <v>Pending</v>
      </c>
      <c r="J485" s="4" t="str">
        <f>'Raw Data'!J485</f>
        <v>TRK52743700</v>
      </c>
      <c r="K485" s="4">
        <f>'Raw Data'!K485</f>
        <v>6</v>
      </c>
      <c r="L485" s="4" t="str">
        <f>IF('Raw Data'!L485="","No Coupon",'Raw Data'!L485)</f>
        <v>WINTER15</v>
      </c>
      <c r="M485" s="4" t="str">
        <f>'Raw Data'!M485</f>
        <v>Google</v>
      </c>
      <c r="N485" s="4">
        <f>'Raw Data'!N485</f>
        <v>1739.6</v>
      </c>
    </row>
    <row r="486" spans="1:14" ht="15" customHeight="1" x14ac:dyDescent="0.2">
      <c r="A486" s="4" t="str">
        <f>'Raw Data'!A486</f>
        <v>ORD200484</v>
      </c>
      <c r="B486" s="6">
        <f>'Raw Data'!B486</f>
        <v>45441</v>
      </c>
      <c r="C486" s="4" t="str">
        <f>'Raw Data'!C486</f>
        <v>C29092</v>
      </c>
      <c r="D486" s="4" t="str">
        <f>'Raw Data'!D486</f>
        <v>Chair</v>
      </c>
      <c r="E486" s="4">
        <f>'Raw Data'!E486</f>
        <v>4</v>
      </c>
      <c r="F486" s="4">
        <f>'Raw Data'!F486</f>
        <v>15.01</v>
      </c>
      <c r="G486" s="4" t="str">
        <f>'Raw Data'!G486</f>
        <v>767 Main St</v>
      </c>
      <c r="H486" s="4" t="str">
        <f>'Raw Data'!H486</f>
        <v>Cash</v>
      </c>
      <c r="I486" s="4" t="str">
        <f>'Raw Data'!I486</f>
        <v>Cancelled</v>
      </c>
      <c r="J486" s="4" t="str">
        <f>'Raw Data'!J486</f>
        <v>TRK90455340</v>
      </c>
      <c r="K486" s="4">
        <f>'Raw Data'!K486</f>
        <v>6</v>
      </c>
      <c r="L486" s="4" t="str">
        <f>IF('Raw Data'!L486="","No Coupon",'Raw Data'!L486)</f>
        <v>No Coupon</v>
      </c>
      <c r="M486" s="4" t="str">
        <f>'Raw Data'!M486</f>
        <v>Facebook</v>
      </c>
      <c r="N486" s="4">
        <f>'Raw Data'!N486</f>
        <v>60.04</v>
      </c>
    </row>
    <row r="487" spans="1:14" ht="15" customHeight="1" x14ac:dyDescent="0.2">
      <c r="A487" s="4" t="str">
        <f>'Raw Data'!A487</f>
        <v>ORD200485</v>
      </c>
      <c r="B487" s="6">
        <f>'Raw Data'!B487</f>
        <v>45139</v>
      </c>
      <c r="C487" s="4" t="str">
        <f>'Raw Data'!C487</f>
        <v>C46651</v>
      </c>
      <c r="D487" s="4" t="str">
        <f>'Raw Data'!D487</f>
        <v>Chair</v>
      </c>
      <c r="E487" s="4">
        <f>'Raw Data'!E487</f>
        <v>3</v>
      </c>
      <c r="F487" s="4">
        <f>'Raw Data'!F487</f>
        <v>404.79</v>
      </c>
      <c r="G487" s="4" t="str">
        <f>'Raw Data'!G487</f>
        <v>764 Main St</v>
      </c>
      <c r="H487" s="4" t="str">
        <f>'Raw Data'!H487</f>
        <v>Cash</v>
      </c>
      <c r="I487" s="4" t="str">
        <f>'Raw Data'!I487</f>
        <v>Shipped</v>
      </c>
      <c r="J487" s="4" t="str">
        <f>'Raw Data'!J487</f>
        <v>TRK67679195</v>
      </c>
      <c r="K487" s="4">
        <f>'Raw Data'!K487</f>
        <v>6</v>
      </c>
      <c r="L487" s="4" t="str">
        <f>IF('Raw Data'!L487="","No Coupon",'Raw Data'!L487)</f>
        <v>SAVE10</v>
      </c>
      <c r="M487" s="4" t="str">
        <f>'Raw Data'!M487</f>
        <v>Instagram</v>
      </c>
      <c r="N487" s="4">
        <f>'Raw Data'!N487</f>
        <v>1214.3699999999999</v>
      </c>
    </row>
    <row r="488" spans="1:14" ht="15" customHeight="1" x14ac:dyDescent="0.2">
      <c r="A488" s="4" t="str">
        <f>'Raw Data'!A488</f>
        <v>ORD200486</v>
      </c>
      <c r="B488" s="6">
        <f>'Raw Data'!B488</f>
        <v>44960</v>
      </c>
      <c r="C488" s="4" t="str">
        <f>'Raw Data'!C488</f>
        <v>C88981</v>
      </c>
      <c r="D488" s="4" t="str">
        <f>'Raw Data'!D488</f>
        <v>Printer</v>
      </c>
      <c r="E488" s="4">
        <f>'Raw Data'!E488</f>
        <v>4</v>
      </c>
      <c r="F488" s="4">
        <f>'Raw Data'!F488</f>
        <v>611.26</v>
      </c>
      <c r="G488" s="4" t="str">
        <f>'Raw Data'!G488</f>
        <v>558 Main St</v>
      </c>
      <c r="H488" s="4" t="str">
        <f>'Raw Data'!H488</f>
        <v>Cash</v>
      </c>
      <c r="I488" s="4" t="str">
        <f>'Raw Data'!I488</f>
        <v>Shipped</v>
      </c>
      <c r="J488" s="4" t="str">
        <f>'Raw Data'!J488</f>
        <v>TRK75267873</v>
      </c>
      <c r="K488" s="4">
        <f>'Raw Data'!K488</f>
        <v>5</v>
      </c>
      <c r="L488" s="4" t="str">
        <f>IF('Raw Data'!L488="","No Coupon",'Raw Data'!L488)</f>
        <v>SAVE10</v>
      </c>
      <c r="M488" s="4" t="str">
        <f>'Raw Data'!M488</f>
        <v>Referral</v>
      </c>
      <c r="N488" s="4">
        <f>'Raw Data'!N488</f>
        <v>2445.04</v>
      </c>
    </row>
    <row r="489" spans="1:14" ht="15" customHeight="1" x14ac:dyDescent="0.2">
      <c r="A489" s="4" t="str">
        <f>'Raw Data'!A489</f>
        <v>ORD200487</v>
      </c>
      <c r="B489" s="6">
        <f>'Raw Data'!B489</f>
        <v>44994</v>
      </c>
      <c r="C489" s="4" t="str">
        <f>'Raw Data'!C489</f>
        <v>C40136</v>
      </c>
      <c r="D489" s="4" t="str">
        <f>'Raw Data'!D489</f>
        <v>Printer</v>
      </c>
      <c r="E489" s="4">
        <f>'Raw Data'!E489</f>
        <v>3</v>
      </c>
      <c r="F489" s="4">
        <f>'Raw Data'!F489</f>
        <v>346.52</v>
      </c>
      <c r="G489" s="4" t="str">
        <f>'Raw Data'!G489</f>
        <v>211 Main St</v>
      </c>
      <c r="H489" s="4" t="str">
        <f>'Raw Data'!H489</f>
        <v>Credit Card</v>
      </c>
      <c r="I489" s="4" t="str">
        <f>'Raw Data'!I489</f>
        <v>Pending</v>
      </c>
      <c r="J489" s="4" t="str">
        <f>'Raw Data'!J489</f>
        <v>TRK92924852</v>
      </c>
      <c r="K489" s="4">
        <f>'Raw Data'!K489</f>
        <v>3</v>
      </c>
      <c r="L489" s="4" t="str">
        <f>IF('Raw Data'!L489="","No Coupon",'Raw Data'!L489)</f>
        <v>SAVE10</v>
      </c>
      <c r="M489" s="4" t="str">
        <f>'Raw Data'!M489</f>
        <v>Google</v>
      </c>
      <c r="N489" s="4">
        <f>'Raw Data'!N489</f>
        <v>1039.56</v>
      </c>
    </row>
    <row r="490" spans="1:14" ht="15" customHeight="1" x14ac:dyDescent="0.2">
      <c r="A490" s="4" t="str">
        <f>'Raw Data'!A490</f>
        <v>ORD200488</v>
      </c>
      <c r="B490" s="6">
        <f>'Raw Data'!B490</f>
        <v>45631</v>
      </c>
      <c r="C490" s="4" t="str">
        <f>'Raw Data'!C490</f>
        <v>C81573</v>
      </c>
      <c r="D490" s="4" t="str">
        <f>'Raw Data'!D490</f>
        <v>Chair</v>
      </c>
      <c r="E490" s="4">
        <f>'Raw Data'!E490</f>
        <v>1</v>
      </c>
      <c r="F490" s="4">
        <f>'Raw Data'!F490</f>
        <v>36.65</v>
      </c>
      <c r="G490" s="4" t="str">
        <f>'Raw Data'!G490</f>
        <v>556 Main St</v>
      </c>
      <c r="H490" s="4" t="str">
        <f>'Raw Data'!H490</f>
        <v>Online</v>
      </c>
      <c r="I490" s="4" t="str">
        <f>'Raw Data'!I490</f>
        <v>Cancelled</v>
      </c>
      <c r="J490" s="4" t="str">
        <f>'Raw Data'!J490</f>
        <v>TRK96522994</v>
      </c>
      <c r="K490" s="4">
        <f>'Raw Data'!K490</f>
        <v>1</v>
      </c>
      <c r="L490" s="4" t="str">
        <f>IF('Raw Data'!L490="","No Coupon",'Raw Data'!L490)</f>
        <v>WINTER15</v>
      </c>
      <c r="M490" s="4" t="str">
        <f>'Raw Data'!M490</f>
        <v>Email</v>
      </c>
      <c r="N490" s="4">
        <f>'Raw Data'!N490</f>
        <v>36.65</v>
      </c>
    </row>
    <row r="491" spans="1:14" ht="15" customHeight="1" x14ac:dyDescent="0.2">
      <c r="A491" s="4" t="str">
        <f>'Raw Data'!A491</f>
        <v>ORD200489</v>
      </c>
      <c r="B491" s="6">
        <f>'Raw Data'!B491</f>
        <v>45174</v>
      </c>
      <c r="C491" s="4" t="str">
        <f>'Raw Data'!C491</f>
        <v>C11940</v>
      </c>
      <c r="D491" s="4" t="str">
        <f>'Raw Data'!D491</f>
        <v>Tablet</v>
      </c>
      <c r="E491" s="4">
        <f>'Raw Data'!E491</f>
        <v>3</v>
      </c>
      <c r="F491" s="4">
        <f>'Raw Data'!F491</f>
        <v>149.34</v>
      </c>
      <c r="G491" s="4" t="str">
        <f>'Raw Data'!G491</f>
        <v>589 Main St</v>
      </c>
      <c r="H491" s="4" t="str">
        <f>'Raw Data'!H491</f>
        <v>Gift Card</v>
      </c>
      <c r="I491" s="4" t="str">
        <f>'Raw Data'!I491</f>
        <v>Cancelled</v>
      </c>
      <c r="J491" s="4" t="str">
        <f>'Raw Data'!J491</f>
        <v>TRK85466461</v>
      </c>
      <c r="K491" s="4">
        <f>'Raw Data'!K491</f>
        <v>7</v>
      </c>
      <c r="L491" s="4" t="str">
        <f>IF('Raw Data'!L491="","No Coupon",'Raw Data'!L491)</f>
        <v>WINTER15</v>
      </c>
      <c r="M491" s="4" t="str">
        <f>'Raw Data'!M491</f>
        <v>Email</v>
      </c>
      <c r="N491" s="4">
        <f>'Raw Data'!N491</f>
        <v>448.02</v>
      </c>
    </row>
    <row r="492" spans="1:14" ht="15" customHeight="1" x14ac:dyDescent="0.2">
      <c r="A492" s="4" t="str">
        <f>'Raw Data'!A492</f>
        <v>ORD200490</v>
      </c>
      <c r="B492" s="6">
        <f>'Raw Data'!B492</f>
        <v>45495</v>
      </c>
      <c r="C492" s="4" t="str">
        <f>'Raw Data'!C492</f>
        <v>C50097</v>
      </c>
      <c r="D492" s="4" t="str">
        <f>'Raw Data'!D492</f>
        <v>Chair</v>
      </c>
      <c r="E492" s="4">
        <f>'Raw Data'!E492</f>
        <v>5</v>
      </c>
      <c r="F492" s="4">
        <f>'Raw Data'!F492</f>
        <v>467.81</v>
      </c>
      <c r="G492" s="4" t="str">
        <f>'Raw Data'!G492</f>
        <v>539 Main St</v>
      </c>
      <c r="H492" s="4" t="str">
        <f>'Raw Data'!H492</f>
        <v>Online</v>
      </c>
      <c r="I492" s="4" t="str">
        <f>'Raw Data'!I492</f>
        <v>Cancelled</v>
      </c>
      <c r="J492" s="4" t="str">
        <f>'Raw Data'!J492</f>
        <v>TRK62785150</v>
      </c>
      <c r="K492" s="4">
        <f>'Raw Data'!K492</f>
        <v>10</v>
      </c>
      <c r="L492" s="4" t="str">
        <f>IF('Raw Data'!L492="","No Coupon",'Raw Data'!L492)</f>
        <v>No Coupon</v>
      </c>
      <c r="M492" s="4" t="str">
        <f>'Raw Data'!M492</f>
        <v>Facebook</v>
      </c>
      <c r="N492" s="4">
        <f>'Raw Data'!N492</f>
        <v>2339.0500000000002</v>
      </c>
    </row>
    <row r="493" spans="1:14" ht="15" customHeight="1" x14ac:dyDescent="0.2">
      <c r="A493" s="4" t="str">
        <f>'Raw Data'!A493</f>
        <v>ORD200491</v>
      </c>
      <c r="B493" s="6">
        <f>'Raw Data'!B493</f>
        <v>44931</v>
      </c>
      <c r="C493" s="4" t="str">
        <f>'Raw Data'!C493</f>
        <v>C98168</v>
      </c>
      <c r="D493" s="4" t="str">
        <f>'Raw Data'!D493</f>
        <v>Phone</v>
      </c>
      <c r="E493" s="4">
        <f>'Raw Data'!E493</f>
        <v>5</v>
      </c>
      <c r="F493" s="4">
        <f>'Raw Data'!F493</f>
        <v>420.7</v>
      </c>
      <c r="G493" s="4" t="str">
        <f>'Raw Data'!G493</f>
        <v>481 Main St</v>
      </c>
      <c r="H493" s="4" t="str">
        <f>'Raw Data'!H493</f>
        <v>Cash</v>
      </c>
      <c r="I493" s="4" t="str">
        <f>'Raw Data'!I493</f>
        <v>Pending</v>
      </c>
      <c r="J493" s="4" t="str">
        <f>'Raw Data'!J493</f>
        <v>TRK56423359</v>
      </c>
      <c r="K493" s="4">
        <f>'Raw Data'!K493</f>
        <v>5</v>
      </c>
      <c r="L493" s="4" t="str">
        <f>IF('Raw Data'!L493="","No Coupon",'Raw Data'!L493)</f>
        <v>WINTER15</v>
      </c>
      <c r="M493" s="4" t="str">
        <f>'Raw Data'!M493</f>
        <v>Facebook</v>
      </c>
      <c r="N493" s="4">
        <f>'Raw Data'!N493</f>
        <v>2103.5</v>
      </c>
    </row>
    <row r="494" spans="1:14" ht="15" customHeight="1" x14ac:dyDescent="0.2">
      <c r="A494" s="4" t="str">
        <f>'Raw Data'!A494</f>
        <v>ORD200492</v>
      </c>
      <c r="B494" s="6">
        <f>'Raw Data'!B494</f>
        <v>45224</v>
      </c>
      <c r="C494" s="4" t="str">
        <f>'Raw Data'!C494</f>
        <v>C39074</v>
      </c>
      <c r="D494" s="4" t="str">
        <f>'Raw Data'!D494</f>
        <v>Laptop</v>
      </c>
      <c r="E494" s="4">
        <f>'Raw Data'!E494</f>
        <v>5</v>
      </c>
      <c r="F494" s="4">
        <f>'Raw Data'!F494</f>
        <v>606.52</v>
      </c>
      <c r="G494" s="4" t="str">
        <f>'Raw Data'!G494</f>
        <v>103 Main St</v>
      </c>
      <c r="H494" s="4" t="str">
        <f>'Raw Data'!H494</f>
        <v>Debit Card</v>
      </c>
      <c r="I494" s="4" t="str">
        <f>'Raw Data'!I494</f>
        <v>Shipped</v>
      </c>
      <c r="J494" s="4" t="str">
        <f>'Raw Data'!J494</f>
        <v>TRK13027036</v>
      </c>
      <c r="K494" s="4">
        <f>'Raw Data'!K494</f>
        <v>6</v>
      </c>
      <c r="L494" s="4" t="str">
        <f>IF('Raw Data'!L494="","No Coupon",'Raw Data'!L494)</f>
        <v>SAVE10</v>
      </c>
      <c r="M494" s="4" t="str">
        <f>'Raw Data'!M494</f>
        <v>Instagram</v>
      </c>
      <c r="N494" s="4">
        <f>'Raw Data'!N494</f>
        <v>3032.6</v>
      </c>
    </row>
    <row r="495" spans="1:14" ht="15" customHeight="1" x14ac:dyDescent="0.2">
      <c r="A495" s="4" t="str">
        <f>'Raw Data'!A495</f>
        <v>ORD200493</v>
      </c>
      <c r="B495" s="6">
        <f>'Raw Data'!B495</f>
        <v>45685</v>
      </c>
      <c r="C495" s="4" t="str">
        <f>'Raw Data'!C495</f>
        <v>C84908</v>
      </c>
      <c r="D495" s="4" t="str">
        <f>'Raw Data'!D495</f>
        <v>Phone</v>
      </c>
      <c r="E495" s="4">
        <f>'Raw Data'!E495</f>
        <v>1</v>
      </c>
      <c r="F495" s="4">
        <f>'Raw Data'!F495</f>
        <v>420.26</v>
      </c>
      <c r="G495" s="4" t="str">
        <f>'Raw Data'!G495</f>
        <v>372 Main St</v>
      </c>
      <c r="H495" s="4" t="str">
        <f>'Raw Data'!H495</f>
        <v>Credit Card</v>
      </c>
      <c r="I495" s="4" t="str">
        <f>'Raw Data'!I495</f>
        <v>Pending</v>
      </c>
      <c r="J495" s="4" t="str">
        <f>'Raw Data'!J495</f>
        <v>TRK64135970</v>
      </c>
      <c r="K495" s="4">
        <f>'Raw Data'!K495</f>
        <v>4</v>
      </c>
      <c r="L495" s="4" t="str">
        <f>IF('Raw Data'!L495="","No Coupon",'Raw Data'!L495)</f>
        <v>FREESHIP</v>
      </c>
      <c r="M495" s="4" t="str">
        <f>'Raw Data'!M495</f>
        <v>Facebook</v>
      </c>
      <c r="N495" s="4">
        <f>'Raw Data'!N495</f>
        <v>420.26</v>
      </c>
    </row>
    <row r="496" spans="1:14" ht="15" customHeight="1" x14ac:dyDescent="0.2">
      <c r="A496" s="4" t="str">
        <f>'Raw Data'!A496</f>
        <v>ORD200494</v>
      </c>
      <c r="B496" s="6">
        <f>'Raw Data'!B496</f>
        <v>45126</v>
      </c>
      <c r="C496" s="4" t="str">
        <f>'Raw Data'!C496</f>
        <v>C64516</v>
      </c>
      <c r="D496" s="4" t="str">
        <f>'Raw Data'!D496</f>
        <v>Laptop</v>
      </c>
      <c r="E496" s="4">
        <f>'Raw Data'!E496</f>
        <v>3</v>
      </c>
      <c r="F496" s="4">
        <f>'Raw Data'!F496</f>
        <v>505.79</v>
      </c>
      <c r="G496" s="4" t="str">
        <f>'Raw Data'!G496</f>
        <v>459 Main St</v>
      </c>
      <c r="H496" s="4" t="str">
        <f>'Raw Data'!H496</f>
        <v>Debit Card</v>
      </c>
      <c r="I496" s="4" t="str">
        <f>'Raw Data'!I496</f>
        <v>Pending</v>
      </c>
      <c r="J496" s="4" t="str">
        <f>'Raw Data'!J496</f>
        <v>TRK63920573</v>
      </c>
      <c r="K496" s="4">
        <f>'Raw Data'!K496</f>
        <v>3</v>
      </c>
      <c r="L496" s="4" t="str">
        <f>IF('Raw Data'!L496="","No Coupon",'Raw Data'!L496)</f>
        <v>FREESHIP</v>
      </c>
      <c r="M496" s="4" t="str">
        <f>'Raw Data'!M496</f>
        <v>Referral</v>
      </c>
      <c r="N496" s="4">
        <f>'Raw Data'!N496</f>
        <v>1517.37</v>
      </c>
    </row>
    <row r="497" spans="1:14" ht="15" customHeight="1" x14ac:dyDescent="0.2">
      <c r="A497" s="4" t="str">
        <f>'Raw Data'!A497</f>
        <v>ORD200495</v>
      </c>
      <c r="B497" s="6">
        <f>'Raw Data'!B497</f>
        <v>45813</v>
      </c>
      <c r="C497" s="4" t="str">
        <f>'Raw Data'!C497</f>
        <v>C63827</v>
      </c>
      <c r="D497" s="4" t="str">
        <f>'Raw Data'!D497</f>
        <v>Phone</v>
      </c>
      <c r="E497" s="4">
        <f>'Raw Data'!E497</f>
        <v>4</v>
      </c>
      <c r="F497" s="4">
        <f>'Raw Data'!F497</f>
        <v>493.73</v>
      </c>
      <c r="G497" s="4" t="str">
        <f>'Raw Data'!G497</f>
        <v>947 Main St</v>
      </c>
      <c r="H497" s="4" t="str">
        <f>'Raw Data'!H497</f>
        <v>Debit Card</v>
      </c>
      <c r="I497" s="4" t="str">
        <f>'Raw Data'!I497</f>
        <v>Pending</v>
      </c>
      <c r="J497" s="4" t="str">
        <f>'Raw Data'!J497</f>
        <v>TRK35730581</v>
      </c>
      <c r="K497" s="4">
        <f>'Raw Data'!K497</f>
        <v>6</v>
      </c>
      <c r="L497" s="4" t="str">
        <f>IF('Raw Data'!L497="","No Coupon",'Raw Data'!L497)</f>
        <v>SAVE10</v>
      </c>
      <c r="M497" s="4" t="str">
        <f>'Raw Data'!M497</f>
        <v>Facebook</v>
      </c>
      <c r="N497" s="4">
        <f>'Raw Data'!N497</f>
        <v>1974.92</v>
      </c>
    </row>
    <row r="498" spans="1:14" ht="15" customHeight="1" x14ac:dyDescent="0.2">
      <c r="A498" s="4" t="str">
        <f>'Raw Data'!A498</f>
        <v>ORD200496</v>
      </c>
      <c r="B498" s="6">
        <f>'Raw Data'!B498</f>
        <v>45730</v>
      </c>
      <c r="C498" s="4" t="str">
        <f>'Raw Data'!C498</f>
        <v>C93618</v>
      </c>
      <c r="D498" s="4" t="str">
        <f>'Raw Data'!D498</f>
        <v>Printer</v>
      </c>
      <c r="E498" s="4">
        <f>'Raw Data'!E498</f>
        <v>3</v>
      </c>
      <c r="F498" s="4">
        <f>'Raw Data'!F498</f>
        <v>201.21</v>
      </c>
      <c r="G498" s="4" t="str">
        <f>'Raw Data'!G498</f>
        <v>249 Main St</v>
      </c>
      <c r="H498" s="4" t="str">
        <f>'Raw Data'!H498</f>
        <v>Online</v>
      </c>
      <c r="I498" s="4" t="str">
        <f>'Raw Data'!I498</f>
        <v>Cancelled</v>
      </c>
      <c r="J498" s="4" t="str">
        <f>'Raw Data'!J498</f>
        <v>TRK66129326</v>
      </c>
      <c r="K498" s="4">
        <f>'Raw Data'!K498</f>
        <v>3</v>
      </c>
      <c r="L498" s="4" t="str">
        <f>IF('Raw Data'!L498="","No Coupon",'Raw Data'!L498)</f>
        <v>SAVE10</v>
      </c>
      <c r="M498" s="4" t="str">
        <f>'Raw Data'!M498</f>
        <v>Google</v>
      </c>
      <c r="N498" s="4">
        <f>'Raw Data'!N498</f>
        <v>603.63</v>
      </c>
    </row>
    <row r="499" spans="1:14" ht="15" customHeight="1" x14ac:dyDescent="0.2">
      <c r="A499" s="4" t="str">
        <f>'Raw Data'!A499</f>
        <v>ORD200497</v>
      </c>
      <c r="B499" s="6">
        <f>'Raw Data'!B499</f>
        <v>45589</v>
      </c>
      <c r="C499" s="4" t="str">
        <f>'Raw Data'!C499</f>
        <v>C93948</v>
      </c>
      <c r="D499" s="4" t="str">
        <f>'Raw Data'!D499</f>
        <v>Printer</v>
      </c>
      <c r="E499" s="4">
        <f>'Raw Data'!E499</f>
        <v>3</v>
      </c>
      <c r="F499" s="4">
        <f>'Raw Data'!F499</f>
        <v>112.29</v>
      </c>
      <c r="G499" s="4" t="str">
        <f>'Raw Data'!G499</f>
        <v>454 Main St</v>
      </c>
      <c r="H499" s="4" t="str">
        <f>'Raw Data'!H499</f>
        <v>Gift Card</v>
      </c>
      <c r="I499" s="4" t="str">
        <f>'Raw Data'!I499</f>
        <v>Shipped</v>
      </c>
      <c r="J499" s="4" t="str">
        <f>'Raw Data'!J499</f>
        <v>TRK77358113</v>
      </c>
      <c r="K499" s="4">
        <f>'Raw Data'!K499</f>
        <v>6</v>
      </c>
      <c r="L499" s="4" t="str">
        <f>IF('Raw Data'!L499="","No Coupon",'Raw Data'!L499)</f>
        <v>No Coupon</v>
      </c>
      <c r="M499" s="4" t="str">
        <f>'Raw Data'!M499</f>
        <v>Google</v>
      </c>
      <c r="N499" s="4">
        <f>'Raw Data'!N499</f>
        <v>336.87</v>
      </c>
    </row>
    <row r="500" spans="1:14" ht="15" customHeight="1" x14ac:dyDescent="0.2">
      <c r="A500" s="4" t="str">
        <f>'Raw Data'!A500</f>
        <v>ORD200498</v>
      </c>
      <c r="B500" s="6">
        <f>'Raw Data'!B500</f>
        <v>45119</v>
      </c>
      <c r="C500" s="4" t="str">
        <f>'Raw Data'!C500</f>
        <v>C73961</v>
      </c>
      <c r="D500" s="4" t="str">
        <f>'Raw Data'!D500</f>
        <v>Tablet</v>
      </c>
      <c r="E500" s="4">
        <f>'Raw Data'!E500</f>
        <v>4</v>
      </c>
      <c r="F500" s="4">
        <f>'Raw Data'!F500</f>
        <v>132.56</v>
      </c>
      <c r="G500" s="4" t="str">
        <f>'Raw Data'!G500</f>
        <v>306 Main St</v>
      </c>
      <c r="H500" s="4" t="str">
        <f>'Raw Data'!H500</f>
        <v>Cash</v>
      </c>
      <c r="I500" s="4" t="str">
        <f>'Raw Data'!I500</f>
        <v>Returned</v>
      </c>
      <c r="J500" s="4" t="str">
        <f>'Raw Data'!J500</f>
        <v>TRK32607173</v>
      </c>
      <c r="K500" s="4">
        <f>'Raw Data'!K500</f>
        <v>8</v>
      </c>
      <c r="L500" s="4" t="str">
        <f>IF('Raw Data'!L500="","No Coupon",'Raw Data'!L500)</f>
        <v>WINTER15</v>
      </c>
      <c r="M500" s="4" t="str">
        <f>'Raw Data'!M500</f>
        <v>Instagram</v>
      </c>
      <c r="N500" s="4">
        <f>'Raw Data'!N500</f>
        <v>530.24</v>
      </c>
    </row>
    <row r="501" spans="1:14" ht="15" customHeight="1" x14ac:dyDescent="0.2">
      <c r="A501" s="4" t="str">
        <f>'Raw Data'!A501</f>
        <v>ORD200499</v>
      </c>
      <c r="B501" s="6">
        <f>'Raw Data'!B501</f>
        <v>45022</v>
      </c>
      <c r="C501" s="4" t="str">
        <f>'Raw Data'!C501</f>
        <v>C18138</v>
      </c>
      <c r="D501" s="4" t="str">
        <f>'Raw Data'!D501</f>
        <v>Printer</v>
      </c>
      <c r="E501" s="4">
        <f>'Raw Data'!E501</f>
        <v>3</v>
      </c>
      <c r="F501" s="4">
        <f>'Raw Data'!F501</f>
        <v>539.46</v>
      </c>
      <c r="G501" s="4" t="str">
        <f>'Raw Data'!G501</f>
        <v>520 Main St</v>
      </c>
      <c r="H501" s="4" t="str">
        <f>'Raw Data'!H501</f>
        <v>Credit Card</v>
      </c>
      <c r="I501" s="4" t="str">
        <f>'Raw Data'!I501</f>
        <v>Shipped</v>
      </c>
      <c r="J501" s="4" t="str">
        <f>'Raw Data'!J501</f>
        <v>TRK20289483</v>
      </c>
      <c r="K501" s="4">
        <f>'Raw Data'!K501</f>
        <v>4</v>
      </c>
      <c r="L501" s="4" t="str">
        <f>IF('Raw Data'!L501="","No Coupon",'Raw Data'!L501)</f>
        <v>SAVE10</v>
      </c>
      <c r="M501" s="4" t="str">
        <f>'Raw Data'!M501</f>
        <v>Facebook</v>
      </c>
      <c r="N501" s="4">
        <f>'Raw Data'!N501</f>
        <v>1618.38</v>
      </c>
    </row>
    <row r="502" spans="1:14" ht="15" customHeight="1" x14ac:dyDescent="0.2">
      <c r="A502" s="4" t="str">
        <f>'Raw Data'!A502</f>
        <v>ORD200500</v>
      </c>
      <c r="B502" s="6">
        <f>'Raw Data'!B502</f>
        <v>45389</v>
      </c>
      <c r="C502" s="4" t="str">
        <f>'Raw Data'!C502</f>
        <v>C79475</v>
      </c>
      <c r="D502" s="4" t="str">
        <f>'Raw Data'!D502</f>
        <v>Laptop</v>
      </c>
      <c r="E502" s="4">
        <f>'Raw Data'!E502</f>
        <v>5</v>
      </c>
      <c r="F502" s="4">
        <f>'Raw Data'!F502</f>
        <v>508.59</v>
      </c>
      <c r="G502" s="4" t="str">
        <f>'Raw Data'!G502</f>
        <v>169 Main St</v>
      </c>
      <c r="H502" s="4" t="str">
        <f>'Raw Data'!H502</f>
        <v>Cash</v>
      </c>
      <c r="I502" s="4" t="str">
        <f>'Raw Data'!I502</f>
        <v>Returned</v>
      </c>
      <c r="J502" s="4" t="str">
        <f>'Raw Data'!J502</f>
        <v>TRK42168516</v>
      </c>
      <c r="K502" s="4">
        <f>'Raw Data'!K502</f>
        <v>8</v>
      </c>
      <c r="L502" s="4" t="str">
        <f>IF('Raw Data'!L502="","No Coupon",'Raw Data'!L502)</f>
        <v>WINTER15</v>
      </c>
      <c r="M502" s="4" t="str">
        <f>'Raw Data'!M502</f>
        <v>Facebook</v>
      </c>
      <c r="N502" s="4">
        <f>'Raw Data'!N502</f>
        <v>2542.9499999999998</v>
      </c>
    </row>
    <row r="503" spans="1:14" ht="15" customHeight="1" x14ac:dyDescent="0.2">
      <c r="A503" s="4" t="str">
        <f>'Raw Data'!A503</f>
        <v>ORD200501</v>
      </c>
      <c r="B503" s="6">
        <f>'Raw Data'!B503</f>
        <v>45326</v>
      </c>
      <c r="C503" s="4" t="str">
        <f>'Raw Data'!C503</f>
        <v>C88546</v>
      </c>
      <c r="D503" s="4" t="str">
        <f>'Raw Data'!D503</f>
        <v>Desk</v>
      </c>
      <c r="E503" s="4">
        <f>'Raw Data'!E503</f>
        <v>4</v>
      </c>
      <c r="F503" s="4">
        <f>'Raw Data'!F503</f>
        <v>203.46</v>
      </c>
      <c r="G503" s="4" t="str">
        <f>'Raw Data'!G503</f>
        <v>226 Main St</v>
      </c>
      <c r="H503" s="4" t="str">
        <f>'Raw Data'!H503</f>
        <v>Credit Card</v>
      </c>
      <c r="I503" s="4" t="str">
        <f>'Raw Data'!I503</f>
        <v>Pending</v>
      </c>
      <c r="J503" s="4" t="str">
        <f>'Raw Data'!J503</f>
        <v>TRK19867754</v>
      </c>
      <c r="K503" s="4">
        <f>'Raw Data'!K503</f>
        <v>7</v>
      </c>
      <c r="L503" s="4" t="str">
        <f>IF('Raw Data'!L503="","No Coupon",'Raw Data'!L503)</f>
        <v>SAVE10</v>
      </c>
      <c r="M503" s="4" t="str">
        <f>'Raw Data'!M503</f>
        <v>Referral</v>
      </c>
      <c r="N503" s="4">
        <f>'Raw Data'!N503</f>
        <v>813.84</v>
      </c>
    </row>
    <row r="504" spans="1:14" ht="15" customHeight="1" x14ac:dyDescent="0.2">
      <c r="A504" s="4" t="str">
        <f>'Raw Data'!A504</f>
        <v>ORD200502</v>
      </c>
      <c r="B504" s="6">
        <f>'Raw Data'!B504</f>
        <v>45066</v>
      </c>
      <c r="C504" s="4" t="str">
        <f>'Raw Data'!C504</f>
        <v>C69332</v>
      </c>
      <c r="D504" s="4" t="str">
        <f>'Raw Data'!D504</f>
        <v>Monitor</v>
      </c>
      <c r="E504" s="4">
        <f>'Raw Data'!E504</f>
        <v>3</v>
      </c>
      <c r="F504" s="4">
        <f>'Raw Data'!F504</f>
        <v>565.25</v>
      </c>
      <c r="G504" s="4" t="str">
        <f>'Raw Data'!G504</f>
        <v>745 Main St</v>
      </c>
      <c r="H504" s="4" t="str">
        <f>'Raw Data'!H504</f>
        <v>Debit Card</v>
      </c>
      <c r="I504" s="4" t="str">
        <f>'Raw Data'!I504</f>
        <v>Returned</v>
      </c>
      <c r="J504" s="4" t="str">
        <f>'Raw Data'!J504</f>
        <v>TRK65718848</v>
      </c>
      <c r="K504" s="4">
        <f>'Raw Data'!K504</f>
        <v>7</v>
      </c>
      <c r="L504" s="4" t="str">
        <f>IF('Raw Data'!L504="","No Coupon",'Raw Data'!L504)</f>
        <v>SAVE10</v>
      </c>
      <c r="M504" s="4" t="str">
        <f>'Raw Data'!M504</f>
        <v>Email</v>
      </c>
      <c r="N504" s="4">
        <f>'Raw Data'!N504</f>
        <v>1695.75</v>
      </c>
    </row>
    <row r="505" spans="1:14" ht="15" customHeight="1" x14ac:dyDescent="0.2">
      <c r="A505" s="4" t="str">
        <f>'Raw Data'!A505</f>
        <v>ORD200503</v>
      </c>
      <c r="B505" s="6">
        <f>'Raw Data'!B505</f>
        <v>45169</v>
      </c>
      <c r="C505" s="4" t="str">
        <f>'Raw Data'!C505</f>
        <v>C64554</v>
      </c>
      <c r="D505" s="4" t="str">
        <f>'Raw Data'!D505</f>
        <v>Tablet</v>
      </c>
      <c r="E505" s="4">
        <f>'Raw Data'!E505</f>
        <v>3</v>
      </c>
      <c r="F505" s="4">
        <f>'Raw Data'!F505</f>
        <v>136.84</v>
      </c>
      <c r="G505" s="4" t="str">
        <f>'Raw Data'!G505</f>
        <v>498 Main St</v>
      </c>
      <c r="H505" s="4" t="str">
        <f>'Raw Data'!H505</f>
        <v>Online</v>
      </c>
      <c r="I505" s="4" t="str">
        <f>'Raw Data'!I505</f>
        <v>Pending</v>
      </c>
      <c r="J505" s="4" t="str">
        <f>'Raw Data'!J505</f>
        <v>TRK95384568</v>
      </c>
      <c r="K505" s="4">
        <f>'Raw Data'!K505</f>
        <v>4</v>
      </c>
      <c r="L505" s="4" t="str">
        <f>IF('Raw Data'!L505="","No Coupon",'Raw Data'!L505)</f>
        <v>FREESHIP</v>
      </c>
      <c r="M505" s="4" t="str">
        <f>'Raw Data'!M505</f>
        <v>Facebook</v>
      </c>
      <c r="N505" s="4">
        <f>'Raw Data'!N505</f>
        <v>410.52</v>
      </c>
    </row>
    <row r="506" spans="1:14" ht="15" customHeight="1" x14ac:dyDescent="0.2">
      <c r="A506" s="4" t="str">
        <f>'Raw Data'!A506</f>
        <v>ORD200504</v>
      </c>
      <c r="B506" s="6">
        <f>'Raw Data'!B506</f>
        <v>45819</v>
      </c>
      <c r="C506" s="4" t="str">
        <f>'Raw Data'!C506</f>
        <v>C11676</v>
      </c>
      <c r="D506" s="4" t="str">
        <f>'Raw Data'!D506</f>
        <v>Monitor</v>
      </c>
      <c r="E506" s="4">
        <f>'Raw Data'!E506</f>
        <v>2</v>
      </c>
      <c r="F506" s="4">
        <f>'Raw Data'!F506</f>
        <v>464.5</v>
      </c>
      <c r="G506" s="4" t="str">
        <f>'Raw Data'!G506</f>
        <v>805 Main St</v>
      </c>
      <c r="H506" s="4" t="str">
        <f>'Raw Data'!H506</f>
        <v>Online</v>
      </c>
      <c r="I506" s="4" t="str">
        <f>'Raw Data'!I506</f>
        <v>Cancelled</v>
      </c>
      <c r="J506" s="4" t="str">
        <f>'Raw Data'!J506</f>
        <v>TRK35726395</v>
      </c>
      <c r="K506" s="4">
        <f>'Raw Data'!K506</f>
        <v>2</v>
      </c>
      <c r="L506" s="4" t="str">
        <f>IF('Raw Data'!L506="","No Coupon",'Raw Data'!L506)</f>
        <v>WINTER15</v>
      </c>
      <c r="M506" s="4" t="str">
        <f>'Raw Data'!M506</f>
        <v>Instagram</v>
      </c>
      <c r="N506" s="4">
        <f>'Raw Data'!N506</f>
        <v>929</v>
      </c>
    </row>
    <row r="507" spans="1:14" ht="15" customHeight="1" x14ac:dyDescent="0.2">
      <c r="A507" s="4" t="str">
        <f>'Raw Data'!A507</f>
        <v>ORD200505</v>
      </c>
      <c r="B507" s="6">
        <f>'Raw Data'!B507</f>
        <v>45088</v>
      </c>
      <c r="C507" s="4" t="str">
        <f>'Raw Data'!C507</f>
        <v>C36014</v>
      </c>
      <c r="D507" s="4" t="str">
        <f>'Raw Data'!D507</f>
        <v>Printer</v>
      </c>
      <c r="E507" s="4">
        <f>'Raw Data'!E507</f>
        <v>2</v>
      </c>
      <c r="F507" s="4">
        <f>'Raw Data'!F507</f>
        <v>434.97</v>
      </c>
      <c r="G507" s="4" t="str">
        <f>'Raw Data'!G507</f>
        <v>558 Main St</v>
      </c>
      <c r="H507" s="4" t="str">
        <f>'Raw Data'!H507</f>
        <v>Online</v>
      </c>
      <c r="I507" s="4" t="str">
        <f>'Raw Data'!I507</f>
        <v>Shipped</v>
      </c>
      <c r="J507" s="4" t="str">
        <f>'Raw Data'!J507</f>
        <v>TRK97246526</v>
      </c>
      <c r="K507" s="4">
        <f>'Raw Data'!K507</f>
        <v>7</v>
      </c>
      <c r="L507" s="4" t="str">
        <f>IF('Raw Data'!L507="","No Coupon",'Raw Data'!L507)</f>
        <v>No Coupon</v>
      </c>
      <c r="M507" s="4" t="str">
        <f>'Raw Data'!M507</f>
        <v>Email</v>
      </c>
      <c r="N507" s="4">
        <f>'Raw Data'!N507</f>
        <v>869.94</v>
      </c>
    </row>
    <row r="508" spans="1:14" ht="15" customHeight="1" x14ac:dyDescent="0.2">
      <c r="A508" s="4" t="str">
        <f>'Raw Data'!A508</f>
        <v>ORD200506</v>
      </c>
      <c r="B508" s="6">
        <f>'Raw Data'!B508</f>
        <v>45132</v>
      </c>
      <c r="C508" s="4" t="str">
        <f>'Raw Data'!C508</f>
        <v>C23279</v>
      </c>
      <c r="D508" s="4" t="str">
        <f>'Raw Data'!D508</f>
        <v>Monitor</v>
      </c>
      <c r="E508" s="4">
        <f>'Raw Data'!E508</f>
        <v>2</v>
      </c>
      <c r="F508" s="4">
        <f>'Raw Data'!F508</f>
        <v>43.67</v>
      </c>
      <c r="G508" s="4" t="str">
        <f>'Raw Data'!G508</f>
        <v>696 Main St</v>
      </c>
      <c r="H508" s="4" t="str">
        <f>'Raw Data'!H508</f>
        <v>Cash</v>
      </c>
      <c r="I508" s="4" t="str">
        <f>'Raw Data'!I508</f>
        <v>Returned</v>
      </c>
      <c r="J508" s="4" t="str">
        <f>'Raw Data'!J508</f>
        <v>TRK58039693</v>
      </c>
      <c r="K508" s="4">
        <f>'Raw Data'!K508</f>
        <v>4</v>
      </c>
      <c r="L508" s="4" t="str">
        <f>IF('Raw Data'!L508="","No Coupon",'Raw Data'!L508)</f>
        <v>WINTER15</v>
      </c>
      <c r="M508" s="4" t="str">
        <f>'Raw Data'!M508</f>
        <v>Instagram</v>
      </c>
      <c r="N508" s="4">
        <f>'Raw Data'!N508</f>
        <v>87.34</v>
      </c>
    </row>
    <row r="509" spans="1:14" ht="15" customHeight="1" x14ac:dyDescent="0.2">
      <c r="A509" s="4" t="str">
        <f>'Raw Data'!A509</f>
        <v>ORD200507</v>
      </c>
      <c r="B509" s="6">
        <f>'Raw Data'!B509</f>
        <v>45112</v>
      </c>
      <c r="C509" s="4" t="str">
        <f>'Raw Data'!C509</f>
        <v>C86481</v>
      </c>
      <c r="D509" s="4" t="str">
        <f>'Raw Data'!D509</f>
        <v>Phone</v>
      </c>
      <c r="E509" s="4">
        <f>'Raw Data'!E509</f>
        <v>1</v>
      </c>
      <c r="F509" s="4">
        <f>'Raw Data'!F509</f>
        <v>171.59</v>
      </c>
      <c r="G509" s="4" t="str">
        <f>'Raw Data'!G509</f>
        <v>546 Main St</v>
      </c>
      <c r="H509" s="4" t="str">
        <f>'Raw Data'!H509</f>
        <v>Credit Card</v>
      </c>
      <c r="I509" s="4" t="str">
        <f>'Raw Data'!I509</f>
        <v>Pending</v>
      </c>
      <c r="J509" s="4" t="str">
        <f>'Raw Data'!J509</f>
        <v>TRK87513944</v>
      </c>
      <c r="K509" s="4">
        <f>'Raw Data'!K509</f>
        <v>5</v>
      </c>
      <c r="L509" s="4" t="str">
        <f>IF('Raw Data'!L509="","No Coupon",'Raw Data'!L509)</f>
        <v>WINTER15</v>
      </c>
      <c r="M509" s="4" t="str">
        <f>'Raw Data'!M509</f>
        <v>Email</v>
      </c>
      <c r="N509" s="4">
        <f>'Raw Data'!N509</f>
        <v>171.59</v>
      </c>
    </row>
    <row r="510" spans="1:14" ht="15" customHeight="1" x14ac:dyDescent="0.2">
      <c r="A510" s="4" t="str">
        <f>'Raw Data'!A510</f>
        <v>ORD200508</v>
      </c>
      <c r="B510" s="6">
        <f>'Raw Data'!B510</f>
        <v>45791</v>
      </c>
      <c r="C510" s="4" t="str">
        <f>'Raw Data'!C510</f>
        <v>C39550</v>
      </c>
      <c r="D510" s="4" t="str">
        <f>'Raw Data'!D510</f>
        <v>Phone</v>
      </c>
      <c r="E510" s="4">
        <f>'Raw Data'!E510</f>
        <v>1</v>
      </c>
      <c r="F510" s="4">
        <f>'Raw Data'!F510</f>
        <v>558.27</v>
      </c>
      <c r="G510" s="4" t="str">
        <f>'Raw Data'!G510</f>
        <v>976 Main St</v>
      </c>
      <c r="H510" s="4" t="str">
        <f>'Raw Data'!H510</f>
        <v>Online</v>
      </c>
      <c r="I510" s="4" t="str">
        <f>'Raw Data'!I510</f>
        <v>Delivered</v>
      </c>
      <c r="J510" s="4" t="str">
        <f>'Raw Data'!J510</f>
        <v>TRK24120267</v>
      </c>
      <c r="K510" s="4">
        <f>'Raw Data'!K510</f>
        <v>1</v>
      </c>
      <c r="L510" s="4" t="str">
        <f>IF('Raw Data'!L510="","No Coupon",'Raw Data'!L510)</f>
        <v>No Coupon</v>
      </c>
      <c r="M510" s="4" t="str">
        <f>'Raw Data'!M510</f>
        <v>Referral</v>
      </c>
      <c r="N510" s="4">
        <f>'Raw Data'!N510</f>
        <v>558.27</v>
      </c>
    </row>
    <row r="511" spans="1:14" ht="15" customHeight="1" x14ac:dyDescent="0.2">
      <c r="A511" s="4" t="str">
        <f>'Raw Data'!A511</f>
        <v>ORD200509</v>
      </c>
      <c r="B511" s="6">
        <f>'Raw Data'!B511</f>
        <v>44972</v>
      </c>
      <c r="C511" s="4" t="str">
        <f>'Raw Data'!C511</f>
        <v>C68937</v>
      </c>
      <c r="D511" s="4" t="str">
        <f>'Raw Data'!D511</f>
        <v>Laptop</v>
      </c>
      <c r="E511" s="4">
        <f>'Raw Data'!E511</f>
        <v>2</v>
      </c>
      <c r="F511" s="4">
        <f>'Raw Data'!F511</f>
        <v>425.03</v>
      </c>
      <c r="G511" s="4" t="str">
        <f>'Raw Data'!G511</f>
        <v>560 Main St</v>
      </c>
      <c r="H511" s="4" t="str">
        <f>'Raw Data'!H511</f>
        <v>Cash</v>
      </c>
      <c r="I511" s="4" t="str">
        <f>'Raw Data'!I511</f>
        <v>Returned</v>
      </c>
      <c r="J511" s="4" t="str">
        <f>'Raw Data'!J511</f>
        <v>TRK31908657</v>
      </c>
      <c r="K511" s="4">
        <f>'Raw Data'!K511</f>
        <v>2</v>
      </c>
      <c r="L511" s="4" t="str">
        <f>IF('Raw Data'!L511="","No Coupon",'Raw Data'!L511)</f>
        <v>WINTER15</v>
      </c>
      <c r="M511" s="4" t="str">
        <f>'Raw Data'!M511</f>
        <v>Google</v>
      </c>
      <c r="N511" s="4">
        <f>'Raw Data'!N511</f>
        <v>850.06</v>
      </c>
    </row>
    <row r="512" spans="1:14" ht="15" customHeight="1" x14ac:dyDescent="0.2">
      <c r="A512" s="4" t="str">
        <f>'Raw Data'!A512</f>
        <v>ORD200510</v>
      </c>
      <c r="B512" s="6">
        <f>'Raw Data'!B512</f>
        <v>45642</v>
      </c>
      <c r="C512" s="4" t="str">
        <f>'Raw Data'!C512</f>
        <v>C72533</v>
      </c>
      <c r="D512" s="4" t="str">
        <f>'Raw Data'!D512</f>
        <v>Printer</v>
      </c>
      <c r="E512" s="4">
        <f>'Raw Data'!E512</f>
        <v>1</v>
      </c>
      <c r="F512" s="4">
        <f>'Raw Data'!F512</f>
        <v>376.76</v>
      </c>
      <c r="G512" s="4" t="str">
        <f>'Raw Data'!G512</f>
        <v>389 Main St</v>
      </c>
      <c r="H512" s="4" t="str">
        <f>'Raw Data'!H512</f>
        <v>Debit Card</v>
      </c>
      <c r="I512" s="4" t="str">
        <f>'Raw Data'!I512</f>
        <v>Delivered</v>
      </c>
      <c r="J512" s="4" t="str">
        <f>'Raw Data'!J512</f>
        <v>TRK51288986</v>
      </c>
      <c r="K512" s="4">
        <f>'Raw Data'!K512</f>
        <v>5</v>
      </c>
      <c r="L512" s="4" t="str">
        <f>IF('Raw Data'!L512="","No Coupon",'Raw Data'!L512)</f>
        <v>SAVE10</v>
      </c>
      <c r="M512" s="4" t="str">
        <f>'Raw Data'!M512</f>
        <v>Email</v>
      </c>
      <c r="N512" s="4">
        <f>'Raw Data'!N512</f>
        <v>376.76</v>
      </c>
    </row>
    <row r="513" spans="1:14" ht="15" customHeight="1" x14ac:dyDescent="0.2">
      <c r="A513" s="4" t="str">
        <f>'Raw Data'!A513</f>
        <v>ORD200511</v>
      </c>
      <c r="B513" s="6">
        <f>'Raw Data'!B513</f>
        <v>45366</v>
      </c>
      <c r="C513" s="4" t="str">
        <f>'Raw Data'!C513</f>
        <v>C11415</v>
      </c>
      <c r="D513" s="4" t="str">
        <f>'Raw Data'!D513</f>
        <v>Monitor</v>
      </c>
      <c r="E513" s="4">
        <f>'Raw Data'!E513</f>
        <v>5</v>
      </c>
      <c r="F513" s="4">
        <f>'Raw Data'!F513</f>
        <v>575.24</v>
      </c>
      <c r="G513" s="4" t="str">
        <f>'Raw Data'!G513</f>
        <v>267 Main St</v>
      </c>
      <c r="H513" s="4" t="str">
        <f>'Raw Data'!H513</f>
        <v>Cash</v>
      </c>
      <c r="I513" s="4" t="str">
        <f>'Raw Data'!I513</f>
        <v>Delivered</v>
      </c>
      <c r="J513" s="4" t="str">
        <f>'Raw Data'!J513</f>
        <v>TRK65061457</v>
      </c>
      <c r="K513" s="4">
        <f>'Raw Data'!K513</f>
        <v>7</v>
      </c>
      <c r="L513" s="4" t="str">
        <f>IF('Raw Data'!L513="","No Coupon",'Raw Data'!L513)</f>
        <v>WINTER15</v>
      </c>
      <c r="M513" s="4" t="str">
        <f>'Raw Data'!M513</f>
        <v>Email</v>
      </c>
      <c r="N513" s="4">
        <f>'Raw Data'!N513</f>
        <v>2876.2</v>
      </c>
    </row>
    <row r="514" spans="1:14" ht="15" customHeight="1" x14ac:dyDescent="0.2">
      <c r="A514" s="4" t="str">
        <f>'Raw Data'!A514</f>
        <v>ORD200512</v>
      </c>
      <c r="B514" s="6">
        <f>'Raw Data'!B514</f>
        <v>45562</v>
      </c>
      <c r="C514" s="4" t="str">
        <f>'Raw Data'!C514</f>
        <v>C14114</v>
      </c>
      <c r="D514" s="4" t="str">
        <f>'Raw Data'!D514</f>
        <v>Desk</v>
      </c>
      <c r="E514" s="4">
        <f>'Raw Data'!E514</f>
        <v>3</v>
      </c>
      <c r="F514" s="4">
        <f>'Raw Data'!F514</f>
        <v>568.02</v>
      </c>
      <c r="G514" s="4" t="str">
        <f>'Raw Data'!G514</f>
        <v>856 Main St</v>
      </c>
      <c r="H514" s="4" t="str">
        <f>'Raw Data'!H514</f>
        <v>Online</v>
      </c>
      <c r="I514" s="4" t="str">
        <f>'Raw Data'!I514</f>
        <v>Pending</v>
      </c>
      <c r="J514" s="4" t="str">
        <f>'Raw Data'!J514</f>
        <v>TRK63290700</v>
      </c>
      <c r="K514" s="4">
        <f>'Raw Data'!K514</f>
        <v>3</v>
      </c>
      <c r="L514" s="4" t="str">
        <f>IF('Raw Data'!L514="","No Coupon",'Raw Data'!L514)</f>
        <v>FREESHIP</v>
      </c>
      <c r="M514" s="4" t="str">
        <f>'Raw Data'!M514</f>
        <v>Instagram</v>
      </c>
      <c r="N514" s="4">
        <f>'Raw Data'!N514</f>
        <v>1704.06</v>
      </c>
    </row>
    <row r="515" spans="1:14" ht="15" customHeight="1" x14ac:dyDescent="0.2">
      <c r="A515" s="4" t="str">
        <f>'Raw Data'!A515</f>
        <v>ORD200513</v>
      </c>
      <c r="B515" s="6">
        <f>'Raw Data'!B515</f>
        <v>45697</v>
      </c>
      <c r="C515" s="4" t="str">
        <f>'Raw Data'!C515</f>
        <v>C64128</v>
      </c>
      <c r="D515" s="4" t="str">
        <f>'Raw Data'!D515</f>
        <v>Tablet</v>
      </c>
      <c r="E515" s="4">
        <f>'Raw Data'!E515</f>
        <v>3</v>
      </c>
      <c r="F515" s="4">
        <f>'Raw Data'!F515</f>
        <v>94.88</v>
      </c>
      <c r="G515" s="4" t="str">
        <f>'Raw Data'!G515</f>
        <v>533 Main St</v>
      </c>
      <c r="H515" s="4" t="str">
        <f>'Raw Data'!H515</f>
        <v>Gift Card</v>
      </c>
      <c r="I515" s="4" t="str">
        <f>'Raw Data'!I515</f>
        <v>Shipped</v>
      </c>
      <c r="J515" s="4" t="str">
        <f>'Raw Data'!J515</f>
        <v>TRK37053575</v>
      </c>
      <c r="K515" s="4">
        <f>'Raw Data'!K515</f>
        <v>8</v>
      </c>
      <c r="L515" s="4" t="str">
        <f>IF('Raw Data'!L515="","No Coupon",'Raw Data'!L515)</f>
        <v>No Coupon</v>
      </c>
      <c r="M515" s="4" t="str">
        <f>'Raw Data'!M515</f>
        <v>Referral</v>
      </c>
      <c r="N515" s="4">
        <f>'Raw Data'!N515</f>
        <v>284.64</v>
      </c>
    </row>
    <row r="516" spans="1:14" ht="15" customHeight="1" x14ac:dyDescent="0.2">
      <c r="A516" s="4" t="str">
        <f>'Raw Data'!A516</f>
        <v>ORD200514</v>
      </c>
      <c r="B516" s="6">
        <f>'Raw Data'!B516</f>
        <v>45032</v>
      </c>
      <c r="C516" s="4" t="str">
        <f>'Raw Data'!C516</f>
        <v>C15629</v>
      </c>
      <c r="D516" s="4" t="str">
        <f>'Raw Data'!D516</f>
        <v>Printer</v>
      </c>
      <c r="E516" s="4">
        <f>'Raw Data'!E516</f>
        <v>3</v>
      </c>
      <c r="F516" s="4">
        <f>'Raw Data'!F516</f>
        <v>304.14999999999998</v>
      </c>
      <c r="G516" s="4" t="str">
        <f>'Raw Data'!G516</f>
        <v>492 Main St</v>
      </c>
      <c r="H516" s="4" t="str">
        <f>'Raw Data'!H516</f>
        <v>Gift Card</v>
      </c>
      <c r="I516" s="4" t="str">
        <f>'Raw Data'!I516</f>
        <v>Shipped</v>
      </c>
      <c r="J516" s="4" t="str">
        <f>'Raw Data'!J516</f>
        <v>TRK64926044</v>
      </c>
      <c r="K516" s="4">
        <f>'Raw Data'!K516</f>
        <v>3</v>
      </c>
      <c r="L516" s="4" t="str">
        <f>IF('Raw Data'!L516="","No Coupon",'Raw Data'!L516)</f>
        <v>WINTER15</v>
      </c>
      <c r="M516" s="4" t="str">
        <f>'Raw Data'!M516</f>
        <v>Instagram</v>
      </c>
      <c r="N516" s="4">
        <f>'Raw Data'!N516</f>
        <v>912.45</v>
      </c>
    </row>
    <row r="517" spans="1:14" ht="15" customHeight="1" x14ac:dyDescent="0.2">
      <c r="A517" s="4" t="str">
        <f>'Raw Data'!A517</f>
        <v>ORD200515</v>
      </c>
      <c r="B517" s="6">
        <f>'Raw Data'!B517</f>
        <v>44999</v>
      </c>
      <c r="C517" s="4" t="str">
        <f>'Raw Data'!C517</f>
        <v>C67561</v>
      </c>
      <c r="D517" s="4" t="str">
        <f>'Raw Data'!D517</f>
        <v>Phone</v>
      </c>
      <c r="E517" s="4">
        <f>'Raw Data'!E517</f>
        <v>3</v>
      </c>
      <c r="F517" s="4">
        <f>'Raw Data'!F517</f>
        <v>553.52</v>
      </c>
      <c r="G517" s="4" t="str">
        <f>'Raw Data'!G517</f>
        <v>160 Main St</v>
      </c>
      <c r="H517" s="4" t="str">
        <f>'Raw Data'!H517</f>
        <v>Gift Card</v>
      </c>
      <c r="I517" s="4" t="str">
        <f>'Raw Data'!I517</f>
        <v>Shipped</v>
      </c>
      <c r="J517" s="4" t="str">
        <f>'Raw Data'!J517</f>
        <v>TRK75900717</v>
      </c>
      <c r="K517" s="4">
        <f>'Raw Data'!K517</f>
        <v>4</v>
      </c>
      <c r="L517" s="4" t="str">
        <f>IF('Raw Data'!L517="","No Coupon",'Raw Data'!L517)</f>
        <v>FREESHIP</v>
      </c>
      <c r="M517" s="4" t="str">
        <f>'Raw Data'!M517</f>
        <v>Facebook</v>
      </c>
      <c r="N517" s="4">
        <f>'Raw Data'!N517</f>
        <v>1660.56</v>
      </c>
    </row>
    <row r="518" spans="1:14" ht="15" customHeight="1" x14ac:dyDescent="0.2">
      <c r="A518" s="4" t="str">
        <f>'Raw Data'!A518</f>
        <v>ORD200516</v>
      </c>
      <c r="B518" s="6">
        <f>'Raw Data'!B518</f>
        <v>45389</v>
      </c>
      <c r="C518" s="4" t="str">
        <f>'Raw Data'!C518</f>
        <v>C47022</v>
      </c>
      <c r="D518" s="4" t="str">
        <f>'Raw Data'!D518</f>
        <v>Monitor</v>
      </c>
      <c r="E518" s="4">
        <f>'Raw Data'!E518</f>
        <v>3</v>
      </c>
      <c r="F518" s="4">
        <f>'Raw Data'!F518</f>
        <v>166.99</v>
      </c>
      <c r="G518" s="4" t="str">
        <f>'Raw Data'!G518</f>
        <v>208 Main St</v>
      </c>
      <c r="H518" s="4" t="str">
        <f>'Raw Data'!H518</f>
        <v>Cash</v>
      </c>
      <c r="I518" s="4" t="str">
        <f>'Raw Data'!I518</f>
        <v>Returned</v>
      </c>
      <c r="J518" s="4" t="str">
        <f>'Raw Data'!J518</f>
        <v>TRK28855040</v>
      </c>
      <c r="K518" s="4">
        <f>'Raw Data'!K518</f>
        <v>8</v>
      </c>
      <c r="L518" s="4" t="str">
        <f>IF('Raw Data'!L518="","No Coupon",'Raw Data'!L518)</f>
        <v>No Coupon</v>
      </c>
      <c r="M518" s="4" t="str">
        <f>'Raw Data'!M518</f>
        <v>Facebook</v>
      </c>
      <c r="N518" s="4">
        <f>'Raw Data'!N518</f>
        <v>500.97</v>
      </c>
    </row>
    <row r="519" spans="1:14" ht="15" customHeight="1" x14ac:dyDescent="0.2">
      <c r="A519" s="4" t="str">
        <f>'Raw Data'!A519</f>
        <v>ORD200517</v>
      </c>
      <c r="B519" s="6">
        <f>'Raw Data'!B519</f>
        <v>45391</v>
      </c>
      <c r="C519" s="4" t="str">
        <f>'Raw Data'!C519</f>
        <v>C55205</v>
      </c>
      <c r="D519" s="4" t="str">
        <f>'Raw Data'!D519</f>
        <v>Tablet</v>
      </c>
      <c r="E519" s="4">
        <f>'Raw Data'!E519</f>
        <v>4</v>
      </c>
      <c r="F519" s="4">
        <f>'Raw Data'!F519</f>
        <v>198.35</v>
      </c>
      <c r="G519" s="4" t="str">
        <f>'Raw Data'!G519</f>
        <v>943 Main St</v>
      </c>
      <c r="H519" s="4" t="str">
        <f>'Raw Data'!H519</f>
        <v>Cash</v>
      </c>
      <c r="I519" s="4" t="str">
        <f>'Raw Data'!I519</f>
        <v>Cancelled</v>
      </c>
      <c r="J519" s="4" t="str">
        <f>'Raw Data'!J519</f>
        <v>TRK88141634</v>
      </c>
      <c r="K519" s="4">
        <f>'Raw Data'!K519</f>
        <v>7</v>
      </c>
      <c r="L519" s="4" t="str">
        <f>IF('Raw Data'!L519="","No Coupon",'Raw Data'!L519)</f>
        <v>FREESHIP</v>
      </c>
      <c r="M519" s="4" t="str">
        <f>'Raw Data'!M519</f>
        <v>Google</v>
      </c>
      <c r="N519" s="4">
        <f>'Raw Data'!N519</f>
        <v>793.4</v>
      </c>
    </row>
    <row r="520" spans="1:14" ht="15" customHeight="1" x14ac:dyDescent="0.2">
      <c r="A520" s="4" t="str">
        <f>'Raw Data'!A520</f>
        <v>ORD200518</v>
      </c>
      <c r="B520" s="6">
        <f>'Raw Data'!B520</f>
        <v>45821</v>
      </c>
      <c r="C520" s="4" t="str">
        <f>'Raw Data'!C520</f>
        <v>C30686</v>
      </c>
      <c r="D520" s="4" t="str">
        <f>'Raw Data'!D520</f>
        <v>Printer</v>
      </c>
      <c r="E520" s="4">
        <f>'Raw Data'!E520</f>
        <v>4</v>
      </c>
      <c r="F520" s="4">
        <f>'Raw Data'!F520</f>
        <v>403.58</v>
      </c>
      <c r="G520" s="4" t="str">
        <f>'Raw Data'!G520</f>
        <v>319 Main St</v>
      </c>
      <c r="H520" s="4" t="str">
        <f>'Raw Data'!H520</f>
        <v>Online</v>
      </c>
      <c r="I520" s="4" t="str">
        <f>'Raw Data'!I520</f>
        <v>Pending</v>
      </c>
      <c r="J520" s="4" t="str">
        <f>'Raw Data'!J520</f>
        <v>TRK59807273</v>
      </c>
      <c r="K520" s="4">
        <f>'Raw Data'!K520</f>
        <v>9</v>
      </c>
      <c r="L520" s="4" t="str">
        <f>IF('Raw Data'!L520="","No Coupon",'Raw Data'!L520)</f>
        <v>SAVE10</v>
      </c>
      <c r="M520" s="4" t="str">
        <f>'Raw Data'!M520</f>
        <v>Referral</v>
      </c>
      <c r="N520" s="4">
        <f>'Raw Data'!N520</f>
        <v>1614.32</v>
      </c>
    </row>
    <row r="521" spans="1:14" ht="15" customHeight="1" x14ac:dyDescent="0.2">
      <c r="A521" s="4" t="str">
        <f>'Raw Data'!A521</f>
        <v>ORD200519</v>
      </c>
      <c r="B521" s="6">
        <f>'Raw Data'!B521</f>
        <v>45787</v>
      </c>
      <c r="C521" s="4" t="str">
        <f>'Raw Data'!C521</f>
        <v>C71797</v>
      </c>
      <c r="D521" s="4" t="str">
        <f>'Raw Data'!D521</f>
        <v>Laptop</v>
      </c>
      <c r="E521" s="4">
        <f>'Raw Data'!E521</f>
        <v>4</v>
      </c>
      <c r="F521" s="4">
        <f>'Raw Data'!F521</f>
        <v>464.29</v>
      </c>
      <c r="G521" s="4" t="str">
        <f>'Raw Data'!G521</f>
        <v>941 Main St</v>
      </c>
      <c r="H521" s="4" t="str">
        <f>'Raw Data'!H521</f>
        <v>Debit Card</v>
      </c>
      <c r="I521" s="4" t="str">
        <f>'Raw Data'!I521</f>
        <v>Returned</v>
      </c>
      <c r="J521" s="4" t="str">
        <f>'Raw Data'!J521</f>
        <v>TRK66010667</v>
      </c>
      <c r="K521" s="4">
        <f>'Raw Data'!K521</f>
        <v>5</v>
      </c>
      <c r="L521" s="4" t="str">
        <f>IF('Raw Data'!L521="","No Coupon",'Raw Data'!L521)</f>
        <v>SAVE10</v>
      </c>
      <c r="M521" s="4" t="str">
        <f>'Raw Data'!M521</f>
        <v>Email</v>
      </c>
      <c r="N521" s="4">
        <f>'Raw Data'!N521</f>
        <v>1857.16</v>
      </c>
    </row>
    <row r="522" spans="1:14" ht="15" customHeight="1" x14ac:dyDescent="0.2">
      <c r="A522" s="4" t="str">
        <f>'Raw Data'!A522</f>
        <v>ORD200520</v>
      </c>
      <c r="B522" s="6">
        <f>'Raw Data'!B522</f>
        <v>44995</v>
      </c>
      <c r="C522" s="4" t="str">
        <f>'Raw Data'!C522</f>
        <v>C66332</v>
      </c>
      <c r="D522" s="4" t="str">
        <f>'Raw Data'!D522</f>
        <v>Monitor</v>
      </c>
      <c r="E522" s="4">
        <f>'Raw Data'!E522</f>
        <v>3</v>
      </c>
      <c r="F522" s="4">
        <f>'Raw Data'!F522</f>
        <v>635.98</v>
      </c>
      <c r="G522" s="4" t="str">
        <f>'Raw Data'!G522</f>
        <v>959 Main St</v>
      </c>
      <c r="H522" s="4" t="str">
        <f>'Raw Data'!H522</f>
        <v>Cash</v>
      </c>
      <c r="I522" s="4" t="str">
        <f>'Raw Data'!I522</f>
        <v>Returned</v>
      </c>
      <c r="J522" s="4" t="str">
        <f>'Raw Data'!J522</f>
        <v>TRK27063398</v>
      </c>
      <c r="K522" s="4">
        <f>'Raw Data'!K522</f>
        <v>5</v>
      </c>
      <c r="L522" s="4" t="str">
        <f>IF('Raw Data'!L522="","No Coupon",'Raw Data'!L522)</f>
        <v>No Coupon</v>
      </c>
      <c r="M522" s="4" t="str">
        <f>'Raw Data'!M522</f>
        <v>Referral</v>
      </c>
      <c r="N522" s="4">
        <f>'Raw Data'!N522</f>
        <v>1907.94</v>
      </c>
    </row>
    <row r="523" spans="1:14" ht="15" customHeight="1" x14ac:dyDescent="0.2">
      <c r="A523" s="4" t="str">
        <f>'Raw Data'!A523</f>
        <v>ORD200521</v>
      </c>
      <c r="B523" s="6">
        <f>'Raw Data'!B523</f>
        <v>45347</v>
      </c>
      <c r="C523" s="4" t="str">
        <f>'Raw Data'!C523</f>
        <v>C82318</v>
      </c>
      <c r="D523" s="4" t="str">
        <f>'Raw Data'!D523</f>
        <v>Phone</v>
      </c>
      <c r="E523" s="4">
        <f>'Raw Data'!E523</f>
        <v>1</v>
      </c>
      <c r="F523" s="4">
        <f>'Raw Data'!F523</f>
        <v>528.05999999999995</v>
      </c>
      <c r="G523" s="4" t="str">
        <f>'Raw Data'!G523</f>
        <v>991 Main St</v>
      </c>
      <c r="H523" s="4" t="str">
        <f>'Raw Data'!H523</f>
        <v>Credit Card</v>
      </c>
      <c r="I523" s="4" t="str">
        <f>'Raw Data'!I523</f>
        <v>Shipped</v>
      </c>
      <c r="J523" s="4" t="str">
        <f>'Raw Data'!J523</f>
        <v>TRK37534165</v>
      </c>
      <c r="K523" s="4">
        <f>'Raw Data'!K523</f>
        <v>2</v>
      </c>
      <c r="L523" s="4" t="str">
        <f>IF('Raw Data'!L523="","No Coupon",'Raw Data'!L523)</f>
        <v>No Coupon</v>
      </c>
      <c r="M523" s="4" t="str">
        <f>'Raw Data'!M523</f>
        <v>Facebook</v>
      </c>
      <c r="N523" s="4">
        <f>'Raw Data'!N523</f>
        <v>528.05999999999995</v>
      </c>
    </row>
    <row r="524" spans="1:14" ht="15" customHeight="1" x14ac:dyDescent="0.2">
      <c r="A524" s="4" t="str">
        <f>'Raw Data'!A524</f>
        <v>ORD200522</v>
      </c>
      <c r="B524" s="6">
        <f>'Raw Data'!B524</f>
        <v>45402</v>
      </c>
      <c r="C524" s="4" t="str">
        <f>'Raw Data'!C524</f>
        <v>C66254</v>
      </c>
      <c r="D524" s="4" t="str">
        <f>'Raw Data'!D524</f>
        <v>Chair</v>
      </c>
      <c r="E524" s="4">
        <f>'Raw Data'!E524</f>
        <v>1</v>
      </c>
      <c r="F524" s="4">
        <f>'Raw Data'!F524</f>
        <v>515.32000000000005</v>
      </c>
      <c r="G524" s="4" t="str">
        <f>'Raw Data'!G524</f>
        <v>740 Main St</v>
      </c>
      <c r="H524" s="4" t="str">
        <f>'Raw Data'!H524</f>
        <v>Gift Card</v>
      </c>
      <c r="I524" s="4" t="str">
        <f>'Raw Data'!I524</f>
        <v>Cancelled</v>
      </c>
      <c r="J524" s="4" t="str">
        <f>'Raw Data'!J524</f>
        <v>TRK82843861</v>
      </c>
      <c r="K524" s="4">
        <f>'Raw Data'!K524</f>
        <v>1</v>
      </c>
      <c r="L524" s="4" t="str">
        <f>IF('Raw Data'!L524="","No Coupon",'Raw Data'!L524)</f>
        <v>FREESHIP</v>
      </c>
      <c r="M524" s="4" t="str">
        <f>'Raw Data'!M524</f>
        <v>Email</v>
      </c>
      <c r="N524" s="4">
        <f>'Raw Data'!N524</f>
        <v>515.32000000000005</v>
      </c>
    </row>
    <row r="525" spans="1:14" ht="15" customHeight="1" x14ac:dyDescent="0.2">
      <c r="A525" s="4" t="str">
        <f>'Raw Data'!A525</f>
        <v>ORD200523</v>
      </c>
      <c r="B525" s="6">
        <f>'Raw Data'!B525</f>
        <v>45706</v>
      </c>
      <c r="C525" s="4" t="str">
        <f>'Raw Data'!C525</f>
        <v>C65083</v>
      </c>
      <c r="D525" s="4" t="str">
        <f>'Raw Data'!D525</f>
        <v>Desk</v>
      </c>
      <c r="E525" s="4">
        <f>'Raw Data'!E525</f>
        <v>4</v>
      </c>
      <c r="F525" s="4">
        <f>'Raw Data'!F525</f>
        <v>657.79</v>
      </c>
      <c r="G525" s="4" t="str">
        <f>'Raw Data'!G525</f>
        <v>652 Main St</v>
      </c>
      <c r="H525" s="4" t="str">
        <f>'Raw Data'!H525</f>
        <v>Credit Card</v>
      </c>
      <c r="I525" s="4" t="str">
        <f>'Raw Data'!I525</f>
        <v>Returned</v>
      </c>
      <c r="J525" s="4" t="str">
        <f>'Raw Data'!J525</f>
        <v>TRK60937148</v>
      </c>
      <c r="K525" s="4">
        <f>'Raw Data'!K525</f>
        <v>6</v>
      </c>
      <c r="L525" s="4" t="str">
        <f>IF('Raw Data'!L525="","No Coupon",'Raw Data'!L525)</f>
        <v>WINTER15</v>
      </c>
      <c r="M525" s="4" t="str">
        <f>'Raw Data'!M525</f>
        <v>Google</v>
      </c>
      <c r="N525" s="4">
        <f>'Raw Data'!N525</f>
        <v>2631.16</v>
      </c>
    </row>
    <row r="526" spans="1:14" ht="15" customHeight="1" x14ac:dyDescent="0.2">
      <c r="A526" s="4" t="str">
        <f>'Raw Data'!A526</f>
        <v>ORD200524</v>
      </c>
      <c r="B526" s="6">
        <f>'Raw Data'!B526</f>
        <v>45224</v>
      </c>
      <c r="C526" s="4" t="str">
        <f>'Raw Data'!C526</f>
        <v>C44778</v>
      </c>
      <c r="D526" s="4" t="str">
        <f>'Raw Data'!D526</f>
        <v>Phone</v>
      </c>
      <c r="E526" s="4">
        <f>'Raw Data'!E526</f>
        <v>1</v>
      </c>
      <c r="F526" s="4">
        <f>'Raw Data'!F526</f>
        <v>153</v>
      </c>
      <c r="G526" s="4" t="str">
        <f>'Raw Data'!G526</f>
        <v>103 Main St</v>
      </c>
      <c r="H526" s="4" t="str">
        <f>'Raw Data'!H526</f>
        <v>Credit Card</v>
      </c>
      <c r="I526" s="4" t="str">
        <f>'Raw Data'!I526</f>
        <v>Returned</v>
      </c>
      <c r="J526" s="4" t="str">
        <f>'Raw Data'!J526</f>
        <v>TRK92617366</v>
      </c>
      <c r="K526" s="4">
        <f>'Raw Data'!K526</f>
        <v>4</v>
      </c>
      <c r="L526" s="4" t="str">
        <f>IF('Raw Data'!L526="","No Coupon",'Raw Data'!L526)</f>
        <v>No Coupon</v>
      </c>
      <c r="M526" s="4" t="str">
        <f>'Raw Data'!M526</f>
        <v>Referral</v>
      </c>
      <c r="N526" s="4">
        <f>'Raw Data'!N526</f>
        <v>153</v>
      </c>
    </row>
    <row r="527" spans="1:14" ht="15" customHeight="1" x14ac:dyDescent="0.2">
      <c r="A527" s="4" t="str">
        <f>'Raw Data'!A527</f>
        <v>ORD200525</v>
      </c>
      <c r="B527" s="6">
        <f>'Raw Data'!B527</f>
        <v>45263</v>
      </c>
      <c r="C527" s="4" t="str">
        <f>'Raw Data'!C527</f>
        <v>C54499</v>
      </c>
      <c r="D527" s="4" t="str">
        <f>'Raw Data'!D527</f>
        <v>Monitor</v>
      </c>
      <c r="E527" s="4">
        <f>'Raw Data'!E527</f>
        <v>1</v>
      </c>
      <c r="F527" s="4">
        <f>'Raw Data'!F527</f>
        <v>668.48</v>
      </c>
      <c r="G527" s="4" t="str">
        <f>'Raw Data'!G527</f>
        <v>160 Main St</v>
      </c>
      <c r="H527" s="4" t="str">
        <f>'Raw Data'!H527</f>
        <v>Debit Card</v>
      </c>
      <c r="I527" s="4" t="str">
        <f>'Raw Data'!I527</f>
        <v>Shipped</v>
      </c>
      <c r="J527" s="4" t="str">
        <f>'Raw Data'!J527</f>
        <v>TRK18061555</v>
      </c>
      <c r="K527" s="4">
        <f>'Raw Data'!K527</f>
        <v>1</v>
      </c>
      <c r="L527" s="4" t="str">
        <f>IF('Raw Data'!L527="","No Coupon",'Raw Data'!L527)</f>
        <v>SAVE10</v>
      </c>
      <c r="M527" s="4" t="str">
        <f>'Raw Data'!M527</f>
        <v>Email</v>
      </c>
      <c r="N527" s="4">
        <f>'Raw Data'!N527</f>
        <v>668.48</v>
      </c>
    </row>
    <row r="528" spans="1:14" ht="15" customHeight="1" x14ac:dyDescent="0.2">
      <c r="A528" s="4" t="str">
        <f>'Raw Data'!A528</f>
        <v>ORD200526</v>
      </c>
      <c r="B528" s="6">
        <f>'Raw Data'!B528</f>
        <v>45351</v>
      </c>
      <c r="C528" s="4" t="str">
        <f>'Raw Data'!C528</f>
        <v>C91201</v>
      </c>
      <c r="D528" s="4" t="str">
        <f>'Raw Data'!D528</f>
        <v>Desk</v>
      </c>
      <c r="E528" s="4">
        <f>'Raw Data'!E528</f>
        <v>2</v>
      </c>
      <c r="F528" s="4">
        <f>'Raw Data'!F528</f>
        <v>46.5</v>
      </c>
      <c r="G528" s="4" t="str">
        <f>'Raw Data'!G528</f>
        <v>837 Main St</v>
      </c>
      <c r="H528" s="4" t="str">
        <f>'Raw Data'!H528</f>
        <v>Cash</v>
      </c>
      <c r="I528" s="4" t="str">
        <f>'Raw Data'!I528</f>
        <v>Returned</v>
      </c>
      <c r="J528" s="4" t="str">
        <f>'Raw Data'!J528</f>
        <v>TRK63526023</v>
      </c>
      <c r="K528" s="4">
        <f>'Raw Data'!K528</f>
        <v>7</v>
      </c>
      <c r="L528" s="4" t="str">
        <f>IF('Raw Data'!L528="","No Coupon",'Raw Data'!L528)</f>
        <v>WINTER15</v>
      </c>
      <c r="M528" s="4" t="str">
        <f>'Raw Data'!M528</f>
        <v>Google</v>
      </c>
      <c r="N528" s="4">
        <f>'Raw Data'!N528</f>
        <v>93</v>
      </c>
    </row>
    <row r="529" spans="1:14" ht="15" customHeight="1" x14ac:dyDescent="0.2">
      <c r="A529" s="4" t="str">
        <f>'Raw Data'!A529</f>
        <v>ORD200527</v>
      </c>
      <c r="B529" s="6">
        <f>'Raw Data'!B529</f>
        <v>45523</v>
      </c>
      <c r="C529" s="4" t="str">
        <f>'Raw Data'!C529</f>
        <v>C27202</v>
      </c>
      <c r="D529" s="4" t="str">
        <f>'Raw Data'!D529</f>
        <v>Chair</v>
      </c>
      <c r="E529" s="4">
        <f>'Raw Data'!E529</f>
        <v>5</v>
      </c>
      <c r="F529" s="4">
        <f>'Raw Data'!F529</f>
        <v>653.47</v>
      </c>
      <c r="G529" s="4" t="str">
        <f>'Raw Data'!G529</f>
        <v>967 Main St</v>
      </c>
      <c r="H529" s="4" t="str">
        <f>'Raw Data'!H529</f>
        <v>Credit Card</v>
      </c>
      <c r="I529" s="4" t="str">
        <f>'Raw Data'!I529</f>
        <v>Cancelled</v>
      </c>
      <c r="J529" s="4" t="str">
        <f>'Raw Data'!J529</f>
        <v>TRK75406128</v>
      </c>
      <c r="K529" s="4">
        <f>'Raw Data'!K529</f>
        <v>10</v>
      </c>
      <c r="L529" s="4" t="str">
        <f>IF('Raw Data'!L529="","No Coupon",'Raw Data'!L529)</f>
        <v>SAVE10</v>
      </c>
      <c r="M529" s="4" t="str">
        <f>'Raw Data'!M529</f>
        <v>Referral</v>
      </c>
      <c r="N529" s="4">
        <f>'Raw Data'!N529</f>
        <v>3267.35</v>
      </c>
    </row>
    <row r="530" spans="1:14" ht="15" customHeight="1" x14ac:dyDescent="0.2">
      <c r="A530" s="4" t="str">
        <f>'Raw Data'!A530</f>
        <v>ORD200528</v>
      </c>
      <c r="B530" s="6">
        <f>'Raw Data'!B530</f>
        <v>45714</v>
      </c>
      <c r="C530" s="4" t="str">
        <f>'Raw Data'!C530</f>
        <v>C32011</v>
      </c>
      <c r="D530" s="4" t="str">
        <f>'Raw Data'!D530</f>
        <v>Chair</v>
      </c>
      <c r="E530" s="4">
        <f>'Raw Data'!E530</f>
        <v>1</v>
      </c>
      <c r="F530" s="4">
        <f>'Raw Data'!F530</f>
        <v>628.89</v>
      </c>
      <c r="G530" s="4" t="str">
        <f>'Raw Data'!G530</f>
        <v>686 Main St</v>
      </c>
      <c r="H530" s="4" t="str">
        <f>'Raw Data'!H530</f>
        <v>Credit Card</v>
      </c>
      <c r="I530" s="4" t="str">
        <f>'Raw Data'!I530</f>
        <v>Returned</v>
      </c>
      <c r="J530" s="4" t="str">
        <f>'Raw Data'!J530</f>
        <v>TRK70997744</v>
      </c>
      <c r="K530" s="4">
        <f>'Raw Data'!K530</f>
        <v>2</v>
      </c>
      <c r="L530" s="4" t="str">
        <f>IF('Raw Data'!L530="","No Coupon",'Raw Data'!L530)</f>
        <v>SAVE10</v>
      </c>
      <c r="M530" s="4" t="str">
        <f>'Raw Data'!M530</f>
        <v>Referral</v>
      </c>
      <c r="N530" s="4">
        <f>'Raw Data'!N530</f>
        <v>628.89</v>
      </c>
    </row>
    <row r="531" spans="1:14" ht="15" customHeight="1" x14ac:dyDescent="0.2">
      <c r="A531" s="4" t="str">
        <f>'Raw Data'!A531</f>
        <v>ORD200529</v>
      </c>
      <c r="B531" s="6">
        <f>'Raw Data'!B531</f>
        <v>45389</v>
      </c>
      <c r="C531" s="4" t="str">
        <f>'Raw Data'!C531</f>
        <v>C21181</v>
      </c>
      <c r="D531" s="4" t="str">
        <f>'Raw Data'!D531</f>
        <v>Tablet</v>
      </c>
      <c r="E531" s="4">
        <f>'Raw Data'!E531</f>
        <v>2</v>
      </c>
      <c r="F531" s="4">
        <f>'Raw Data'!F531</f>
        <v>675.1</v>
      </c>
      <c r="G531" s="4" t="str">
        <f>'Raw Data'!G531</f>
        <v>938 Main St</v>
      </c>
      <c r="H531" s="4" t="str">
        <f>'Raw Data'!H531</f>
        <v>Cash</v>
      </c>
      <c r="I531" s="4" t="str">
        <f>'Raw Data'!I531</f>
        <v>Pending</v>
      </c>
      <c r="J531" s="4" t="str">
        <f>'Raw Data'!J531</f>
        <v>TRK50363421</v>
      </c>
      <c r="K531" s="4">
        <f>'Raw Data'!K531</f>
        <v>4</v>
      </c>
      <c r="L531" s="4" t="str">
        <f>IF('Raw Data'!L531="","No Coupon",'Raw Data'!L531)</f>
        <v>FREESHIP</v>
      </c>
      <c r="M531" s="4" t="str">
        <f>'Raw Data'!M531</f>
        <v>Google</v>
      </c>
      <c r="N531" s="4">
        <f>'Raw Data'!N531</f>
        <v>1350.2</v>
      </c>
    </row>
    <row r="532" spans="1:14" ht="15" customHeight="1" x14ac:dyDescent="0.2">
      <c r="A532" s="4" t="str">
        <f>'Raw Data'!A532</f>
        <v>ORD200530</v>
      </c>
      <c r="B532" s="6">
        <f>'Raw Data'!B532</f>
        <v>45491</v>
      </c>
      <c r="C532" s="4" t="str">
        <f>'Raw Data'!C532</f>
        <v>C98450</v>
      </c>
      <c r="D532" s="4" t="str">
        <f>'Raw Data'!D532</f>
        <v>Chair</v>
      </c>
      <c r="E532" s="4">
        <f>'Raw Data'!E532</f>
        <v>4</v>
      </c>
      <c r="F532" s="4">
        <f>'Raw Data'!F532</f>
        <v>89.41</v>
      </c>
      <c r="G532" s="4" t="str">
        <f>'Raw Data'!G532</f>
        <v>613 Main St</v>
      </c>
      <c r="H532" s="4" t="str">
        <f>'Raw Data'!H532</f>
        <v>Online</v>
      </c>
      <c r="I532" s="4" t="str">
        <f>'Raw Data'!I532</f>
        <v>Pending</v>
      </c>
      <c r="J532" s="4" t="str">
        <f>'Raw Data'!J532</f>
        <v>TRK14809530</v>
      </c>
      <c r="K532" s="4">
        <f>'Raw Data'!K532</f>
        <v>9</v>
      </c>
      <c r="L532" s="4" t="str">
        <f>IF('Raw Data'!L532="","No Coupon",'Raw Data'!L532)</f>
        <v>No Coupon</v>
      </c>
      <c r="M532" s="4" t="str">
        <f>'Raw Data'!M532</f>
        <v>Google</v>
      </c>
      <c r="N532" s="4">
        <f>'Raw Data'!N532</f>
        <v>357.64</v>
      </c>
    </row>
    <row r="533" spans="1:14" ht="15" customHeight="1" x14ac:dyDescent="0.2">
      <c r="A533" s="4" t="str">
        <f>'Raw Data'!A533</f>
        <v>ORD200531</v>
      </c>
      <c r="B533" s="6">
        <f>'Raw Data'!B533</f>
        <v>45475</v>
      </c>
      <c r="C533" s="4" t="str">
        <f>'Raw Data'!C533</f>
        <v>C64502</v>
      </c>
      <c r="D533" s="4" t="str">
        <f>'Raw Data'!D533</f>
        <v>Desk</v>
      </c>
      <c r="E533" s="4">
        <f>'Raw Data'!E533</f>
        <v>5</v>
      </c>
      <c r="F533" s="4">
        <f>'Raw Data'!F533</f>
        <v>320.01</v>
      </c>
      <c r="G533" s="4" t="str">
        <f>'Raw Data'!G533</f>
        <v>722 Main St</v>
      </c>
      <c r="H533" s="4" t="str">
        <f>'Raw Data'!H533</f>
        <v>Gift Card</v>
      </c>
      <c r="I533" s="4" t="str">
        <f>'Raw Data'!I533</f>
        <v>Delivered</v>
      </c>
      <c r="J533" s="4" t="str">
        <f>'Raw Data'!J533</f>
        <v>TRK14914388</v>
      </c>
      <c r="K533" s="4">
        <f>'Raw Data'!K533</f>
        <v>6</v>
      </c>
      <c r="L533" s="4" t="str">
        <f>IF('Raw Data'!L533="","No Coupon",'Raw Data'!L533)</f>
        <v>No Coupon</v>
      </c>
      <c r="M533" s="4" t="str">
        <f>'Raw Data'!M533</f>
        <v>Referral</v>
      </c>
      <c r="N533" s="4">
        <f>'Raw Data'!N533</f>
        <v>1600.05</v>
      </c>
    </row>
    <row r="534" spans="1:14" ht="15" customHeight="1" x14ac:dyDescent="0.2">
      <c r="A534" s="4" t="str">
        <f>'Raw Data'!A534</f>
        <v>ORD200532</v>
      </c>
      <c r="B534" s="6">
        <f>'Raw Data'!B534</f>
        <v>45780</v>
      </c>
      <c r="C534" s="4" t="str">
        <f>'Raw Data'!C534</f>
        <v>C47365</v>
      </c>
      <c r="D534" s="4" t="str">
        <f>'Raw Data'!D534</f>
        <v>Laptop</v>
      </c>
      <c r="E534" s="4">
        <f>'Raw Data'!E534</f>
        <v>2</v>
      </c>
      <c r="F534" s="4">
        <f>'Raw Data'!F534</f>
        <v>41</v>
      </c>
      <c r="G534" s="4" t="str">
        <f>'Raw Data'!G534</f>
        <v>369 Main St</v>
      </c>
      <c r="H534" s="4" t="str">
        <f>'Raw Data'!H534</f>
        <v>Online</v>
      </c>
      <c r="I534" s="4" t="str">
        <f>'Raw Data'!I534</f>
        <v>Delivered</v>
      </c>
      <c r="J534" s="4" t="str">
        <f>'Raw Data'!J534</f>
        <v>TRK42207882</v>
      </c>
      <c r="K534" s="4">
        <f>'Raw Data'!K534</f>
        <v>7</v>
      </c>
      <c r="L534" s="4" t="str">
        <f>IF('Raw Data'!L534="","No Coupon",'Raw Data'!L534)</f>
        <v>No Coupon</v>
      </c>
      <c r="M534" s="4" t="str">
        <f>'Raw Data'!M534</f>
        <v>Email</v>
      </c>
      <c r="N534" s="4">
        <f>'Raw Data'!N534</f>
        <v>82</v>
      </c>
    </row>
    <row r="535" spans="1:14" ht="15" customHeight="1" x14ac:dyDescent="0.2">
      <c r="A535" s="4" t="str">
        <f>'Raw Data'!A535</f>
        <v>ORD200533</v>
      </c>
      <c r="B535" s="6">
        <f>'Raw Data'!B535</f>
        <v>44990</v>
      </c>
      <c r="C535" s="4" t="str">
        <f>'Raw Data'!C535</f>
        <v>C66349</v>
      </c>
      <c r="D535" s="4" t="str">
        <f>'Raw Data'!D535</f>
        <v>Desk</v>
      </c>
      <c r="E535" s="4">
        <f>'Raw Data'!E535</f>
        <v>1</v>
      </c>
      <c r="F535" s="4">
        <f>'Raw Data'!F535</f>
        <v>565.85</v>
      </c>
      <c r="G535" s="4" t="str">
        <f>'Raw Data'!G535</f>
        <v>715 Main St</v>
      </c>
      <c r="H535" s="4" t="str">
        <f>'Raw Data'!H535</f>
        <v>Gift Card</v>
      </c>
      <c r="I535" s="4" t="str">
        <f>'Raw Data'!I535</f>
        <v>Returned</v>
      </c>
      <c r="J535" s="4" t="str">
        <f>'Raw Data'!J535</f>
        <v>TRK63550793</v>
      </c>
      <c r="K535" s="4">
        <f>'Raw Data'!K535</f>
        <v>1</v>
      </c>
      <c r="L535" s="4" t="str">
        <f>IF('Raw Data'!L535="","No Coupon",'Raw Data'!L535)</f>
        <v>FREESHIP</v>
      </c>
      <c r="M535" s="4" t="str">
        <f>'Raw Data'!M535</f>
        <v>Facebook</v>
      </c>
      <c r="N535" s="4">
        <f>'Raw Data'!N535</f>
        <v>565.85</v>
      </c>
    </row>
    <row r="536" spans="1:14" ht="15" customHeight="1" x14ac:dyDescent="0.2">
      <c r="A536" s="4" t="str">
        <f>'Raw Data'!A536</f>
        <v>ORD200534</v>
      </c>
      <c r="B536" s="6">
        <f>'Raw Data'!B536</f>
        <v>45449</v>
      </c>
      <c r="C536" s="4" t="str">
        <f>'Raw Data'!C536</f>
        <v>C73289</v>
      </c>
      <c r="D536" s="4" t="str">
        <f>'Raw Data'!D536</f>
        <v>Chair</v>
      </c>
      <c r="E536" s="4">
        <f>'Raw Data'!E536</f>
        <v>3</v>
      </c>
      <c r="F536" s="4">
        <f>'Raw Data'!F536</f>
        <v>648.59</v>
      </c>
      <c r="G536" s="4" t="str">
        <f>'Raw Data'!G536</f>
        <v>906 Main St</v>
      </c>
      <c r="H536" s="4" t="str">
        <f>'Raw Data'!H536</f>
        <v>Debit Card</v>
      </c>
      <c r="I536" s="4" t="str">
        <f>'Raw Data'!I536</f>
        <v>Cancelled</v>
      </c>
      <c r="J536" s="4" t="str">
        <f>'Raw Data'!J536</f>
        <v>TRK70872738</v>
      </c>
      <c r="K536" s="4">
        <f>'Raw Data'!K536</f>
        <v>4</v>
      </c>
      <c r="L536" s="4" t="str">
        <f>IF('Raw Data'!L536="","No Coupon",'Raw Data'!L536)</f>
        <v>SAVE10</v>
      </c>
      <c r="M536" s="4" t="str">
        <f>'Raw Data'!M536</f>
        <v>Email</v>
      </c>
      <c r="N536" s="4">
        <f>'Raw Data'!N536</f>
        <v>1945.77</v>
      </c>
    </row>
    <row r="537" spans="1:14" ht="15" customHeight="1" x14ac:dyDescent="0.2">
      <c r="A537" s="4" t="str">
        <f>'Raw Data'!A537</f>
        <v>ORD200535</v>
      </c>
      <c r="B537" s="6">
        <f>'Raw Data'!B537</f>
        <v>45497</v>
      </c>
      <c r="C537" s="4" t="str">
        <f>'Raw Data'!C537</f>
        <v>C48649</v>
      </c>
      <c r="D537" s="4" t="str">
        <f>'Raw Data'!D537</f>
        <v>Monitor</v>
      </c>
      <c r="E537" s="4">
        <f>'Raw Data'!E537</f>
        <v>3</v>
      </c>
      <c r="F537" s="4">
        <f>'Raw Data'!F537</f>
        <v>68.12</v>
      </c>
      <c r="G537" s="4" t="str">
        <f>'Raw Data'!G537</f>
        <v>332 Main St</v>
      </c>
      <c r="H537" s="4" t="str">
        <f>'Raw Data'!H537</f>
        <v>Online</v>
      </c>
      <c r="I537" s="4" t="str">
        <f>'Raw Data'!I537</f>
        <v>Cancelled</v>
      </c>
      <c r="J537" s="4" t="str">
        <f>'Raw Data'!J537</f>
        <v>TRK45821445</v>
      </c>
      <c r="K537" s="4">
        <f>'Raw Data'!K537</f>
        <v>3</v>
      </c>
      <c r="L537" s="4" t="str">
        <f>IF('Raw Data'!L537="","No Coupon",'Raw Data'!L537)</f>
        <v>FREESHIP</v>
      </c>
      <c r="M537" s="4" t="str">
        <f>'Raw Data'!M537</f>
        <v>Email</v>
      </c>
      <c r="N537" s="4">
        <f>'Raw Data'!N537</f>
        <v>204.36</v>
      </c>
    </row>
    <row r="538" spans="1:14" ht="15" customHeight="1" x14ac:dyDescent="0.2">
      <c r="A538" s="4" t="str">
        <f>'Raw Data'!A538</f>
        <v>ORD200536</v>
      </c>
      <c r="B538" s="6">
        <f>'Raw Data'!B538</f>
        <v>45452</v>
      </c>
      <c r="C538" s="4" t="str">
        <f>'Raw Data'!C538</f>
        <v>C18724</v>
      </c>
      <c r="D538" s="4" t="str">
        <f>'Raw Data'!D538</f>
        <v>Chair</v>
      </c>
      <c r="E538" s="4">
        <f>'Raw Data'!E538</f>
        <v>1</v>
      </c>
      <c r="F538" s="4">
        <f>'Raw Data'!F538</f>
        <v>616.1</v>
      </c>
      <c r="G538" s="4" t="str">
        <f>'Raw Data'!G538</f>
        <v>124 Main St</v>
      </c>
      <c r="H538" s="4" t="str">
        <f>'Raw Data'!H538</f>
        <v>Cash</v>
      </c>
      <c r="I538" s="4" t="str">
        <f>'Raw Data'!I538</f>
        <v>Returned</v>
      </c>
      <c r="J538" s="4" t="str">
        <f>'Raw Data'!J538</f>
        <v>TRK52508861</v>
      </c>
      <c r="K538" s="4">
        <f>'Raw Data'!K538</f>
        <v>6</v>
      </c>
      <c r="L538" s="4" t="str">
        <f>IF('Raw Data'!L538="","No Coupon",'Raw Data'!L538)</f>
        <v>No Coupon</v>
      </c>
      <c r="M538" s="4" t="str">
        <f>'Raw Data'!M538</f>
        <v>Email</v>
      </c>
      <c r="N538" s="4">
        <f>'Raw Data'!N538</f>
        <v>616.1</v>
      </c>
    </row>
    <row r="539" spans="1:14" ht="15" customHeight="1" x14ac:dyDescent="0.2">
      <c r="A539" s="4" t="str">
        <f>'Raw Data'!A539</f>
        <v>ORD200537</v>
      </c>
      <c r="B539" s="6">
        <f>'Raw Data'!B539</f>
        <v>45739</v>
      </c>
      <c r="C539" s="4" t="str">
        <f>'Raw Data'!C539</f>
        <v>C68553</v>
      </c>
      <c r="D539" s="4" t="str">
        <f>'Raw Data'!D539</f>
        <v>Tablet</v>
      </c>
      <c r="E539" s="4">
        <f>'Raw Data'!E539</f>
        <v>3</v>
      </c>
      <c r="F539" s="4">
        <f>'Raw Data'!F539</f>
        <v>247.47</v>
      </c>
      <c r="G539" s="4" t="str">
        <f>'Raw Data'!G539</f>
        <v>385 Main St</v>
      </c>
      <c r="H539" s="4" t="str">
        <f>'Raw Data'!H539</f>
        <v>Online</v>
      </c>
      <c r="I539" s="4" t="str">
        <f>'Raw Data'!I539</f>
        <v>Delivered</v>
      </c>
      <c r="J539" s="4" t="str">
        <f>'Raw Data'!J539</f>
        <v>TRK58218971</v>
      </c>
      <c r="K539" s="4">
        <f>'Raw Data'!K539</f>
        <v>4</v>
      </c>
      <c r="L539" s="4" t="str">
        <f>IF('Raw Data'!L539="","No Coupon",'Raw Data'!L539)</f>
        <v>SAVE10</v>
      </c>
      <c r="M539" s="4" t="str">
        <f>'Raw Data'!M539</f>
        <v>Facebook</v>
      </c>
      <c r="N539" s="4">
        <f>'Raw Data'!N539</f>
        <v>742.41</v>
      </c>
    </row>
    <row r="540" spans="1:14" ht="15" customHeight="1" x14ac:dyDescent="0.2">
      <c r="A540" s="4" t="str">
        <f>'Raw Data'!A540</f>
        <v>ORD200538</v>
      </c>
      <c r="B540" s="6">
        <f>'Raw Data'!B540</f>
        <v>45436</v>
      </c>
      <c r="C540" s="4" t="str">
        <f>'Raw Data'!C540</f>
        <v>C61280</v>
      </c>
      <c r="D540" s="4" t="str">
        <f>'Raw Data'!D540</f>
        <v>Phone</v>
      </c>
      <c r="E540" s="4">
        <f>'Raw Data'!E540</f>
        <v>3</v>
      </c>
      <c r="F540" s="4">
        <f>'Raw Data'!F540</f>
        <v>490.74</v>
      </c>
      <c r="G540" s="4" t="str">
        <f>'Raw Data'!G540</f>
        <v>100 Main St</v>
      </c>
      <c r="H540" s="4" t="str">
        <f>'Raw Data'!H540</f>
        <v>Cash</v>
      </c>
      <c r="I540" s="4" t="str">
        <f>'Raw Data'!I540</f>
        <v>Shipped</v>
      </c>
      <c r="J540" s="4" t="str">
        <f>'Raw Data'!J540</f>
        <v>TRK95487711</v>
      </c>
      <c r="K540" s="4">
        <f>'Raw Data'!K540</f>
        <v>3</v>
      </c>
      <c r="L540" s="4" t="str">
        <f>IF('Raw Data'!L540="","No Coupon",'Raw Data'!L540)</f>
        <v>WINTER15</v>
      </c>
      <c r="M540" s="4" t="str">
        <f>'Raw Data'!M540</f>
        <v>Email</v>
      </c>
      <c r="N540" s="4">
        <f>'Raw Data'!N540</f>
        <v>1472.22</v>
      </c>
    </row>
    <row r="541" spans="1:14" ht="15" customHeight="1" x14ac:dyDescent="0.2">
      <c r="A541" s="4" t="str">
        <f>'Raw Data'!A541</f>
        <v>ORD200539</v>
      </c>
      <c r="B541" s="6">
        <f>'Raw Data'!B541</f>
        <v>45706</v>
      </c>
      <c r="C541" s="4" t="str">
        <f>'Raw Data'!C541</f>
        <v>C53277</v>
      </c>
      <c r="D541" s="4" t="str">
        <f>'Raw Data'!D541</f>
        <v>Desk</v>
      </c>
      <c r="E541" s="4">
        <f>'Raw Data'!E541</f>
        <v>3</v>
      </c>
      <c r="F541" s="4">
        <f>'Raw Data'!F541</f>
        <v>531.72</v>
      </c>
      <c r="G541" s="4" t="str">
        <f>'Raw Data'!G541</f>
        <v>473 Main St</v>
      </c>
      <c r="H541" s="4" t="str">
        <f>'Raw Data'!H541</f>
        <v>Gift Card</v>
      </c>
      <c r="I541" s="4" t="str">
        <f>'Raw Data'!I541</f>
        <v>Delivered</v>
      </c>
      <c r="J541" s="4" t="str">
        <f>'Raw Data'!J541</f>
        <v>TRK17653832</v>
      </c>
      <c r="K541" s="4">
        <f>'Raw Data'!K541</f>
        <v>7</v>
      </c>
      <c r="L541" s="4" t="str">
        <f>IF('Raw Data'!L541="","No Coupon",'Raw Data'!L541)</f>
        <v>SAVE10</v>
      </c>
      <c r="M541" s="4" t="str">
        <f>'Raw Data'!M541</f>
        <v>Google</v>
      </c>
      <c r="N541" s="4">
        <f>'Raw Data'!N541</f>
        <v>1595.16</v>
      </c>
    </row>
    <row r="542" spans="1:14" ht="15" customHeight="1" x14ac:dyDescent="0.2">
      <c r="A542" s="4" t="str">
        <f>'Raw Data'!A542</f>
        <v>ORD200540</v>
      </c>
      <c r="B542" s="6">
        <f>'Raw Data'!B542</f>
        <v>45320</v>
      </c>
      <c r="C542" s="4" t="str">
        <f>'Raw Data'!C542</f>
        <v>C87281</v>
      </c>
      <c r="D542" s="4" t="str">
        <f>'Raw Data'!D542</f>
        <v>Laptop</v>
      </c>
      <c r="E542" s="4">
        <f>'Raw Data'!E542</f>
        <v>5</v>
      </c>
      <c r="F542" s="4">
        <f>'Raw Data'!F542</f>
        <v>648.65</v>
      </c>
      <c r="G542" s="4" t="str">
        <f>'Raw Data'!G542</f>
        <v>852 Main St</v>
      </c>
      <c r="H542" s="4" t="str">
        <f>'Raw Data'!H542</f>
        <v>Online</v>
      </c>
      <c r="I542" s="4" t="str">
        <f>'Raw Data'!I542</f>
        <v>Pending</v>
      </c>
      <c r="J542" s="4" t="str">
        <f>'Raw Data'!J542</f>
        <v>TRK81765057</v>
      </c>
      <c r="K542" s="4">
        <f>'Raw Data'!K542</f>
        <v>7</v>
      </c>
      <c r="L542" s="4" t="str">
        <f>IF('Raw Data'!L542="","No Coupon",'Raw Data'!L542)</f>
        <v>No Coupon</v>
      </c>
      <c r="M542" s="4" t="str">
        <f>'Raw Data'!M542</f>
        <v>Referral</v>
      </c>
      <c r="N542" s="4">
        <f>'Raw Data'!N542</f>
        <v>3243.25</v>
      </c>
    </row>
    <row r="543" spans="1:14" ht="15" customHeight="1" x14ac:dyDescent="0.2">
      <c r="A543" s="4" t="str">
        <f>'Raw Data'!A543</f>
        <v>ORD200541</v>
      </c>
      <c r="B543" s="6">
        <f>'Raw Data'!B543</f>
        <v>45145</v>
      </c>
      <c r="C543" s="4" t="str">
        <f>'Raw Data'!C543</f>
        <v>C69009</v>
      </c>
      <c r="D543" s="4" t="str">
        <f>'Raw Data'!D543</f>
        <v>Printer</v>
      </c>
      <c r="E543" s="4">
        <f>'Raw Data'!E543</f>
        <v>5</v>
      </c>
      <c r="F543" s="4">
        <f>'Raw Data'!F543</f>
        <v>456.06</v>
      </c>
      <c r="G543" s="4" t="str">
        <f>'Raw Data'!G543</f>
        <v>879 Main St</v>
      </c>
      <c r="H543" s="4" t="str">
        <f>'Raw Data'!H543</f>
        <v>Cash</v>
      </c>
      <c r="I543" s="4" t="str">
        <f>'Raw Data'!I543</f>
        <v>Pending</v>
      </c>
      <c r="J543" s="4" t="str">
        <f>'Raw Data'!J543</f>
        <v>TRK61295842</v>
      </c>
      <c r="K543" s="4">
        <f>'Raw Data'!K543</f>
        <v>10</v>
      </c>
      <c r="L543" s="4" t="str">
        <f>IF('Raw Data'!L543="","No Coupon",'Raw Data'!L543)</f>
        <v>No Coupon</v>
      </c>
      <c r="M543" s="4" t="str">
        <f>'Raw Data'!M543</f>
        <v>Instagram</v>
      </c>
      <c r="N543" s="4">
        <f>'Raw Data'!N543</f>
        <v>2280.3000000000002</v>
      </c>
    </row>
    <row r="544" spans="1:14" ht="15" customHeight="1" x14ac:dyDescent="0.2">
      <c r="A544" s="4" t="str">
        <f>'Raw Data'!A544</f>
        <v>ORD200542</v>
      </c>
      <c r="B544" s="6">
        <f>'Raw Data'!B544</f>
        <v>45244</v>
      </c>
      <c r="C544" s="4" t="str">
        <f>'Raw Data'!C544</f>
        <v>C49726</v>
      </c>
      <c r="D544" s="4" t="str">
        <f>'Raw Data'!D544</f>
        <v>Tablet</v>
      </c>
      <c r="E544" s="4">
        <f>'Raw Data'!E544</f>
        <v>1</v>
      </c>
      <c r="F544" s="4">
        <f>'Raw Data'!F544</f>
        <v>17.98</v>
      </c>
      <c r="G544" s="4" t="str">
        <f>'Raw Data'!G544</f>
        <v>934 Main St</v>
      </c>
      <c r="H544" s="4" t="str">
        <f>'Raw Data'!H544</f>
        <v>Cash</v>
      </c>
      <c r="I544" s="4" t="str">
        <f>'Raw Data'!I544</f>
        <v>Cancelled</v>
      </c>
      <c r="J544" s="4" t="str">
        <f>'Raw Data'!J544</f>
        <v>TRK20739460</v>
      </c>
      <c r="K544" s="4">
        <f>'Raw Data'!K544</f>
        <v>6</v>
      </c>
      <c r="L544" s="4" t="str">
        <f>IF('Raw Data'!L544="","No Coupon",'Raw Data'!L544)</f>
        <v>FREESHIP</v>
      </c>
      <c r="M544" s="4" t="str">
        <f>'Raw Data'!M544</f>
        <v>Email</v>
      </c>
      <c r="N544" s="4">
        <f>'Raw Data'!N544</f>
        <v>17.98</v>
      </c>
    </row>
    <row r="545" spans="1:14" ht="15" customHeight="1" x14ac:dyDescent="0.2">
      <c r="A545" s="4" t="str">
        <f>'Raw Data'!A545</f>
        <v>ORD200543</v>
      </c>
      <c r="B545" s="6">
        <f>'Raw Data'!B545</f>
        <v>45360</v>
      </c>
      <c r="C545" s="4" t="str">
        <f>'Raw Data'!C545</f>
        <v>C37531</v>
      </c>
      <c r="D545" s="4" t="str">
        <f>'Raw Data'!D545</f>
        <v>Desk</v>
      </c>
      <c r="E545" s="4">
        <f>'Raw Data'!E545</f>
        <v>5</v>
      </c>
      <c r="F545" s="4">
        <f>'Raw Data'!F545</f>
        <v>269.86</v>
      </c>
      <c r="G545" s="4" t="str">
        <f>'Raw Data'!G545</f>
        <v>354 Main St</v>
      </c>
      <c r="H545" s="4" t="str">
        <f>'Raw Data'!H545</f>
        <v>Cash</v>
      </c>
      <c r="I545" s="4" t="str">
        <f>'Raw Data'!I545</f>
        <v>Shipped</v>
      </c>
      <c r="J545" s="4" t="str">
        <f>'Raw Data'!J545</f>
        <v>TRK93877673</v>
      </c>
      <c r="K545" s="4">
        <f>'Raw Data'!K545</f>
        <v>6</v>
      </c>
      <c r="L545" s="4" t="str">
        <f>IF('Raw Data'!L545="","No Coupon",'Raw Data'!L545)</f>
        <v>WINTER15</v>
      </c>
      <c r="M545" s="4" t="str">
        <f>'Raw Data'!M545</f>
        <v>Facebook</v>
      </c>
      <c r="N545" s="4">
        <f>'Raw Data'!N545</f>
        <v>1349.3</v>
      </c>
    </row>
    <row r="546" spans="1:14" ht="15" customHeight="1" x14ac:dyDescent="0.2">
      <c r="A546" s="4" t="str">
        <f>'Raw Data'!A546</f>
        <v>ORD200544</v>
      </c>
      <c r="B546" s="6">
        <f>'Raw Data'!B546</f>
        <v>45361</v>
      </c>
      <c r="C546" s="4" t="str">
        <f>'Raw Data'!C546</f>
        <v>C48713</v>
      </c>
      <c r="D546" s="4" t="str">
        <f>'Raw Data'!D546</f>
        <v>Printer</v>
      </c>
      <c r="E546" s="4">
        <f>'Raw Data'!E546</f>
        <v>5</v>
      </c>
      <c r="F546" s="4">
        <f>'Raw Data'!F546</f>
        <v>31.96</v>
      </c>
      <c r="G546" s="4" t="str">
        <f>'Raw Data'!G546</f>
        <v>373 Main St</v>
      </c>
      <c r="H546" s="4" t="str">
        <f>'Raw Data'!H546</f>
        <v>Credit Card</v>
      </c>
      <c r="I546" s="4" t="str">
        <f>'Raw Data'!I546</f>
        <v>Returned</v>
      </c>
      <c r="J546" s="4" t="str">
        <f>'Raw Data'!J546</f>
        <v>TRK96334419</v>
      </c>
      <c r="K546" s="4">
        <f>'Raw Data'!K546</f>
        <v>5</v>
      </c>
      <c r="L546" s="4" t="str">
        <f>IF('Raw Data'!L546="","No Coupon",'Raw Data'!L546)</f>
        <v>FREESHIP</v>
      </c>
      <c r="M546" s="4" t="str">
        <f>'Raw Data'!M546</f>
        <v>Referral</v>
      </c>
      <c r="N546" s="4">
        <f>'Raw Data'!N546</f>
        <v>159.80000000000001</v>
      </c>
    </row>
    <row r="547" spans="1:14" ht="15" customHeight="1" x14ac:dyDescent="0.2">
      <c r="A547" s="4" t="str">
        <f>'Raw Data'!A547</f>
        <v>ORD200545</v>
      </c>
      <c r="B547" s="6">
        <f>'Raw Data'!B547</f>
        <v>45279</v>
      </c>
      <c r="C547" s="4" t="str">
        <f>'Raw Data'!C547</f>
        <v>C74138</v>
      </c>
      <c r="D547" s="4" t="str">
        <f>'Raw Data'!D547</f>
        <v>Monitor</v>
      </c>
      <c r="E547" s="4">
        <f>'Raw Data'!E547</f>
        <v>2</v>
      </c>
      <c r="F547" s="4">
        <f>'Raw Data'!F547</f>
        <v>98.47</v>
      </c>
      <c r="G547" s="4" t="str">
        <f>'Raw Data'!G547</f>
        <v>964 Main St</v>
      </c>
      <c r="H547" s="4" t="str">
        <f>'Raw Data'!H547</f>
        <v>Cash</v>
      </c>
      <c r="I547" s="4" t="str">
        <f>'Raw Data'!I547</f>
        <v>Returned</v>
      </c>
      <c r="J547" s="4" t="str">
        <f>'Raw Data'!J547</f>
        <v>TRK74091695</v>
      </c>
      <c r="K547" s="4">
        <f>'Raw Data'!K547</f>
        <v>3</v>
      </c>
      <c r="L547" s="4" t="str">
        <f>IF('Raw Data'!L547="","No Coupon",'Raw Data'!L547)</f>
        <v>No Coupon</v>
      </c>
      <c r="M547" s="4" t="str">
        <f>'Raw Data'!M547</f>
        <v>Instagram</v>
      </c>
      <c r="N547" s="4">
        <f>'Raw Data'!N547</f>
        <v>196.94</v>
      </c>
    </row>
    <row r="548" spans="1:14" ht="15" customHeight="1" x14ac:dyDescent="0.2">
      <c r="A548" s="4" t="str">
        <f>'Raw Data'!A548</f>
        <v>ORD200546</v>
      </c>
      <c r="B548" s="6">
        <f>'Raw Data'!B548</f>
        <v>45352</v>
      </c>
      <c r="C548" s="4" t="str">
        <f>'Raw Data'!C548</f>
        <v>C82399</v>
      </c>
      <c r="D548" s="4" t="str">
        <f>'Raw Data'!D548</f>
        <v>Monitor</v>
      </c>
      <c r="E548" s="4">
        <f>'Raw Data'!E548</f>
        <v>1</v>
      </c>
      <c r="F548" s="4">
        <f>'Raw Data'!F548</f>
        <v>158.68</v>
      </c>
      <c r="G548" s="4" t="str">
        <f>'Raw Data'!G548</f>
        <v>928 Main St</v>
      </c>
      <c r="H548" s="4" t="str">
        <f>'Raw Data'!H548</f>
        <v>Credit Card</v>
      </c>
      <c r="I548" s="4" t="str">
        <f>'Raw Data'!I548</f>
        <v>Returned</v>
      </c>
      <c r="J548" s="4" t="str">
        <f>'Raw Data'!J548</f>
        <v>TRK77177284</v>
      </c>
      <c r="K548" s="4">
        <f>'Raw Data'!K548</f>
        <v>6</v>
      </c>
      <c r="L548" s="4" t="str">
        <f>IF('Raw Data'!L548="","No Coupon",'Raw Data'!L548)</f>
        <v>WINTER15</v>
      </c>
      <c r="M548" s="4" t="str">
        <f>'Raw Data'!M548</f>
        <v>Instagram</v>
      </c>
      <c r="N548" s="4">
        <f>'Raw Data'!N548</f>
        <v>158.68</v>
      </c>
    </row>
    <row r="549" spans="1:14" ht="15" customHeight="1" x14ac:dyDescent="0.2">
      <c r="A549" s="4" t="str">
        <f>'Raw Data'!A549</f>
        <v>ORD200547</v>
      </c>
      <c r="B549" s="6">
        <f>'Raw Data'!B549</f>
        <v>45158</v>
      </c>
      <c r="C549" s="4" t="str">
        <f>'Raw Data'!C549</f>
        <v>C40427</v>
      </c>
      <c r="D549" s="4" t="str">
        <f>'Raw Data'!D549</f>
        <v>Phone</v>
      </c>
      <c r="E549" s="4">
        <f>'Raw Data'!E549</f>
        <v>1</v>
      </c>
      <c r="F549" s="4">
        <f>'Raw Data'!F549</f>
        <v>613.98</v>
      </c>
      <c r="G549" s="4" t="str">
        <f>'Raw Data'!G549</f>
        <v>411 Main St</v>
      </c>
      <c r="H549" s="4" t="str">
        <f>'Raw Data'!H549</f>
        <v>Online</v>
      </c>
      <c r="I549" s="4" t="str">
        <f>'Raw Data'!I549</f>
        <v>Delivered</v>
      </c>
      <c r="J549" s="4" t="str">
        <f>'Raw Data'!J549</f>
        <v>TRK25392280</v>
      </c>
      <c r="K549" s="4">
        <f>'Raw Data'!K549</f>
        <v>4</v>
      </c>
      <c r="L549" s="4" t="str">
        <f>IF('Raw Data'!L549="","No Coupon",'Raw Data'!L549)</f>
        <v>FREESHIP</v>
      </c>
      <c r="M549" s="4" t="str">
        <f>'Raw Data'!M549</f>
        <v>Facebook</v>
      </c>
      <c r="N549" s="4">
        <f>'Raw Data'!N549</f>
        <v>613.98</v>
      </c>
    </row>
    <row r="550" spans="1:14" ht="15" customHeight="1" x14ac:dyDescent="0.2">
      <c r="A550" s="4" t="str">
        <f>'Raw Data'!A550</f>
        <v>ORD200548</v>
      </c>
      <c r="B550" s="6">
        <f>'Raw Data'!B550</f>
        <v>45296</v>
      </c>
      <c r="C550" s="4" t="str">
        <f>'Raw Data'!C550</f>
        <v>C17103</v>
      </c>
      <c r="D550" s="4" t="str">
        <f>'Raw Data'!D550</f>
        <v>Printer</v>
      </c>
      <c r="E550" s="4">
        <f>'Raw Data'!E550</f>
        <v>3</v>
      </c>
      <c r="F550" s="4">
        <f>'Raw Data'!F550</f>
        <v>426.12</v>
      </c>
      <c r="G550" s="4" t="str">
        <f>'Raw Data'!G550</f>
        <v>922 Main St</v>
      </c>
      <c r="H550" s="4" t="str">
        <f>'Raw Data'!H550</f>
        <v>Online</v>
      </c>
      <c r="I550" s="4" t="str">
        <f>'Raw Data'!I550</f>
        <v>Delivered</v>
      </c>
      <c r="J550" s="4" t="str">
        <f>'Raw Data'!J550</f>
        <v>TRK64398650</v>
      </c>
      <c r="K550" s="4">
        <f>'Raw Data'!K550</f>
        <v>5</v>
      </c>
      <c r="L550" s="4" t="str">
        <f>IF('Raw Data'!L550="","No Coupon",'Raw Data'!L550)</f>
        <v>WINTER15</v>
      </c>
      <c r="M550" s="4" t="str">
        <f>'Raw Data'!M550</f>
        <v>Instagram</v>
      </c>
      <c r="N550" s="4">
        <f>'Raw Data'!N550</f>
        <v>1278.3599999999999</v>
      </c>
    </row>
    <row r="551" spans="1:14" ht="15" customHeight="1" x14ac:dyDescent="0.2">
      <c r="A551" s="4" t="str">
        <f>'Raw Data'!A551</f>
        <v>ORD200549</v>
      </c>
      <c r="B551" s="6">
        <f>'Raw Data'!B551</f>
        <v>45713</v>
      </c>
      <c r="C551" s="4" t="str">
        <f>'Raw Data'!C551</f>
        <v>C34266</v>
      </c>
      <c r="D551" s="4" t="str">
        <f>'Raw Data'!D551</f>
        <v>Monitor</v>
      </c>
      <c r="E551" s="4">
        <f>'Raw Data'!E551</f>
        <v>4</v>
      </c>
      <c r="F551" s="4">
        <f>'Raw Data'!F551</f>
        <v>629.88</v>
      </c>
      <c r="G551" s="4" t="str">
        <f>'Raw Data'!G551</f>
        <v>550 Main St</v>
      </c>
      <c r="H551" s="4" t="str">
        <f>'Raw Data'!H551</f>
        <v>Debit Card</v>
      </c>
      <c r="I551" s="4" t="str">
        <f>'Raw Data'!I551</f>
        <v>Cancelled</v>
      </c>
      <c r="J551" s="4" t="str">
        <f>'Raw Data'!J551</f>
        <v>TRK56378197</v>
      </c>
      <c r="K551" s="4">
        <f>'Raw Data'!K551</f>
        <v>8</v>
      </c>
      <c r="L551" s="4" t="str">
        <f>IF('Raw Data'!L551="","No Coupon",'Raw Data'!L551)</f>
        <v>WINTER15</v>
      </c>
      <c r="M551" s="4" t="str">
        <f>'Raw Data'!M551</f>
        <v>Instagram</v>
      </c>
      <c r="N551" s="4">
        <f>'Raw Data'!N551</f>
        <v>2519.52</v>
      </c>
    </row>
    <row r="552" spans="1:14" ht="15" customHeight="1" x14ac:dyDescent="0.2">
      <c r="A552" s="4" t="str">
        <f>'Raw Data'!A552</f>
        <v>ORD200550</v>
      </c>
      <c r="B552" s="6">
        <f>'Raw Data'!B552</f>
        <v>45228</v>
      </c>
      <c r="C552" s="4" t="str">
        <f>'Raw Data'!C552</f>
        <v>C97485</v>
      </c>
      <c r="D552" s="4" t="str">
        <f>'Raw Data'!D552</f>
        <v>Laptop</v>
      </c>
      <c r="E552" s="4">
        <f>'Raw Data'!E552</f>
        <v>4</v>
      </c>
      <c r="F552" s="4">
        <f>'Raw Data'!F552</f>
        <v>228.91</v>
      </c>
      <c r="G552" s="4" t="str">
        <f>'Raw Data'!G552</f>
        <v>573 Main St</v>
      </c>
      <c r="H552" s="4" t="str">
        <f>'Raw Data'!H552</f>
        <v>Cash</v>
      </c>
      <c r="I552" s="4" t="str">
        <f>'Raw Data'!I552</f>
        <v>Shipped</v>
      </c>
      <c r="J552" s="4" t="str">
        <f>'Raw Data'!J552</f>
        <v>TRK81794737</v>
      </c>
      <c r="K552" s="4">
        <f>'Raw Data'!K552</f>
        <v>4</v>
      </c>
      <c r="L552" s="4" t="str">
        <f>IF('Raw Data'!L552="","No Coupon",'Raw Data'!L552)</f>
        <v>FREESHIP</v>
      </c>
      <c r="M552" s="4" t="str">
        <f>'Raw Data'!M552</f>
        <v>Google</v>
      </c>
      <c r="N552" s="4">
        <f>'Raw Data'!N552</f>
        <v>915.64</v>
      </c>
    </row>
    <row r="553" spans="1:14" ht="15" customHeight="1" x14ac:dyDescent="0.2">
      <c r="A553" s="4" t="str">
        <f>'Raw Data'!A553</f>
        <v>ORD200551</v>
      </c>
      <c r="B553" s="6">
        <f>'Raw Data'!B553</f>
        <v>45064</v>
      </c>
      <c r="C553" s="4" t="str">
        <f>'Raw Data'!C553</f>
        <v>C23947</v>
      </c>
      <c r="D553" s="4" t="str">
        <f>'Raw Data'!D553</f>
        <v>Laptop</v>
      </c>
      <c r="E553" s="4">
        <f>'Raw Data'!E553</f>
        <v>1</v>
      </c>
      <c r="F553" s="4">
        <f>'Raw Data'!F553</f>
        <v>120.98</v>
      </c>
      <c r="G553" s="4" t="str">
        <f>'Raw Data'!G553</f>
        <v>353 Main St</v>
      </c>
      <c r="H553" s="4" t="str">
        <f>'Raw Data'!H553</f>
        <v>Debit Card</v>
      </c>
      <c r="I553" s="4" t="str">
        <f>'Raw Data'!I553</f>
        <v>Delivered</v>
      </c>
      <c r="J553" s="4" t="str">
        <f>'Raw Data'!J553</f>
        <v>TRK74812710</v>
      </c>
      <c r="K553" s="4">
        <f>'Raw Data'!K553</f>
        <v>6</v>
      </c>
      <c r="L553" s="4" t="str">
        <f>IF('Raw Data'!L553="","No Coupon",'Raw Data'!L553)</f>
        <v>WINTER15</v>
      </c>
      <c r="M553" s="4" t="str">
        <f>'Raw Data'!M553</f>
        <v>Email</v>
      </c>
      <c r="N553" s="4">
        <f>'Raw Data'!N553</f>
        <v>120.98</v>
      </c>
    </row>
    <row r="554" spans="1:14" ht="15" customHeight="1" x14ac:dyDescent="0.2">
      <c r="A554" s="4" t="str">
        <f>'Raw Data'!A554</f>
        <v>ORD200552</v>
      </c>
      <c r="B554" s="6">
        <f>'Raw Data'!B554</f>
        <v>45199</v>
      </c>
      <c r="C554" s="4" t="str">
        <f>'Raw Data'!C554</f>
        <v>C21665</v>
      </c>
      <c r="D554" s="4" t="str">
        <f>'Raw Data'!D554</f>
        <v>Chair</v>
      </c>
      <c r="E554" s="4">
        <f>'Raw Data'!E554</f>
        <v>4</v>
      </c>
      <c r="F554" s="4">
        <f>'Raw Data'!F554</f>
        <v>425.18</v>
      </c>
      <c r="G554" s="4" t="str">
        <f>'Raw Data'!G554</f>
        <v>560 Main St</v>
      </c>
      <c r="H554" s="4" t="str">
        <f>'Raw Data'!H554</f>
        <v>Online</v>
      </c>
      <c r="I554" s="4" t="str">
        <f>'Raw Data'!I554</f>
        <v>Returned</v>
      </c>
      <c r="J554" s="4" t="str">
        <f>'Raw Data'!J554</f>
        <v>TRK29890761</v>
      </c>
      <c r="K554" s="4">
        <f>'Raw Data'!K554</f>
        <v>8</v>
      </c>
      <c r="L554" s="4" t="str">
        <f>IF('Raw Data'!L554="","No Coupon",'Raw Data'!L554)</f>
        <v>WINTER15</v>
      </c>
      <c r="M554" s="4" t="str">
        <f>'Raw Data'!M554</f>
        <v>Facebook</v>
      </c>
      <c r="N554" s="4">
        <f>'Raw Data'!N554</f>
        <v>1700.72</v>
      </c>
    </row>
    <row r="555" spans="1:14" ht="15" customHeight="1" x14ac:dyDescent="0.2">
      <c r="A555" s="4" t="str">
        <f>'Raw Data'!A555</f>
        <v>ORD200553</v>
      </c>
      <c r="B555" s="6">
        <f>'Raw Data'!B555</f>
        <v>45161</v>
      </c>
      <c r="C555" s="4" t="str">
        <f>'Raw Data'!C555</f>
        <v>C82550</v>
      </c>
      <c r="D555" s="4" t="str">
        <f>'Raw Data'!D555</f>
        <v>Phone</v>
      </c>
      <c r="E555" s="4">
        <f>'Raw Data'!E555</f>
        <v>2</v>
      </c>
      <c r="F555" s="4">
        <f>'Raw Data'!F555</f>
        <v>333.83</v>
      </c>
      <c r="G555" s="4" t="str">
        <f>'Raw Data'!G555</f>
        <v>828 Main St</v>
      </c>
      <c r="H555" s="4" t="str">
        <f>'Raw Data'!H555</f>
        <v>Gift Card</v>
      </c>
      <c r="I555" s="4" t="str">
        <f>'Raw Data'!I555</f>
        <v>Cancelled</v>
      </c>
      <c r="J555" s="4" t="str">
        <f>'Raw Data'!J555</f>
        <v>TRK74103758</v>
      </c>
      <c r="K555" s="4">
        <f>'Raw Data'!K555</f>
        <v>4</v>
      </c>
      <c r="L555" s="4" t="str">
        <f>IF('Raw Data'!L555="","No Coupon",'Raw Data'!L555)</f>
        <v>FREESHIP</v>
      </c>
      <c r="M555" s="4" t="str">
        <f>'Raw Data'!M555</f>
        <v>Referral</v>
      </c>
      <c r="N555" s="4">
        <f>'Raw Data'!N555</f>
        <v>667.66</v>
      </c>
    </row>
    <row r="556" spans="1:14" ht="15" customHeight="1" x14ac:dyDescent="0.2">
      <c r="A556" s="4" t="str">
        <f>'Raw Data'!A556</f>
        <v>ORD200554</v>
      </c>
      <c r="B556" s="6">
        <f>'Raw Data'!B556</f>
        <v>45807</v>
      </c>
      <c r="C556" s="4" t="str">
        <f>'Raw Data'!C556</f>
        <v>C61943</v>
      </c>
      <c r="D556" s="4" t="str">
        <f>'Raw Data'!D556</f>
        <v>Laptop</v>
      </c>
      <c r="E556" s="4">
        <f>'Raw Data'!E556</f>
        <v>2</v>
      </c>
      <c r="F556" s="4">
        <f>'Raw Data'!F556</f>
        <v>492.9</v>
      </c>
      <c r="G556" s="4" t="str">
        <f>'Raw Data'!G556</f>
        <v>610 Main St</v>
      </c>
      <c r="H556" s="4" t="str">
        <f>'Raw Data'!H556</f>
        <v>Cash</v>
      </c>
      <c r="I556" s="4" t="str">
        <f>'Raw Data'!I556</f>
        <v>Returned</v>
      </c>
      <c r="J556" s="4" t="str">
        <f>'Raw Data'!J556</f>
        <v>TRK66126496</v>
      </c>
      <c r="K556" s="4">
        <f>'Raw Data'!K556</f>
        <v>5</v>
      </c>
      <c r="L556" s="4" t="str">
        <f>IF('Raw Data'!L556="","No Coupon",'Raw Data'!L556)</f>
        <v>FREESHIP</v>
      </c>
      <c r="M556" s="4" t="str">
        <f>'Raw Data'!M556</f>
        <v>Instagram</v>
      </c>
      <c r="N556" s="4">
        <f>'Raw Data'!N556</f>
        <v>985.8</v>
      </c>
    </row>
    <row r="557" spans="1:14" ht="15" customHeight="1" x14ac:dyDescent="0.2">
      <c r="A557" s="4" t="str">
        <f>'Raw Data'!A557</f>
        <v>ORD200555</v>
      </c>
      <c r="B557" s="6">
        <f>'Raw Data'!B557</f>
        <v>44933</v>
      </c>
      <c r="C557" s="4" t="str">
        <f>'Raw Data'!C557</f>
        <v>C88933</v>
      </c>
      <c r="D557" s="4" t="str">
        <f>'Raw Data'!D557</f>
        <v>Tablet</v>
      </c>
      <c r="E557" s="4">
        <f>'Raw Data'!E557</f>
        <v>1</v>
      </c>
      <c r="F557" s="4">
        <f>'Raw Data'!F557</f>
        <v>92.04</v>
      </c>
      <c r="G557" s="4" t="str">
        <f>'Raw Data'!G557</f>
        <v>333 Main St</v>
      </c>
      <c r="H557" s="4" t="str">
        <f>'Raw Data'!H557</f>
        <v>Cash</v>
      </c>
      <c r="I557" s="4" t="str">
        <f>'Raw Data'!I557</f>
        <v>Shipped</v>
      </c>
      <c r="J557" s="4" t="str">
        <f>'Raw Data'!J557</f>
        <v>TRK89306964</v>
      </c>
      <c r="K557" s="4">
        <f>'Raw Data'!K557</f>
        <v>2</v>
      </c>
      <c r="L557" s="4" t="str">
        <f>IF('Raw Data'!L557="","No Coupon",'Raw Data'!L557)</f>
        <v>No Coupon</v>
      </c>
      <c r="M557" s="4" t="str">
        <f>'Raw Data'!M557</f>
        <v>Facebook</v>
      </c>
      <c r="N557" s="4">
        <f>'Raw Data'!N557</f>
        <v>92.04</v>
      </c>
    </row>
    <row r="558" spans="1:14" ht="15" customHeight="1" x14ac:dyDescent="0.2">
      <c r="A558" s="4" t="str">
        <f>'Raw Data'!A558</f>
        <v>ORD200556</v>
      </c>
      <c r="B558" s="6">
        <f>'Raw Data'!B558</f>
        <v>44954</v>
      </c>
      <c r="C558" s="4" t="str">
        <f>'Raw Data'!C558</f>
        <v>C30923</v>
      </c>
      <c r="D558" s="4" t="str">
        <f>'Raw Data'!D558</f>
        <v>Laptop</v>
      </c>
      <c r="E558" s="4">
        <f>'Raw Data'!E558</f>
        <v>1</v>
      </c>
      <c r="F558" s="4">
        <f>'Raw Data'!F558</f>
        <v>654.27</v>
      </c>
      <c r="G558" s="4" t="str">
        <f>'Raw Data'!G558</f>
        <v>932 Main St</v>
      </c>
      <c r="H558" s="4" t="str">
        <f>'Raw Data'!H558</f>
        <v>Gift Card</v>
      </c>
      <c r="I558" s="4" t="str">
        <f>'Raw Data'!I558</f>
        <v>Pending</v>
      </c>
      <c r="J558" s="4" t="str">
        <f>'Raw Data'!J558</f>
        <v>TRK82609328</v>
      </c>
      <c r="K558" s="4">
        <f>'Raw Data'!K558</f>
        <v>2</v>
      </c>
      <c r="L558" s="4" t="str">
        <f>IF('Raw Data'!L558="","No Coupon",'Raw Data'!L558)</f>
        <v>SAVE10</v>
      </c>
      <c r="M558" s="4" t="str">
        <f>'Raw Data'!M558</f>
        <v>Facebook</v>
      </c>
      <c r="N558" s="4">
        <f>'Raw Data'!N558</f>
        <v>654.27</v>
      </c>
    </row>
    <row r="559" spans="1:14" ht="15" customHeight="1" x14ac:dyDescent="0.2">
      <c r="A559" s="4" t="str">
        <f>'Raw Data'!A559</f>
        <v>ORD200557</v>
      </c>
      <c r="B559" s="6">
        <f>'Raw Data'!B559</f>
        <v>45106</v>
      </c>
      <c r="C559" s="4" t="str">
        <f>'Raw Data'!C559</f>
        <v>C56969</v>
      </c>
      <c r="D559" s="4" t="str">
        <f>'Raw Data'!D559</f>
        <v>Tablet</v>
      </c>
      <c r="E559" s="4">
        <f>'Raw Data'!E559</f>
        <v>1</v>
      </c>
      <c r="F559" s="4">
        <f>'Raw Data'!F559</f>
        <v>56.2</v>
      </c>
      <c r="G559" s="4" t="str">
        <f>'Raw Data'!G559</f>
        <v>130 Main St</v>
      </c>
      <c r="H559" s="4" t="str">
        <f>'Raw Data'!H559</f>
        <v>Debit Card</v>
      </c>
      <c r="I559" s="4" t="str">
        <f>'Raw Data'!I559</f>
        <v>Pending</v>
      </c>
      <c r="J559" s="4" t="str">
        <f>'Raw Data'!J559</f>
        <v>TRK40719215</v>
      </c>
      <c r="K559" s="4">
        <f>'Raw Data'!K559</f>
        <v>1</v>
      </c>
      <c r="L559" s="4" t="str">
        <f>IF('Raw Data'!L559="","No Coupon",'Raw Data'!L559)</f>
        <v>WINTER15</v>
      </c>
      <c r="M559" s="4" t="str">
        <f>'Raw Data'!M559</f>
        <v>Facebook</v>
      </c>
      <c r="N559" s="4">
        <f>'Raw Data'!N559</f>
        <v>56.2</v>
      </c>
    </row>
    <row r="560" spans="1:14" ht="15" customHeight="1" x14ac:dyDescent="0.2">
      <c r="A560" s="4" t="str">
        <f>'Raw Data'!A560</f>
        <v>ORD200558</v>
      </c>
      <c r="B560" s="6">
        <f>'Raw Data'!B560</f>
        <v>45489</v>
      </c>
      <c r="C560" s="4" t="str">
        <f>'Raw Data'!C560</f>
        <v>C76766</v>
      </c>
      <c r="D560" s="4" t="str">
        <f>'Raw Data'!D560</f>
        <v>Phone</v>
      </c>
      <c r="E560" s="4">
        <f>'Raw Data'!E560</f>
        <v>4</v>
      </c>
      <c r="F560" s="4">
        <f>'Raw Data'!F560</f>
        <v>628.12</v>
      </c>
      <c r="G560" s="4" t="str">
        <f>'Raw Data'!G560</f>
        <v>485 Main St</v>
      </c>
      <c r="H560" s="4" t="str">
        <f>'Raw Data'!H560</f>
        <v>Online</v>
      </c>
      <c r="I560" s="4" t="str">
        <f>'Raw Data'!I560</f>
        <v>Delivered</v>
      </c>
      <c r="J560" s="4" t="str">
        <f>'Raw Data'!J560</f>
        <v>TRK32052962</v>
      </c>
      <c r="K560" s="4">
        <f>'Raw Data'!K560</f>
        <v>6</v>
      </c>
      <c r="L560" s="4" t="str">
        <f>IF('Raw Data'!L560="","No Coupon",'Raw Data'!L560)</f>
        <v>WINTER15</v>
      </c>
      <c r="M560" s="4" t="str">
        <f>'Raw Data'!M560</f>
        <v>Instagram</v>
      </c>
      <c r="N560" s="4">
        <f>'Raw Data'!N560</f>
        <v>2512.48</v>
      </c>
    </row>
    <row r="561" spans="1:14" ht="15" customHeight="1" x14ac:dyDescent="0.2">
      <c r="A561" s="4" t="str">
        <f>'Raw Data'!A561</f>
        <v>ORD200559</v>
      </c>
      <c r="B561" s="6">
        <f>'Raw Data'!B561</f>
        <v>45397</v>
      </c>
      <c r="C561" s="4" t="str">
        <f>'Raw Data'!C561</f>
        <v>C22981</v>
      </c>
      <c r="D561" s="4" t="str">
        <f>'Raw Data'!D561</f>
        <v>Desk</v>
      </c>
      <c r="E561" s="4">
        <f>'Raw Data'!E561</f>
        <v>3</v>
      </c>
      <c r="F561" s="4">
        <f>'Raw Data'!F561</f>
        <v>157.4</v>
      </c>
      <c r="G561" s="4" t="str">
        <f>'Raw Data'!G561</f>
        <v>454 Main St</v>
      </c>
      <c r="H561" s="4" t="str">
        <f>'Raw Data'!H561</f>
        <v>Debit Card</v>
      </c>
      <c r="I561" s="4" t="str">
        <f>'Raw Data'!I561</f>
        <v>Cancelled</v>
      </c>
      <c r="J561" s="4" t="str">
        <f>'Raw Data'!J561</f>
        <v>TRK10115285</v>
      </c>
      <c r="K561" s="4">
        <f>'Raw Data'!K561</f>
        <v>7</v>
      </c>
      <c r="L561" s="4" t="str">
        <f>IF('Raw Data'!L561="","No Coupon",'Raw Data'!L561)</f>
        <v>WINTER15</v>
      </c>
      <c r="M561" s="4" t="str">
        <f>'Raw Data'!M561</f>
        <v>Email</v>
      </c>
      <c r="N561" s="4">
        <f>'Raw Data'!N561</f>
        <v>472.2</v>
      </c>
    </row>
    <row r="562" spans="1:14" ht="15" customHeight="1" x14ac:dyDescent="0.2">
      <c r="A562" s="4" t="str">
        <f>'Raw Data'!A562</f>
        <v>ORD200560</v>
      </c>
      <c r="B562" s="6">
        <f>'Raw Data'!B562</f>
        <v>44957</v>
      </c>
      <c r="C562" s="4" t="str">
        <f>'Raw Data'!C562</f>
        <v>C33634</v>
      </c>
      <c r="D562" s="4" t="str">
        <f>'Raw Data'!D562</f>
        <v>Monitor</v>
      </c>
      <c r="E562" s="4">
        <f>'Raw Data'!E562</f>
        <v>4</v>
      </c>
      <c r="F562" s="4">
        <f>'Raw Data'!F562</f>
        <v>588.85</v>
      </c>
      <c r="G562" s="4" t="str">
        <f>'Raw Data'!G562</f>
        <v>524 Main St</v>
      </c>
      <c r="H562" s="4" t="str">
        <f>'Raw Data'!H562</f>
        <v>Gift Card</v>
      </c>
      <c r="I562" s="4" t="str">
        <f>'Raw Data'!I562</f>
        <v>Pending</v>
      </c>
      <c r="J562" s="4" t="str">
        <f>'Raw Data'!J562</f>
        <v>TRK93168008</v>
      </c>
      <c r="K562" s="4">
        <f>'Raw Data'!K562</f>
        <v>7</v>
      </c>
      <c r="L562" s="4" t="str">
        <f>IF('Raw Data'!L562="","No Coupon",'Raw Data'!L562)</f>
        <v>No Coupon</v>
      </c>
      <c r="M562" s="4" t="str">
        <f>'Raw Data'!M562</f>
        <v>Email</v>
      </c>
      <c r="N562" s="4">
        <f>'Raw Data'!N562</f>
        <v>2355.4</v>
      </c>
    </row>
    <row r="563" spans="1:14" ht="15" customHeight="1" x14ac:dyDescent="0.2">
      <c r="A563" s="4" t="str">
        <f>'Raw Data'!A563</f>
        <v>ORD200561</v>
      </c>
      <c r="B563" s="6">
        <f>'Raw Data'!B563</f>
        <v>44957</v>
      </c>
      <c r="C563" s="4" t="str">
        <f>'Raw Data'!C563</f>
        <v>C96822</v>
      </c>
      <c r="D563" s="4" t="str">
        <f>'Raw Data'!D563</f>
        <v>Printer</v>
      </c>
      <c r="E563" s="4">
        <f>'Raw Data'!E563</f>
        <v>2</v>
      </c>
      <c r="F563" s="4">
        <f>'Raw Data'!F563</f>
        <v>494.78</v>
      </c>
      <c r="G563" s="4" t="str">
        <f>'Raw Data'!G563</f>
        <v>198 Main St</v>
      </c>
      <c r="H563" s="4" t="str">
        <f>'Raw Data'!H563</f>
        <v>Online</v>
      </c>
      <c r="I563" s="4" t="str">
        <f>'Raw Data'!I563</f>
        <v>Shipped</v>
      </c>
      <c r="J563" s="4" t="str">
        <f>'Raw Data'!J563</f>
        <v>TRK89180077</v>
      </c>
      <c r="K563" s="4">
        <f>'Raw Data'!K563</f>
        <v>2</v>
      </c>
      <c r="L563" s="4" t="str">
        <f>IF('Raw Data'!L563="","No Coupon",'Raw Data'!L563)</f>
        <v>No Coupon</v>
      </c>
      <c r="M563" s="4" t="str">
        <f>'Raw Data'!M563</f>
        <v>Google</v>
      </c>
      <c r="N563" s="4">
        <f>'Raw Data'!N563</f>
        <v>989.56</v>
      </c>
    </row>
    <row r="564" spans="1:14" ht="15" customHeight="1" x14ac:dyDescent="0.2">
      <c r="A564" s="4" t="str">
        <f>'Raw Data'!A564</f>
        <v>ORD200562</v>
      </c>
      <c r="B564" s="6">
        <f>'Raw Data'!B564</f>
        <v>45205</v>
      </c>
      <c r="C564" s="4" t="str">
        <f>'Raw Data'!C564</f>
        <v>C76675</v>
      </c>
      <c r="D564" s="4" t="str">
        <f>'Raw Data'!D564</f>
        <v>Laptop</v>
      </c>
      <c r="E564" s="4">
        <f>'Raw Data'!E564</f>
        <v>3</v>
      </c>
      <c r="F564" s="4">
        <f>'Raw Data'!F564</f>
        <v>663.93</v>
      </c>
      <c r="G564" s="4" t="str">
        <f>'Raw Data'!G564</f>
        <v>922 Main St</v>
      </c>
      <c r="H564" s="4" t="str">
        <f>'Raw Data'!H564</f>
        <v>Gift Card</v>
      </c>
      <c r="I564" s="4" t="str">
        <f>'Raw Data'!I564</f>
        <v>Returned</v>
      </c>
      <c r="J564" s="4" t="str">
        <f>'Raw Data'!J564</f>
        <v>TRK28043915</v>
      </c>
      <c r="K564" s="4">
        <f>'Raw Data'!K564</f>
        <v>6</v>
      </c>
      <c r="L564" s="4" t="str">
        <f>IF('Raw Data'!L564="","No Coupon",'Raw Data'!L564)</f>
        <v>FREESHIP</v>
      </c>
      <c r="M564" s="4" t="str">
        <f>'Raw Data'!M564</f>
        <v>Email</v>
      </c>
      <c r="N564" s="4">
        <f>'Raw Data'!N564</f>
        <v>1991.79</v>
      </c>
    </row>
    <row r="565" spans="1:14" ht="15" customHeight="1" x14ac:dyDescent="0.2">
      <c r="A565" s="4" t="str">
        <f>'Raw Data'!A565</f>
        <v>ORD200563</v>
      </c>
      <c r="B565" s="6">
        <f>'Raw Data'!B565</f>
        <v>45272</v>
      </c>
      <c r="C565" s="4" t="str">
        <f>'Raw Data'!C565</f>
        <v>C12039</v>
      </c>
      <c r="D565" s="4" t="str">
        <f>'Raw Data'!D565</f>
        <v>Laptop</v>
      </c>
      <c r="E565" s="4">
        <f>'Raw Data'!E565</f>
        <v>1</v>
      </c>
      <c r="F565" s="4">
        <f>'Raw Data'!F565</f>
        <v>132.68</v>
      </c>
      <c r="G565" s="4" t="str">
        <f>'Raw Data'!G565</f>
        <v>844 Main St</v>
      </c>
      <c r="H565" s="4" t="str">
        <f>'Raw Data'!H565</f>
        <v>Debit Card</v>
      </c>
      <c r="I565" s="4" t="str">
        <f>'Raw Data'!I565</f>
        <v>Returned</v>
      </c>
      <c r="J565" s="4" t="str">
        <f>'Raw Data'!J565</f>
        <v>TRK68645763</v>
      </c>
      <c r="K565" s="4">
        <f>'Raw Data'!K565</f>
        <v>1</v>
      </c>
      <c r="L565" s="4" t="str">
        <f>IF('Raw Data'!L565="","No Coupon",'Raw Data'!L565)</f>
        <v>SAVE10</v>
      </c>
      <c r="M565" s="4" t="str">
        <f>'Raw Data'!M565</f>
        <v>Referral</v>
      </c>
      <c r="N565" s="4">
        <f>'Raw Data'!N565</f>
        <v>132.68</v>
      </c>
    </row>
    <row r="566" spans="1:14" ht="15" customHeight="1" x14ac:dyDescent="0.2">
      <c r="A566" s="4" t="str">
        <f>'Raw Data'!A566</f>
        <v>ORD200564</v>
      </c>
      <c r="B566" s="6">
        <f>'Raw Data'!B566</f>
        <v>45755</v>
      </c>
      <c r="C566" s="4" t="str">
        <f>'Raw Data'!C566</f>
        <v>C93309</v>
      </c>
      <c r="D566" s="4" t="str">
        <f>'Raw Data'!D566</f>
        <v>Desk</v>
      </c>
      <c r="E566" s="4">
        <f>'Raw Data'!E566</f>
        <v>5</v>
      </c>
      <c r="F566" s="4">
        <f>'Raw Data'!F566</f>
        <v>364.28</v>
      </c>
      <c r="G566" s="4" t="str">
        <f>'Raw Data'!G566</f>
        <v>734 Main St</v>
      </c>
      <c r="H566" s="4" t="str">
        <f>'Raw Data'!H566</f>
        <v>Credit Card</v>
      </c>
      <c r="I566" s="4" t="str">
        <f>'Raw Data'!I566</f>
        <v>Cancelled</v>
      </c>
      <c r="J566" s="4" t="str">
        <f>'Raw Data'!J566</f>
        <v>TRK99446987</v>
      </c>
      <c r="K566" s="4">
        <f>'Raw Data'!K566</f>
        <v>5</v>
      </c>
      <c r="L566" s="4" t="str">
        <f>IF('Raw Data'!L566="","No Coupon",'Raw Data'!L566)</f>
        <v>WINTER15</v>
      </c>
      <c r="M566" s="4" t="str">
        <f>'Raw Data'!M566</f>
        <v>Google</v>
      </c>
      <c r="N566" s="4">
        <f>'Raw Data'!N566</f>
        <v>1821.4</v>
      </c>
    </row>
    <row r="567" spans="1:14" ht="15" customHeight="1" x14ac:dyDescent="0.2">
      <c r="A567" s="4" t="str">
        <f>'Raw Data'!A567</f>
        <v>ORD200565</v>
      </c>
      <c r="B567" s="6">
        <f>'Raw Data'!B567</f>
        <v>45060</v>
      </c>
      <c r="C567" s="4" t="str">
        <f>'Raw Data'!C567</f>
        <v>C62042</v>
      </c>
      <c r="D567" s="4" t="str">
        <f>'Raw Data'!D567</f>
        <v>Tablet</v>
      </c>
      <c r="E567" s="4">
        <f>'Raw Data'!E567</f>
        <v>5</v>
      </c>
      <c r="F567" s="4">
        <f>'Raw Data'!F567</f>
        <v>307.98</v>
      </c>
      <c r="G567" s="4" t="str">
        <f>'Raw Data'!G567</f>
        <v>214 Main St</v>
      </c>
      <c r="H567" s="4" t="str">
        <f>'Raw Data'!H567</f>
        <v>Online</v>
      </c>
      <c r="I567" s="4" t="str">
        <f>'Raw Data'!I567</f>
        <v>Pending</v>
      </c>
      <c r="J567" s="4" t="str">
        <f>'Raw Data'!J567</f>
        <v>TRK42605492</v>
      </c>
      <c r="K567" s="4">
        <f>'Raw Data'!K567</f>
        <v>10</v>
      </c>
      <c r="L567" s="4" t="str">
        <f>IF('Raw Data'!L567="","No Coupon",'Raw Data'!L567)</f>
        <v>No Coupon</v>
      </c>
      <c r="M567" s="4" t="str">
        <f>'Raw Data'!M567</f>
        <v>Facebook</v>
      </c>
      <c r="N567" s="4">
        <f>'Raw Data'!N567</f>
        <v>1539.9</v>
      </c>
    </row>
    <row r="568" spans="1:14" ht="15" customHeight="1" x14ac:dyDescent="0.2">
      <c r="A568" s="4" t="str">
        <f>'Raw Data'!A568</f>
        <v>ORD200566</v>
      </c>
      <c r="B568" s="6">
        <f>'Raw Data'!B568</f>
        <v>45400</v>
      </c>
      <c r="C568" s="4" t="str">
        <f>'Raw Data'!C568</f>
        <v>C83223</v>
      </c>
      <c r="D568" s="4" t="str">
        <f>'Raw Data'!D568</f>
        <v>Phone</v>
      </c>
      <c r="E568" s="4">
        <f>'Raw Data'!E568</f>
        <v>4</v>
      </c>
      <c r="F568" s="4">
        <f>'Raw Data'!F568</f>
        <v>162.71</v>
      </c>
      <c r="G568" s="4" t="str">
        <f>'Raw Data'!G568</f>
        <v>167 Main St</v>
      </c>
      <c r="H568" s="4" t="str">
        <f>'Raw Data'!H568</f>
        <v>Cash</v>
      </c>
      <c r="I568" s="4" t="str">
        <f>'Raw Data'!I568</f>
        <v>Cancelled</v>
      </c>
      <c r="J568" s="4" t="str">
        <f>'Raw Data'!J568</f>
        <v>TRK54339083</v>
      </c>
      <c r="K568" s="4">
        <f>'Raw Data'!K568</f>
        <v>7</v>
      </c>
      <c r="L568" s="4" t="str">
        <f>IF('Raw Data'!L568="","No Coupon",'Raw Data'!L568)</f>
        <v>FREESHIP</v>
      </c>
      <c r="M568" s="4" t="str">
        <f>'Raw Data'!M568</f>
        <v>Email</v>
      </c>
      <c r="N568" s="4">
        <f>'Raw Data'!N568</f>
        <v>650.84</v>
      </c>
    </row>
    <row r="569" spans="1:14" ht="15" customHeight="1" x14ac:dyDescent="0.2">
      <c r="A569" s="4" t="str">
        <f>'Raw Data'!A569</f>
        <v>ORD200567</v>
      </c>
      <c r="B569" s="6">
        <f>'Raw Data'!B569</f>
        <v>45565</v>
      </c>
      <c r="C569" s="4" t="str">
        <f>'Raw Data'!C569</f>
        <v>C92575</v>
      </c>
      <c r="D569" s="4" t="str">
        <f>'Raw Data'!D569</f>
        <v>Chair</v>
      </c>
      <c r="E569" s="4">
        <f>'Raw Data'!E569</f>
        <v>5</v>
      </c>
      <c r="F569" s="4">
        <f>'Raw Data'!F569</f>
        <v>492.94</v>
      </c>
      <c r="G569" s="4" t="str">
        <f>'Raw Data'!G569</f>
        <v>153 Main St</v>
      </c>
      <c r="H569" s="4" t="str">
        <f>'Raw Data'!H569</f>
        <v>Cash</v>
      </c>
      <c r="I569" s="4" t="str">
        <f>'Raw Data'!I569</f>
        <v>Shipped</v>
      </c>
      <c r="J569" s="4" t="str">
        <f>'Raw Data'!J569</f>
        <v>TRK53579227</v>
      </c>
      <c r="K569" s="4">
        <f>'Raw Data'!K569</f>
        <v>10</v>
      </c>
      <c r="L569" s="4" t="str">
        <f>IF('Raw Data'!L569="","No Coupon",'Raw Data'!L569)</f>
        <v>FREESHIP</v>
      </c>
      <c r="M569" s="4" t="str">
        <f>'Raw Data'!M569</f>
        <v>Email</v>
      </c>
      <c r="N569" s="4">
        <f>'Raw Data'!N569</f>
        <v>2464.6999999999998</v>
      </c>
    </row>
    <row r="570" spans="1:14" ht="15" customHeight="1" x14ac:dyDescent="0.2">
      <c r="A570" s="4" t="str">
        <f>'Raw Data'!A570</f>
        <v>ORD200568</v>
      </c>
      <c r="B570" s="6">
        <f>'Raw Data'!B570</f>
        <v>44995</v>
      </c>
      <c r="C570" s="4" t="str">
        <f>'Raw Data'!C570</f>
        <v>C29072</v>
      </c>
      <c r="D570" s="4" t="str">
        <f>'Raw Data'!D570</f>
        <v>Laptop</v>
      </c>
      <c r="E570" s="4">
        <f>'Raw Data'!E570</f>
        <v>2</v>
      </c>
      <c r="F570" s="4">
        <f>'Raw Data'!F570</f>
        <v>343.99</v>
      </c>
      <c r="G570" s="4" t="str">
        <f>'Raw Data'!G570</f>
        <v>312 Main St</v>
      </c>
      <c r="H570" s="4" t="str">
        <f>'Raw Data'!H570</f>
        <v>Online</v>
      </c>
      <c r="I570" s="4" t="str">
        <f>'Raw Data'!I570</f>
        <v>Delivered</v>
      </c>
      <c r="J570" s="4" t="str">
        <f>'Raw Data'!J570</f>
        <v>TRK72334047</v>
      </c>
      <c r="K570" s="4">
        <f>'Raw Data'!K570</f>
        <v>4</v>
      </c>
      <c r="L570" s="4" t="str">
        <f>IF('Raw Data'!L570="","No Coupon",'Raw Data'!L570)</f>
        <v>No Coupon</v>
      </c>
      <c r="M570" s="4" t="str">
        <f>'Raw Data'!M570</f>
        <v>Google</v>
      </c>
      <c r="N570" s="4">
        <f>'Raw Data'!N570</f>
        <v>687.98</v>
      </c>
    </row>
    <row r="571" spans="1:14" ht="15" customHeight="1" x14ac:dyDescent="0.2">
      <c r="A571" s="4" t="str">
        <f>'Raw Data'!A571</f>
        <v>ORD200569</v>
      </c>
      <c r="B571" s="6">
        <f>'Raw Data'!B571</f>
        <v>45738</v>
      </c>
      <c r="C571" s="4" t="str">
        <f>'Raw Data'!C571</f>
        <v>C25783</v>
      </c>
      <c r="D571" s="4" t="str">
        <f>'Raw Data'!D571</f>
        <v>Desk</v>
      </c>
      <c r="E571" s="4">
        <f>'Raw Data'!E571</f>
        <v>5</v>
      </c>
      <c r="F571" s="4">
        <f>'Raw Data'!F571</f>
        <v>250.68</v>
      </c>
      <c r="G571" s="4" t="str">
        <f>'Raw Data'!G571</f>
        <v>672 Main St</v>
      </c>
      <c r="H571" s="4" t="str">
        <f>'Raw Data'!H571</f>
        <v>Cash</v>
      </c>
      <c r="I571" s="4" t="str">
        <f>'Raw Data'!I571</f>
        <v>Shipped</v>
      </c>
      <c r="J571" s="4" t="str">
        <f>'Raw Data'!J571</f>
        <v>TRK13289741</v>
      </c>
      <c r="K571" s="4">
        <f>'Raw Data'!K571</f>
        <v>8</v>
      </c>
      <c r="L571" s="4" t="str">
        <f>IF('Raw Data'!L571="","No Coupon",'Raw Data'!L571)</f>
        <v>SAVE10</v>
      </c>
      <c r="M571" s="4" t="str">
        <f>'Raw Data'!M571</f>
        <v>Instagram</v>
      </c>
      <c r="N571" s="4">
        <f>'Raw Data'!N571</f>
        <v>1253.4000000000001</v>
      </c>
    </row>
    <row r="572" spans="1:14" ht="15" customHeight="1" x14ac:dyDescent="0.2">
      <c r="A572" s="4" t="str">
        <f>'Raw Data'!A572</f>
        <v>ORD200570</v>
      </c>
      <c r="B572" s="6">
        <f>'Raw Data'!B572</f>
        <v>45653</v>
      </c>
      <c r="C572" s="4" t="str">
        <f>'Raw Data'!C572</f>
        <v>C63727</v>
      </c>
      <c r="D572" s="4" t="str">
        <f>'Raw Data'!D572</f>
        <v>Desk</v>
      </c>
      <c r="E572" s="4">
        <f>'Raw Data'!E572</f>
        <v>2</v>
      </c>
      <c r="F572" s="4">
        <f>'Raw Data'!F572</f>
        <v>362.14</v>
      </c>
      <c r="G572" s="4" t="str">
        <f>'Raw Data'!G572</f>
        <v>122 Main St</v>
      </c>
      <c r="H572" s="4" t="str">
        <f>'Raw Data'!H572</f>
        <v>Debit Card</v>
      </c>
      <c r="I572" s="4" t="str">
        <f>'Raw Data'!I572</f>
        <v>Pending</v>
      </c>
      <c r="J572" s="4" t="str">
        <f>'Raw Data'!J572</f>
        <v>TRK13611021</v>
      </c>
      <c r="K572" s="4">
        <f>'Raw Data'!K572</f>
        <v>2</v>
      </c>
      <c r="L572" s="4" t="str">
        <f>IF('Raw Data'!L572="","No Coupon",'Raw Data'!L572)</f>
        <v>SAVE10</v>
      </c>
      <c r="M572" s="4" t="str">
        <f>'Raw Data'!M572</f>
        <v>Instagram</v>
      </c>
      <c r="N572" s="4">
        <f>'Raw Data'!N572</f>
        <v>724.28</v>
      </c>
    </row>
    <row r="573" spans="1:14" ht="15" customHeight="1" x14ac:dyDescent="0.2">
      <c r="A573" s="4" t="str">
        <f>'Raw Data'!A573</f>
        <v>ORD200571</v>
      </c>
      <c r="B573" s="6">
        <f>'Raw Data'!B573</f>
        <v>45619</v>
      </c>
      <c r="C573" s="4" t="str">
        <f>'Raw Data'!C573</f>
        <v>C42365</v>
      </c>
      <c r="D573" s="4" t="str">
        <f>'Raw Data'!D573</f>
        <v>Tablet</v>
      </c>
      <c r="E573" s="4">
        <f>'Raw Data'!E573</f>
        <v>1</v>
      </c>
      <c r="F573" s="4">
        <f>'Raw Data'!F573</f>
        <v>214.08</v>
      </c>
      <c r="G573" s="4" t="str">
        <f>'Raw Data'!G573</f>
        <v>867 Main St</v>
      </c>
      <c r="H573" s="4" t="str">
        <f>'Raw Data'!H573</f>
        <v>Gift Card</v>
      </c>
      <c r="I573" s="4" t="str">
        <f>'Raw Data'!I573</f>
        <v>Returned</v>
      </c>
      <c r="J573" s="4" t="str">
        <f>'Raw Data'!J573</f>
        <v>TRK39563288</v>
      </c>
      <c r="K573" s="4">
        <f>'Raw Data'!K573</f>
        <v>2</v>
      </c>
      <c r="L573" s="4" t="str">
        <f>IF('Raw Data'!L573="","No Coupon",'Raw Data'!L573)</f>
        <v>WINTER15</v>
      </c>
      <c r="M573" s="4" t="str">
        <f>'Raw Data'!M573</f>
        <v>Google</v>
      </c>
      <c r="N573" s="4">
        <f>'Raw Data'!N573</f>
        <v>214.08</v>
      </c>
    </row>
    <row r="574" spans="1:14" ht="15" customHeight="1" x14ac:dyDescent="0.2">
      <c r="A574" s="4" t="str">
        <f>'Raw Data'!A574</f>
        <v>ORD200572</v>
      </c>
      <c r="B574" s="6">
        <f>'Raw Data'!B574</f>
        <v>45241</v>
      </c>
      <c r="C574" s="4" t="str">
        <f>'Raw Data'!C574</f>
        <v>C27438</v>
      </c>
      <c r="D574" s="4" t="str">
        <f>'Raw Data'!D574</f>
        <v>Printer</v>
      </c>
      <c r="E574" s="4">
        <f>'Raw Data'!E574</f>
        <v>1</v>
      </c>
      <c r="F574" s="4">
        <f>'Raw Data'!F574</f>
        <v>70.319999999999993</v>
      </c>
      <c r="G574" s="4" t="str">
        <f>'Raw Data'!G574</f>
        <v>341 Main St</v>
      </c>
      <c r="H574" s="4" t="str">
        <f>'Raw Data'!H574</f>
        <v>Cash</v>
      </c>
      <c r="I574" s="4" t="str">
        <f>'Raw Data'!I574</f>
        <v>Returned</v>
      </c>
      <c r="J574" s="4" t="str">
        <f>'Raw Data'!J574</f>
        <v>TRK69125497</v>
      </c>
      <c r="K574" s="4">
        <f>'Raw Data'!K574</f>
        <v>4</v>
      </c>
      <c r="L574" s="4" t="str">
        <f>IF('Raw Data'!L574="","No Coupon",'Raw Data'!L574)</f>
        <v>WINTER15</v>
      </c>
      <c r="M574" s="4" t="str">
        <f>'Raw Data'!M574</f>
        <v>Facebook</v>
      </c>
      <c r="N574" s="4">
        <f>'Raw Data'!N574</f>
        <v>70.319999999999993</v>
      </c>
    </row>
    <row r="575" spans="1:14" ht="15" customHeight="1" x14ac:dyDescent="0.2">
      <c r="A575" s="4" t="str">
        <f>'Raw Data'!A575</f>
        <v>ORD200573</v>
      </c>
      <c r="B575" s="6">
        <f>'Raw Data'!B575</f>
        <v>44951</v>
      </c>
      <c r="C575" s="4" t="str">
        <f>'Raw Data'!C575</f>
        <v>C13205</v>
      </c>
      <c r="D575" s="4" t="str">
        <f>'Raw Data'!D575</f>
        <v>Chair</v>
      </c>
      <c r="E575" s="4">
        <f>'Raw Data'!E575</f>
        <v>5</v>
      </c>
      <c r="F575" s="4">
        <f>'Raw Data'!F575</f>
        <v>421.42</v>
      </c>
      <c r="G575" s="4" t="str">
        <f>'Raw Data'!G575</f>
        <v>522 Main St</v>
      </c>
      <c r="H575" s="4" t="str">
        <f>'Raw Data'!H575</f>
        <v>Debit Card</v>
      </c>
      <c r="I575" s="4" t="str">
        <f>'Raw Data'!I575</f>
        <v>Cancelled</v>
      </c>
      <c r="J575" s="4" t="str">
        <f>'Raw Data'!J575</f>
        <v>TRK30686578</v>
      </c>
      <c r="K575" s="4">
        <f>'Raw Data'!K575</f>
        <v>7</v>
      </c>
      <c r="L575" s="4" t="str">
        <f>IF('Raw Data'!L575="","No Coupon",'Raw Data'!L575)</f>
        <v>No Coupon</v>
      </c>
      <c r="M575" s="4" t="str">
        <f>'Raw Data'!M575</f>
        <v>Instagram</v>
      </c>
      <c r="N575" s="4">
        <f>'Raw Data'!N575</f>
        <v>2107.1</v>
      </c>
    </row>
    <row r="576" spans="1:14" ht="15" customHeight="1" x14ac:dyDescent="0.2">
      <c r="A576" s="4" t="str">
        <f>'Raw Data'!A576</f>
        <v>ORD200574</v>
      </c>
      <c r="B576" s="6">
        <f>'Raw Data'!B576</f>
        <v>45315</v>
      </c>
      <c r="C576" s="4" t="str">
        <f>'Raw Data'!C576</f>
        <v>C29685</v>
      </c>
      <c r="D576" s="4" t="str">
        <f>'Raw Data'!D576</f>
        <v>Chair</v>
      </c>
      <c r="E576" s="4">
        <f>'Raw Data'!E576</f>
        <v>5</v>
      </c>
      <c r="F576" s="4">
        <f>'Raw Data'!F576</f>
        <v>384.69</v>
      </c>
      <c r="G576" s="4" t="str">
        <f>'Raw Data'!G576</f>
        <v>275 Main St</v>
      </c>
      <c r="H576" s="4" t="str">
        <f>'Raw Data'!H576</f>
        <v>Credit Card</v>
      </c>
      <c r="I576" s="4" t="str">
        <f>'Raw Data'!I576</f>
        <v>Pending</v>
      </c>
      <c r="J576" s="4" t="str">
        <f>'Raw Data'!J576</f>
        <v>TRK97733212</v>
      </c>
      <c r="K576" s="4">
        <f>'Raw Data'!K576</f>
        <v>6</v>
      </c>
      <c r="L576" s="4" t="str">
        <f>IF('Raw Data'!L576="","No Coupon",'Raw Data'!L576)</f>
        <v>FREESHIP</v>
      </c>
      <c r="M576" s="4" t="str">
        <f>'Raw Data'!M576</f>
        <v>Email</v>
      </c>
      <c r="N576" s="4">
        <f>'Raw Data'!N576</f>
        <v>1923.45</v>
      </c>
    </row>
    <row r="577" spans="1:14" ht="15" customHeight="1" x14ac:dyDescent="0.2">
      <c r="A577" s="4" t="str">
        <f>'Raw Data'!A577</f>
        <v>ORD200575</v>
      </c>
      <c r="B577" s="6">
        <f>'Raw Data'!B577</f>
        <v>45084</v>
      </c>
      <c r="C577" s="4" t="str">
        <f>'Raw Data'!C577</f>
        <v>C74005</v>
      </c>
      <c r="D577" s="4" t="str">
        <f>'Raw Data'!D577</f>
        <v>Chair</v>
      </c>
      <c r="E577" s="4">
        <f>'Raw Data'!E577</f>
        <v>5</v>
      </c>
      <c r="F577" s="4">
        <f>'Raw Data'!F577</f>
        <v>448.15</v>
      </c>
      <c r="G577" s="4" t="str">
        <f>'Raw Data'!G577</f>
        <v>528 Main St</v>
      </c>
      <c r="H577" s="4" t="str">
        <f>'Raw Data'!H577</f>
        <v>Gift Card</v>
      </c>
      <c r="I577" s="4" t="str">
        <f>'Raw Data'!I577</f>
        <v>Returned</v>
      </c>
      <c r="J577" s="4" t="str">
        <f>'Raw Data'!J577</f>
        <v>TRK61640534</v>
      </c>
      <c r="K577" s="4">
        <f>'Raw Data'!K577</f>
        <v>7</v>
      </c>
      <c r="L577" s="4" t="str">
        <f>IF('Raw Data'!L577="","No Coupon",'Raw Data'!L577)</f>
        <v>SAVE10</v>
      </c>
      <c r="M577" s="4" t="str">
        <f>'Raw Data'!M577</f>
        <v>Google</v>
      </c>
      <c r="N577" s="4">
        <f>'Raw Data'!N577</f>
        <v>2240.75</v>
      </c>
    </row>
    <row r="578" spans="1:14" ht="15" customHeight="1" x14ac:dyDescent="0.2">
      <c r="A578" s="4" t="str">
        <f>'Raw Data'!A578</f>
        <v>ORD200576</v>
      </c>
      <c r="B578" s="6">
        <f>'Raw Data'!B578</f>
        <v>45441</v>
      </c>
      <c r="C578" s="4" t="str">
        <f>'Raw Data'!C578</f>
        <v>C14457</v>
      </c>
      <c r="D578" s="4" t="str">
        <f>'Raw Data'!D578</f>
        <v>Laptop</v>
      </c>
      <c r="E578" s="4">
        <f>'Raw Data'!E578</f>
        <v>5</v>
      </c>
      <c r="F578" s="4">
        <f>'Raw Data'!F578</f>
        <v>79.08</v>
      </c>
      <c r="G578" s="4" t="str">
        <f>'Raw Data'!G578</f>
        <v>747 Main St</v>
      </c>
      <c r="H578" s="4" t="str">
        <f>'Raw Data'!H578</f>
        <v>Cash</v>
      </c>
      <c r="I578" s="4" t="str">
        <f>'Raw Data'!I578</f>
        <v>Pending</v>
      </c>
      <c r="J578" s="4" t="str">
        <f>'Raw Data'!J578</f>
        <v>TRK42517811</v>
      </c>
      <c r="K578" s="4">
        <f>'Raw Data'!K578</f>
        <v>8</v>
      </c>
      <c r="L578" s="4" t="str">
        <f>IF('Raw Data'!L578="","No Coupon",'Raw Data'!L578)</f>
        <v>No Coupon</v>
      </c>
      <c r="M578" s="4" t="str">
        <f>'Raw Data'!M578</f>
        <v>Facebook</v>
      </c>
      <c r="N578" s="4">
        <f>'Raw Data'!N578</f>
        <v>395.4</v>
      </c>
    </row>
    <row r="579" spans="1:14" ht="15" customHeight="1" x14ac:dyDescent="0.2">
      <c r="A579" s="4" t="str">
        <f>'Raw Data'!A579</f>
        <v>ORD200577</v>
      </c>
      <c r="B579" s="6">
        <f>'Raw Data'!B579</f>
        <v>44948</v>
      </c>
      <c r="C579" s="4" t="str">
        <f>'Raw Data'!C579</f>
        <v>C77046</v>
      </c>
      <c r="D579" s="4" t="str">
        <f>'Raw Data'!D579</f>
        <v>Tablet</v>
      </c>
      <c r="E579" s="4">
        <f>'Raw Data'!E579</f>
        <v>4</v>
      </c>
      <c r="F579" s="4">
        <f>'Raw Data'!F579</f>
        <v>185.41</v>
      </c>
      <c r="G579" s="4" t="str">
        <f>'Raw Data'!G579</f>
        <v>967 Main St</v>
      </c>
      <c r="H579" s="4" t="str">
        <f>'Raw Data'!H579</f>
        <v>Online</v>
      </c>
      <c r="I579" s="4" t="str">
        <f>'Raw Data'!I579</f>
        <v>Returned</v>
      </c>
      <c r="J579" s="4" t="str">
        <f>'Raw Data'!J579</f>
        <v>TRK44401497</v>
      </c>
      <c r="K579" s="4">
        <f>'Raw Data'!K579</f>
        <v>9</v>
      </c>
      <c r="L579" s="4" t="str">
        <f>IF('Raw Data'!L579="","No Coupon",'Raw Data'!L579)</f>
        <v>WINTER15</v>
      </c>
      <c r="M579" s="4" t="str">
        <f>'Raw Data'!M579</f>
        <v>Google</v>
      </c>
      <c r="N579" s="4">
        <f>'Raw Data'!N579</f>
        <v>741.64</v>
      </c>
    </row>
    <row r="580" spans="1:14" ht="15" customHeight="1" x14ac:dyDescent="0.2">
      <c r="A580" s="4" t="str">
        <f>'Raw Data'!A580</f>
        <v>ORD200578</v>
      </c>
      <c r="B580" s="6">
        <f>'Raw Data'!B580</f>
        <v>45575</v>
      </c>
      <c r="C580" s="4" t="str">
        <f>'Raw Data'!C580</f>
        <v>C50415</v>
      </c>
      <c r="D580" s="4" t="str">
        <f>'Raw Data'!D580</f>
        <v>Monitor</v>
      </c>
      <c r="E580" s="4">
        <f>'Raw Data'!E580</f>
        <v>5</v>
      </c>
      <c r="F580" s="4">
        <f>'Raw Data'!F580</f>
        <v>566.07000000000005</v>
      </c>
      <c r="G580" s="4" t="str">
        <f>'Raw Data'!G580</f>
        <v>587 Main St</v>
      </c>
      <c r="H580" s="4" t="str">
        <f>'Raw Data'!H580</f>
        <v>Credit Card</v>
      </c>
      <c r="I580" s="4" t="str">
        <f>'Raw Data'!I580</f>
        <v>Delivered</v>
      </c>
      <c r="J580" s="4" t="str">
        <f>'Raw Data'!J580</f>
        <v>TRK41345634</v>
      </c>
      <c r="K580" s="4">
        <f>'Raw Data'!K580</f>
        <v>6</v>
      </c>
      <c r="L580" s="4" t="str">
        <f>IF('Raw Data'!L580="","No Coupon",'Raw Data'!L580)</f>
        <v>SAVE10</v>
      </c>
      <c r="M580" s="4" t="str">
        <f>'Raw Data'!M580</f>
        <v>Instagram</v>
      </c>
      <c r="N580" s="4">
        <f>'Raw Data'!N580</f>
        <v>2830.35</v>
      </c>
    </row>
    <row r="581" spans="1:14" ht="15" customHeight="1" x14ac:dyDescent="0.2">
      <c r="A581" s="4" t="str">
        <f>'Raw Data'!A581</f>
        <v>ORD200579</v>
      </c>
      <c r="B581" s="6">
        <f>'Raw Data'!B581</f>
        <v>45081</v>
      </c>
      <c r="C581" s="4" t="str">
        <f>'Raw Data'!C581</f>
        <v>C73999</v>
      </c>
      <c r="D581" s="4" t="str">
        <f>'Raw Data'!D581</f>
        <v>Tablet</v>
      </c>
      <c r="E581" s="4">
        <f>'Raw Data'!E581</f>
        <v>2</v>
      </c>
      <c r="F581" s="4">
        <f>'Raw Data'!F581</f>
        <v>187.88</v>
      </c>
      <c r="G581" s="4" t="str">
        <f>'Raw Data'!G581</f>
        <v>413 Main St</v>
      </c>
      <c r="H581" s="4" t="str">
        <f>'Raw Data'!H581</f>
        <v>Online</v>
      </c>
      <c r="I581" s="4" t="str">
        <f>'Raw Data'!I581</f>
        <v>Shipped</v>
      </c>
      <c r="J581" s="4" t="str">
        <f>'Raw Data'!J581</f>
        <v>TRK67919507</v>
      </c>
      <c r="K581" s="4">
        <f>'Raw Data'!K581</f>
        <v>4</v>
      </c>
      <c r="L581" s="4" t="str">
        <f>IF('Raw Data'!L581="","No Coupon",'Raw Data'!L581)</f>
        <v>WINTER15</v>
      </c>
      <c r="M581" s="4" t="str">
        <f>'Raw Data'!M581</f>
        <v>Facebook</v>
      </c>
      <c r="N581" s="4">
        <f>'Raw Data'!N581</f>
        <v>375.76</v>
      </c>
    </row>
    <row r="582" spans="1:14" ht="15" customHeight="1" x14ac:dyDescent="0.2">
      <c r="A582" s="4" t="str">
        <f>'Raw Data'!A582</f>
        <v>ORD200580</v>
      </c>
      <c r="B582" s="6">
        <f>'Raw Data'!B582</f>
        <v>45244</v>
      </c>
      <c r="C582" s="4" t="str">
        <f>'Raw Data'!C582</f>
        <v>C71076</v>
      </c>
      <c r="D582" s="4" t="str">
        <f>'Raw Data'!D582</f>
        <v>Monitor</v>
      </c>
      <c r="E582" s="4">
        <f>'Raw Data'!E582</f>
        <v>2</v>
      </c>
      <c r="F582" s="4">
        <f>'Raw Data'!F582</f>
        <v>255.99</v>
      </c>
      <c r="G582" s="4" t="str">
        <f>'Raw Data'!G582</f>
        <v>340 Main St</v>
      </c>
      <c r="H582" s="4" t="str">
        <f>'Raw Data'!H582</f>
        <v>Credit Card</v>
      </c>
      <c r="I582" s="4" t="str">
        <f>'Raw Data'!I582</f>
        <v>Delivered</v>
      </c>
      <c r="J582" s="4" t="str">
        <f>'Raw Data'!J582</f>
        <v>TRK65148292</v>
      </c>
      <c r="K582" s="4">
        <f>'Raw Data'!K582</f>
        <v>4</v>
      </c>
      <c r="L582" s="4" t="str">
        <f>IF('Raw Data'!L582="","No Coupon",'Raw Data'!L582)</f>
        <v>SAVE10</v>
      </c>
      <c r="M582" s="4" t="str">
        <f>'Raw Data'!M582</f>
        <v>Instagram</v>
      </c>
      <c r="N582" s="4">
        <f>'Raw Data'!N582</f>
        <v>511.98</v>
      </c>
    </row>
    <row r="583" spans="1:14" ht="15" customHeight="1" x14ac:dyDescent="0.2">
      <c r="A583" s="4" t="str">
        <f>'Raw Data'!A583</f>
        <v>ORD200581</v>
      </c>
      <c r="B583" s="6">
        <f>'Raw Data'!B583</f>
        <v>45607</v>
      </c>
      <c r="C583" s="4" t="str">
        <f>'Raw Data'!C583</f>
        <v>C44674</v>
      </c>
      <c r="D583" s="4" t="str">
        <f>'Raw Data'!D583</f>
        <v>Laptop</v>
      </c>
      <c r="E583" s="4">
        <f>'Raw Data'!E583</f>
        <v>1</v>
      </c>
      <c r="F583" s="4">
        <f>'Raw Data'!F583</f>
        <v>627.34</v>
      </c>
      <c r="G583" s="4" t="str">
        <f>'Raw Data'!G583</f>
        <v>942 Main St</v>
      </c>
      <c r="H583" s="4" t="str">
        <f>'Raw Data'!H583</f>
        <v>Online</v>
      </c>
      <c r="I583" s="4" t="str">
        <f>'Raw Data'!I583</f>
        <v>Delivered</v>
      </c>
      <c r="J583" s="4" t="str">
        <f>'Raw Data'!J583</f>
        <v>TRK87158684</v>
      </c>
      <c r="K583" s="4">
        <f>'Raw Data'!K583</f>
        <v>1</v>
      </c>
      <c r="L583" s="4" t="str">
        <f>IF('Raw Data'!L583="","No Coupon",'Raw Data'!L583)</f>
        <v>No Coupon</v>
      </c>
      <c r="M583" s="4" t="str">
        <f>'Raw Data'!M583</f>
        <v>Referral</v>
      </c>
      <c r="N583" s="4">
        <f>'Raw Data'!N583</f>
        <v>627.34</v>
      </c>
    </row>
    <row r="584" spans="1:14" ht="15" customHeight="1" x14ac:dyDescent="0.2">
      <c r="A584" s="4" t="str">
        <f>'Raw Data'!A584</f>
        <v>ORD200582</v>
      </c>
      <c r="B584" s="6">
        <f>'Raw Data'!B584</f>
        <v>45341</v>
      </c>
      <c r="C584" s="4" t="str">
        <f>'Raw Data'!C584</f>
        <v>C15228</v>
      </c>
      <c r="D584" s="4" t="str">
        <f>'Raw Data'!D584</f>
        <v>Tablet</v>
      </c>
      <c r="E584" s="4">
        <f>'Raw Data'!E584</f>
        <v>3</v>
      </c>
      <c r="F584" s="4">
        <f>'Raw Data'!F584</f>
        <v>474.14</v>
      </c>
      <c r="G584" s="4" t="str">
        <f>'Raw Data'!G584</f>
        <v>558 Main St</v>
      </c>
      <c r="H584" s="4" t="str">
        <f>'Raw Data'!H584</f>
        <v>Gift Card</v>
      </c>
      <c r="I584" s="4" t="str">
        <f>'Raw Data'!I584</f>
        <v>Shipped</v>
      </c>
      <c r="J584" s="4" t="str">
        <f>'Raw Data'!J584</f>
        <v>TRK33860620</v>
      </c>
      <c r="K584" s="4">
        <f>'Raw Data'!K584</f>
        <v>8</v>
      </c>
      <c r="L584" s="4" t="str">
        <f>IF('Raw Data'!L584="","No Coupon",'Raw Data'!L584)</f>
        <v>WINTER15</v>
      </c>
      <c r="M584" s="4" t="str">
        <f>'Raw Data'!M584</f>
        <v>Google</v>
      </c>
      <c r="N584" s="4">
        <f>'Raw Data'!N584</f>
        <v>1422.42</v>
      </c>
    </row>
    <row r="585" spans="1:14" ht="15" customHeight="1" x14ac:dyDescent="0.2">
      <c r="A585" s="4" t="str">
        <f>'Raw Data'!A585</f>
        <v>ORD200583</v>
      </c>
      <c r="B585" s="6">
        <f>'Raw Data'!B585</f>
        <v>45823</v>
      </c>
      <c r="C585" s="4" t="str">
        <f>'Raw Data'!C585</f>
        <v>C27072</v>
      </c>
      <c r="D585" s="4" t="str">
        <f>'Raw Data'!D585</f>
        <v>Chair</v>
      </c>
      <c r="E585" s="4">
        <f>'Raw Data'!E585</f>
        <v>3</v>
      </c>
      <c r="F585" s="4">
        <f>'Raw Data'!F585</f>
        <v>154.37</v>
      </c>
      <c r="G585" s="4" t="str">
        <f>'Raw Data'!G585</f>
        <v>996 Main St</v>
      </c>
      <c r="H585" s="4" t="str">
        <f>'Raw Data'!H585</f>
        <v>Gift Card</v>
      </c>
      <c r="I585" s="4" t="str">
        <f>'Raw Data'!I585</f>
        <v>Delivered</v>
      </c>
      <c r="J585" s="4" t="str">
        <f>'Raw Data'!J585</f>
        <v>TRK29750379</v>
      </c>
      <c r="K585" s="4">
        <f>'Raw Data'!K585</f>
        <v>4</v>
      </c>
      <c r="L585" s="4" t="str">
        <f>IF('Raw Data'!L585="","No Coupon",'Raw Data'!L585)</f>
        <v>No Coupon</v>
      </c>
      <c r="M585" s="4" t="str">
        <f>'Raw Data'!M585</f>
        <v>Instagram</v>
      </c>
      <c r="N585" s="4">
        <f>'Raw Data'!N585</f>
        <v>463.11</v>
      </c>
    </row>
    <row r="586" spans="1:14" ht="15" customHeight="1" x14ac:dyDescent="0.2">
      <c r="A586" s="4" t="str">
        <f>'Raw Data'!A586</f>
        <v>ORD200584</v>
      </c>
      <c r="B586" s="6">
        <f>'Raw Data'!B586</f>
        <v>45737</v>
      </c>
      <c r="C586" s="4" t="str">
        <f>'Raw Data'!C586</f>
        <v>C15257</v>
      </c>
      <c r="D586" s="4" t="str">
        <f>'Raw Data'!D586</f>
        <v>Chair</v>
      </c>
      <c r="E586" s="4">
        <f>'Raw Data'!E586</f>
        <v>4</v>
      </c>
      <c r="F586" s="4">
        <f>'Raw Data'!F586</f>
        <v>145.05000000000001</v>
      </c>
      <c r="G586" s="4" t="str">
        <f>'Raw Data'!G586</f>
        <v>626 Main St</v>
      </c>
      <c r="H586" s="4" t="str">
        <f>'Raw Data'!H586</f>
        <v>Online</v>
      </c>
      <c r="I586" s="4" t="str">
        <f>'Raw Data'!I586</f>
        <v>Delivered</v>
      </c>
      <c r="J586" s="4" t="str">
        <f>'Raw Data'!J586</f>
        <v>TRK28779938</v>
      </c>
      <c r="K586" s="4">
        <f>'Raw Data'!K586</f>
        <v>6</v>
      </c>
      <c r="L586" s="4" t="str">
        <f>IF('Raw Data'!L586="","No Coupon",'Raw Data'!L586)</f>
        <v>SAVE10</v>
      </c>
      <c r="M586" s="4" t="str">
        <f>'Raw Data'!M586</f>
        <v>Google</v>
      </c>
      <c r="N586" s="4">
        <f>'Raw Data'!N586</f>
        <v>580.20000000000005</v>
      </c>
    </row>
    <row r="587" spans="1:14" ht="15" customHeight="1" x14ac:dyDescent="0.2">
      <c r="A587" s="4" t="str">
        <f>'Raw Data'!A587</f>
        <v>ORD200585</v>
      </c>
      <c r="B587" s="6">
        <f>'Raw Data'!B587</f>
        <v>45158</v>
      </c>
      <c r="C587" s="4" t="str">
        <f>'Raw Data'!C587</f>
        <v>C91486</v>
      </c>
      <c r="D587" s="4" t="str">
        <f>'Raw Data'!D587</f>
        <v>Tablet</v>
      </c>
      <c r="E587" s="4">
        <f>'Raw Data'!E587</f>
        <v>4</v>
      </c>
      <c r="F587" s="4">
        <f>'Raw Data'!F587</f>
        <v>67.08</v>
      </c>
      <c r="G587" s="4" t="str">
        <f>'Raw Data'!G587</f>
        <v>907 Main St</v>
      </c>
      <c r="H587" s="4" t="str">
        <f>'Raw Data'!H587</f>
        <v>Cash</v>
      </c>
      <c r="I587" s="4" t="str">
        <f>'Raw Data'!I587</f>
        <v>Returned</v>
      </c>
      <c r="J587" s="4" t="str">
        <f>'Raw Data'!J587</f>
        <v>TRK79617136</v>
      </c>
      <c r="K587" s="4">
        <f>'Raw Data'!K587</f>
        <v>8</v>
      </c>
      <c r="L587" s="4" t="str">
        <f>IF('Raw Data'!L587="","No Coupon",'Raw Data'!L587)</f>
        <v>WINTER15</v>
      </c>
      <c r="M587" s="4" t="str">
        <f>'Raw Data'!M587</f>
        <v>Google</v>
      </c>
      <c r="N587" s="4">
        <f>'Raw Data'!N587</f>
        <v>268.32</v>
      </c>
    </row>
    <row r="588" spans="1:14" ht="15" customHeight="1" x14ac:dyDescent="0.2">
      <c r="A588" s="4" t="str">
        <f>'Raw Data'!A588</f>
        <v>ORD200586</v>
      </c>
      <c r="B588" s="6">
        <f>'Raw Data'!B588</f>
        <v>45606</v>
      </c>
      <c r="C588" s="4" t="str">
        <f>'Raw Data'!C588</f>
        <v>C17389</v>
      </c>
      <c r="D588" s="4" t="str">
        <f>'Raw Data'!D588</f>
        <v>Monitor</v>
      </c>
      <c r="E588" s="4">
        <f>'Raw Data'!E588</f>
        <v>1</v>
      </c>
      <c r="F588" s="4">
        <f>'Raw Data'!F588</f>
        <v>522.08000000000004</v>
      </c>
      <c r="G588" s="4" t="str">
        <f>'Raw Data'!G588</f>
        <v>905 Main St</v>
      </c>
      <c r="H588" s="4" t="str">
        <f>'Raw Data'!H588</f>
        <v>Gift Card</v>
      </c>
      <c r="I588" s="4" t="str">
        <f>'Raw Data'!I588</f>
        <v>Returned</v>
      </c>
      <c r="J588" s="4" t="str">
        <f>'Raw Data'!J588</f>
        <v>TRK98857880</v>
      </c>
      <c r="K588" s="4">
        <f>'Raw Data'!K588</f>
        <v>5</v>
      </c>
      <c r="L588" s="4" t="str">
        <f>IF('Raw Data'!L588="","No Coupon",'Raw Data'!L588)</f>
        <v>FREESHIP</v>
      </c>
      <c r="M588" s="4" t="str">
        <f>'Raw Data'!M588</f>
        <v>Referral</v>
      </c>
      <c r="N588" s="4">
        <f>'Raw Data'!N588</f>
        <v>522.08000000000004</v>
      </c>
    </row>
    <row r="589" spans="1:14" ht="15" customHeight="1" x14ac:dyDescent="0.2">
      <c r="A589" s="4" t="str">
        <f>'Raw Data'!A589</f>
        <v>ORD200587</v>
      </c>
      <c r="B589" s="6">
        <f>'Raw Data'!B589</f>
        <v>45089</v>
      </c>
      <c r="C589" s="4" t="str">
        <f>'Raw Data'!C589</f>
        <v>C18820</v>
      </c>
      <c r="D589" s="4" t="str">
        <f>'Raw Data'!D589</f>
        <v>Monitor</v>
      </c>
      <c r="E589" s="4">
        <f>'Raw Data'!E589</f>
        <v>5</v>
      </c>
      <c r="F589" s="4">
        <f>'Raw Data'!F589</f>
        <v>514.6</v>
      </c>
      <c r="G589" s="4" t="str">
        <f>'Raw Data'!G589</f>
        <v>347 Main St</v>
      </c>
      <c r="H589" s="4" t="str">
        <f>'Raw Data'!H589</f>
        <v>Gift Card</v>
      </c>
      <c r="I589" s="4" t="str">
        <f>'Raw Data'!I589</f>
        <v>Delivered</v>
      </c>
      <c r="J589" s="4" t="str">
        <f>'Raw Data'!J589</f>
        <v>TRK91547425</v>
      </c>
      <c r="K589" s="4">
        <f>'Raw Data'!K589</f>
        <v>10</v>
      </c>
      <c r="L589" s="4" t="str">
        <f>IF('Raw Data'!L589="","No Coupon",'Raw Data'!L589)</f>
        <v>FREESHIP</v>
      </c>
      <c r="M589" s="4" t="str">
        <f>'Raw Data'!M589</f>
        <v>Instagram</v>
      </c>
      <c r="N589" s="4">
        <f>'Raw Data'!N589</f>
        <v>2573</v>
      </c>
    </row>
    <row r="590" spans="1:14" ht="15" customHeight="1" x14ac:dyDescent="0.2">
      <c r="A590" s="4" t="str">
        <f>'Raw Data'!A590</f>
        <v>ORD200588</v>
      </c>
      <c r="B590" s="6">
        <f>'Raw Data'!B590</f>
        <v>45636</v>
      </c>
      <c r="C590" s="4" t="str">
        <f>'Raw Data'!C590</f>
        <v>C61849</v>
      </c>
      <c r="D590" s="4" t="str">
        <f>'Raw Data'!D590</f>
        <v>Monitor</v>
      </c>
      <c r="E590" s="4">
        <f>'Raw Data'!E590</f>
        <v>4</v>
      </c>
      <c r="F590" s="4">
        <f>'Raw Data'!F590</f>
        <v>577.82000000000005</v>
      </c>
      <c r="G590" s="4" t="str">
        <f>'Raw Data'!G590</f>
        <v>811 Main St</v>
      </c>
      <c r="H590" s="4" t="str">
        <f>'Raw Data'!H590</f>
        <v>Credit Card</v>
      </c>
      <c r="I590" s="4" t="str">
        <f>'Raw Data'!I590</f>
        <v>Delivered</v>
      </c>
      <c r="J590" s="4" t="str">
        <f>'Raw Data'!J590</f>
        <v>TRK47613918</v>
      </c>
      <c r="K590" s="4">
        <f>'Raw Data'!K590</f>
        <v>9</v>
      </c>
      <c r="L590" s="4" t="str">
        <f>IF('Raw Data'!L590="","No Coupon",'Raw Data'!L590)</f>
        <v>No Coupon</v>
      </c>
      <c r="M590" s="4" t="str">
        <f>'Raw Data'!M590</f>
        <v>Google</v>
      </c>
      <c r="N590" s="4">
        <f>'Raw Data'!N590</f>
        <v>2311.2800000000002</v>
      </c>
    </row>
    <row r="591" spans="1:14" ht="15" customHeight="1" x14ac:dyDescent="0.2">
      <c r="A591" s="4" t="str">
        <f>'Raw Data'!A591</f>
        <v>ORD200589</v>
      </c>
      <c r="B591" s="6">
        <f>'Raw Data'!B591</f>
        <v>45698</v>
      </c>
      <c r="C591" s="4" t="str">
        <f>'Raw Data'!C591</f>
        <v>C84041</v>
      </c>
      <c r="D591" s="4" t="str">
        <f>'Raw Data'!D591</f>
        <v>Laptop</v>
      </c>
      <c r="E591" s="4">
        <f>'Raw Data'!E591</f>
        <v>2</v>
      </c>
      <c r="F591" s="4">
        <f>'Raw Data'!F591</f>
        <v>500.8</v>
      </c>
      <c r="G591" s="4" t="str">
        <f>'Raw Data'!G591</f>
        <v>900 Main St</v>
      </c>
      <c r="H591" s="4" t="str">
        <f>'Raw Data'!H591</f>
        <v>Cash</v>
      </c>
      <c r="I591" s="4" t="str">
        <f>'Raw Data'!I591</f>
        <v>Delivered</v>
      </c>
      <c r="J591" s="4" t="str">
        <f>'Raw Data'!J591</f>
        <v>TRK84920444</v>
      </c>
      <c r="K591" s="4">
        <f>'Raw Data'!K591</f>
        <v>3</v>
      </c>
      <c r="L591" s="4" t="str">
        <f>IF('Raw Data'!L591="","No Coupon",'Raw Data'!L591)</f>
        <v>FREESHIP</v>
      </c>
      <c r="M591" s="4" t="str">
        <f>'Raw Data'!M591</f>
        <v>Referral</v>
      </c>
      <c r="N591" s="4">
        <f>'Raw Data'!N591</f>
        <v>1001.6</v>
      </c>
    </row>
    <row r="592" spans="1:14" ht="15" customHeight="1" x14ac:dyDescent="0.2">
      <c r="A592" s="4" t="str">
        <f>'Raw Data'!A592</f>
        <v>ORD200590</v>
      </c>
      <c r="B592" s="6">
        <f>'Raw Data'!B592</f>
        <v>45179</v>
      </c>
      <c r="C592" s="4" t="str">
        <f>'Raw Data'!C592</f>
        <v>C55757</v>
      </c>
      <c r="D592" s="4" t="str">
        <f>'Raw Data'!D592</f>
        <v>Printer</v>
      </c>
      <c r="E592" s="4">
        <f>'Raw Data'!E592</f>
        <v>2</v>
      </c>
      <c r="F592" s="4">
        <f>'Raw Data'!F592</f>
        <v>461.13</v>
      </c>
      <c r="G592" s="4" t="str">
        <f>'Raw Data'!G592</f>
        <v>175 Main St</v>
      </c>
      <c r="H592" s="4" t="str">
        <f>'Raw Data'!H592</f>
        <v>Gift Card</v>
      </c>
      <c r="I592" s="4" t="str">
        <f>'Raw Data'!I592</f>
        <v>Returned</v>
      </c>
      <c r="J592" s="4" t="str">
        <f>'Raw Data'!J592</f>
        <v>TRK27356242</v>
      </c>
      <c r="K592" s="4">
        <f>'Raw Data'!K592</f>
        <v>4</v>
      </c>
      <c r="L592" s="4" t="str">
        <f>IF('Raw Data'!L592="","No Coupon",'Raw Data'!L592)</f>
        <v>No Coupon</v>
      </c>
      <c r="M592" s="4" t="str">
        <f>'Raw Data'!M592</f>
        <v>Email</v>
      </c>
      <c r="N592" s="4">
        <f>'Raw Data'!N592</f>
        <v>922.26</v>
      </c>
    </row>
    <row r="593" spans="1:14" ht="15" customHeight="1" x14ac:dyDescent="0.2">
      <c r="A593" s="4" t="str">
        <f>'Raw Data'!A593</f>
        <v>ORD200591</v>
      </c>
      <c r="B593" s="6">
        <f>'Raw Data'!B593</f>
        <v>45614</v>
      </c>
      <c r="C593" s="4" t="str">
        <f>'Raw Data'!C593</f>
        <v>C18187</v>
      </c>
      <c r="D593" s="4" t="str">
        <f>'Raw Data'!D593</f>
        <v>Laptop</v>
      </c>
      <c r="E593" s="4">
        <f>'Raw Data'!E593</f>
        <v>1</v>
      </c>
      <c r="F593" s="4">
        <f>'Raw Data'!F593</f>
        <v>605.28</v>
      </c>
      <c r="G593" s="4" t="str">
        <f>'Raw Data'!G593</f>
        <v>470 Main St</v>
      </c>
      <c r="H593" s="4" t="str">
        <f>'Raw Data'!H593</f>
        <v>Gift Card</v>
      </c>
      <c r="I593" s="4" t="str">
        <f>'Raw Data'!I593</f>
        <v>Shipped</v>
      </c>
      <c r="J593" s="4" t="str">
        <f>'Raw Data'!J593</f>
        <v>TRK50528185</v>
      </c>
      <c r="K593" s="4">
        <f>'Raw Data'!K593</f>
        <v>3</v>
      </c>
      <c r="L593" s="4" t="str">
        <f>IF('Raw Data'!L593="","No Coupon",'Raw Data'!L593)</f>
        <v>FREESHIP</v>
      </c>
      <c r="M593" s="4" t="str">
        <f>'Raw Data'!M593</f>
        <v>Referral</v>
      </c>
      <c r="N593" s="4">
        <f>'Raw Data'!N593</f>
        <v>605.28</v>
      </c>
    </row>
    <row r="594" spans="1:14" ht="15" customHeight="1" x14ac:dyDescent="0.2">
      <c r="A594" s="4" t="str">
        <f>'Raw Data'!A594</f>
        <v>ORD200592</v>
      </c>
      <c r="B594" s="6">
        <f>'Raw Data'!B594</f>
        <v>45405</v>
      </c>
      <c r="C594" s="4" t="str">
        <f>'Raw Data'!C594</f>
        <v>C42306</v>
      </c>
      <c r="D594" s="4" t="str">
        <f>'Raw Data'!D594</f>
        <v>Phone</v>
      </c>
      <c r="E594" s="4">
        <f>'Raw Data'!E594</f>
        <v>3</v>
      </c>
      <c r="F594" s="4">
        <f>'Raw Data'!F594</f>
        <v>204.27</v>
      </c>
      <c r="G594" s="4" t="str">
        <f>'Raw Data'!G594</f>
        <v>938 Main St</v>
      </c>
      <c r="H594" s="4" t="str">
        <f>'Raw Data'!H594</f>
        <v>Online</v>
      </c>
      <c r="I594" s="4" t="str">
        <f>'Raw Data'!I594</f>
        <v>Returned</v>
      </c>
      <c r="J594" s="4" t="str">
        <f>'Raw Data'!J594</f>
        <v>TRK15499648</v>
      </c>
      <c r="K594" s="4">
        <f>'Raw Data'!K594</f>
        <v>4</v>
      </c>
      <c r="L594" s="4" t="str">
        <f>IF('Raw Data'!L594="","No Coupon",'Raw Data'!L594)</f>
        <v>No Coupon</v>
      </c>
      <c r="M594" s="4" t="str">
        <f>'Raw Data'!M594</f>
        <v>Google</v>
      </c>
      <c r="N594" s="4">
        <f>'Raw Data'!N594</f>
        <v>612.80999999999995</v>
      </c>
    </row>
    <row r="595" spans="1:14" ht="15" customHeight="1" x14ac:dyDescent="0.2">
      <c r="A595" s="4" t="str">
        <f>'Raw Data'!A595</f>
        <v>ORD200593</v>
      </c>
      <c r="B595" s="6">
        <f>'Raw Data'!B595</f>
        <v>45140</v>
      </c>
      <c r="C595" s="4" t="str">
        <f>'Raw Data'!C595</f>
        <v>C51024</v>
      </c>
      <c r="D595" s="4" t="str">
        <f>'Raw Data'!D595</f>
        <v>Monitor</v>
      </c>
      <c r="E595" s="4">
        <f>'Raw Data'!E595</f>
        <v>1</v>
      </c>
      <c r="F595" s="4">
        <f>'Raw Data'!F595</f>
        <v>489.8</v>
      </c>
      <c r="G595" s="4" t="str">
        <f>'Raw Data'!G595</f>
        <v>636 Main St</v>
      </c>
      <c r="H595" s="4" t="str">
        <f>'Raw Data'!H595</f>
        <v>Gift Card</v>
      </c>
      <c r="I595" s="4" t="str">
        <f>'Raw Data'!I595</f>
        <v>Shipped</v>
      </c>
      <c r="J595" s="4" t="str">
        <f>'Raw Data'!J595</f>
        <v>TRK31375086</v>
      </c>
      <c r="K595" s="4">
        <f>'Raw Data'!K595</f>
        <v>4</v>
      </c>
      <c r="L595" s="4" t="str">
        <f>IF('Raw Data'!L595="","No Coupon",'Raw Data'!L595)</f>
        <v>FREESHIP</v>
      </c>
      <c r="M595" s="4" t="str">
        <f>'Raw Data'!M595</f>
        <v>Facebook</v>
      </c>
      <c r="N595" s="4">
        <f>'Raw Data'!N595</f>
        <v>489.8</v>
      </c>
    </row>
    <row r="596" spans="1:14" ht="15" customHeight="1" x14ac:dyDescent="0.2">
      <c r="A596" s="4" t="str">
        <f>'Raw Data'!A596</f>
        <v>ORD200594</v>
      </c>
      <c r="B596" s="6">
        <f>'Raw Data'!B596</f>
        <v>45343</v>
      </c>
      <c r="C596" s="4" t="str">
        <f>'Raw Data'!C596</f>
        <v>C40140</v>
      </c>
      <c r="D596" s="4" t="str">
        <f>'Raw Data'!D596</f>
        <v>Phone</v>
      </c>
      <c r="E596" s="4">
        <f>'Raw Data'!E596</f>
        <v>5</v>
      </c>
      <c r="F596" s="4">
        <f>'Raw Data'!F596</f>
        <v>72.64</v>
      </c>
      <c r="G596" s="4" t="str">
        <f>'Raw Data'!G596</f>
        <v>598 Main St</v>
      </c>
      <c r="H596" s="4" t="str">
        <f>'Raw Data'!H596</f>
        <v>Credit Card</v>
      </c>
      <c r="I596" s="4" t="str">
        <f>'Raw Data'!I596</f>
        <v>Cancelled</v>
      </c>
      <c r="J596" s="4" t="str">
        <f>'Raw Data'!J596</f>
        <v>TRK12671989</v>
      </c>
      <c r="K596" s="4">
        <f>'Raw Data'!K596</f>
        <v>7</v>
      </c>
      <c r="L596" s="4" t="str">
        <f>IF('Raw Data'!L596="","No Coupon",'Raw Data'!L596)</f>
        <v>No Coupon</v>
      </c>
      <c r="M596" s="4" t="str">
        <f>'Raw Data'!M596</f>
        <v>Email</v>
      </c>
      <c r="N596" s="4">
        <f>'Raw Data'!N596</f>
        <v>363.2</v>
      </c>
    </row>
    <row r="597" spans="1:14" ht="15" customHeight="1" x14ac:dyDescent="0.2">
      <c r="A597" s="4" t="str">
        <f>'Raw Data'!A597</f>
        <v>ORD200595</v>
      </c>
      <c r="B597" s="6">
        <f>'Raw Data'!B597</f>
        <v>45667</v>
      </c>
      <c r="C597" s="4" t="str">
        <f>'Raw Data'!C597</f>
        <v>C72596</v>
      </c>
      <c r="D597" s="4" t="str">
        <f>'Raw Data'!D597</f>
        <v>Printer</v>
      </c>
      <c r="E597" s="4">
        <f>'Raw Data'!E597</f>
        <v>2</v>
      </c>
      <c r="F597" s="4">
        <f>'Raw Data'!F597</f>
        <v>385.16</v>
      </c>
      <c r="G597" s="4" t="str">
        <f>'Raw Data'!G597</f>
        <v>491 Main St</v>
      </c>
      <c r="H597" s="4" t="str">
        <f>'Raw Data'!H597</f>
        <v>Online</v>
      </c>
      <c r="I597" s="4" t="str">
        <f>'Raw Data'!I597</f>
        <v>Pending</v>
      </c>
      <c r="J597" s="4" t="str">
        <f>'Raw Data'!J597</f>
        <v>TRK83870446</v>
      </c>
      <c r="K597" s="4">
        <f>'Raw Data'!K597</f>
        <v>7</v>
      </c>
      <c r="L597" s="4" t="str">
        <f>IF('Raw Data'!L597="","No Coupon",'Raw Data'!L597)</f>
        <v>SAVE10</v>
      </c>
      <c r="M597" s="4" t="str">
        <f>'Raw Data'!M597</f>
        <v>Email</v>
      </c>
      <c r="N597" s="4">
        <f>'Raw Data'!N597</f>
        <v>770.32</v>
      </c>
    </row>
    <row r="598" spans="1:14" ht="15" customHeight="1" x14ac:dyDescent="0.2">
      <c r="A598" s="4" t="str">
        <f>'Raw Data'!A598</f>
        <v>ORD200596</v>
      </c>
      <c r="B598" s="6">
        <f>'Raw Data'!B598</f>
        <v>45089</v>
      </c>
      <c r="C598" s="4" t="str">
        <f>'Raw Data'!C598</f>
        <v>C91805</v>
      </c>
      <c r="D598" s="4" t="str">
        <f>'Raw Data'!D598</f>
        <v>Desk</v>
      </c>
      <c r="E598" s="4">
        <f>'Raw Data'!E598</f>
        <v>3</v>
      </c>
      <c r="F598" s="4">
        <f>'Raw Data'!F598</f>
        <v>606.41</v>
      </c>
      <c r="G598" s="4" t="str">
        <f>'Raw Data'!G598</f>
        <v>653 Main St</v>
      </c>
      <c r="H598" s="4" t="str">
        <f>'Raw Data'!H598</f>
        <v>Debit Card</v>
      </c>
      <c r="I598" s="4" t="str">
        <f>'Raw Data'!I598</f>
        <v>Returned</v>
      </c>
      <c r="J598" s="4" t="str">
        <f>'Raw Data'!J598</f>
        <v>TRK34504030</v>
      </c>
      <c r="K598" s="4">
        <f>'Raw Data'!K598</f>
        <v>7</v>
      </c>
      <c r="L598" s="4" t="str">
        <f>IF('Raw Data'!L598="","No Coupon",'Raw Data'!L598)</f>
        <v>FREESHIP</v>
      </c>
      <c r="M598" s="4" t="str">
        <f>'Raw Data'!M598</f>
        <v>Facebook</v>
      </c>
      <c r="N598" s="4">
        <f>'Raw Data'!N598</f>
        <v>1819.23</v>
      </c>
    </row>
    <row r="599" spans="1:14" ht="15" customHeight="1" x14ac:dyDescent="0.2">
      <c r="A599" s="4" t="str">
        <f>'Raw Data'!A599</f>
        <v>ORD200597</v>
      </c>
      <c r="B599" s="6">
        <f>'Raw Data'!B599</f>
        <v>45621</v>
      </c>
      <c r="C599" s="4" t="str">
        <f>'Raw Data'!C599</f>
        <v>C40538</v>
      </c>
      <c r="D599" s="4" t="str">
        <f>'Raw Data'!D599</f>
        <v>Desk</v>
      </c>
      <c r="E599" s="4">
        <f>'Raw Data'!E599</f>
        <v>2</v>
      </c>
      <c r="F599" s="4">
        <f>'Raw Data'!F599</f>
        <v>211.82</v>
      </c>
      <c r="G599" s="4" t="str">
        <f>'Raw Data'!G599</f>
        <v>700 Main St</v>
      </c>
      <c r="H599" s="4" t="str">
        <f>'Raw Data'!H599</f>
        <v>Gift Card</v>
      </c>
      <c r="I599" s="4" t="str">
        <f>'Raw Data'!I599</f>
        <v>Cancelled</v>
      </c>
      <c r="J599" s="4" t="str">
        <f>'Raw Data'!J599</f>
        <v>TRK29821356</v>
      </c>
      <c r="K599" s="4">
        <f>'Raw Data'!K599</f>
        <v>4</v>
      </c>
      <c r="L599" s="4" t="str">
        <f>IF('Raw Data'!L599="","No Coupon",'Raw Data'!L599)</f>
        <v>WINTER15</v>
      </c>
      <c r="M599" s="4" t="str">
        <f>'Raw Data'!M599</f>
        <v>Email</v>
      </c>
      <c r="N599" s="4">
        <f>'Raw Data'!N599</f>
        <v>423.64</v>
      </c>
    </row>
    <row r="600" spans="1:14" ht="15" customHeight="1" x14ac:dyDescent="0.2">
      <c r="A600" s="4" t="str">
        <f>'Raw Data'!A600</f>
        <v>ORD200598</v>
      </c>
      <c r="B600" s="6">
        <f>'Raw Data'!B600</f>
        <v>45408</v>
      </c>
      <c r="C600" s="4" t="str">
        <f>'Raw Data'!C600</f>
        <v>C60329</v>
      </c>
      <c r="D600" s="4" t="str">
        <f>'Raw Data'!D600</f>
        <v>Desk</v>
      </c>
      <c r="E600" s="4">
        <f>'Raw Data'!E600</f>
        <v>5</v>
      </c>
      <c r="F600" s="4">
        <f>'Raw Data'!F600</f>
        <v>495.35</v>
      </c>
      <c r="G600" s="4" t="str">
        <f>'Raw Data'!G600</f>
        <v>826 Main St</v>
      </c>
      <c r="H600" s="4" t="str">
        <f>'Raw Data'!H600</f>
        <v>Credit Card</v>
      </c>
      <c r="I600" s="4" t="str">
        <f>'Raw Data'!I600</f>
        <v>Pending</v>
      </c>
      <c r="J600" s="4" t="str">
        <f>'Raw Data'!J600</f>
        <v>TRK59069987</v>
      </c>
      <c r="K600" s="4">
        <f>'Raw Data'!K600</f>
        <v>5</v>
      </c>
      <c r="L600" s="4" t="str">
        <f>IF('Raw Data'!L600="","No Coupon",'Raw Data'!L600)</f>
        <v>No Coupon</v>
      </c>
      <c r="M600" s="4" t="str">
        <f>'Raw Data'!M600</f>
        <v>Facebook</v>
      </c>
      <c r="N600" s="4">
        <f>'Raw Data'!N600</f>
        <v>2476.75</v>
      </c>
    </row>
    <row r="601" spans="1:14" ht="15" customHeight="1" x14ac:dyDescent="0.2">
      <c r="A601" s="4" t="str">
        <f>'Raw Data'!A601</f>
        <v>ORD200599</v>
      </c>
      <c r="B601" s="6">
        <f>'Raw Data'!B601</f>
        <v>45107</v>
      </c>
      <c r="C601" s="4" t="str">
        <f>'Raw Data'!C601</f>
        <v>C28740</v>
      </c>
      <c r="D601" s="4" t="str">
        <f>'Raw Data'!D601</f>
        <v>Chair</v>
      </c>
      <c r="E601" s="4">
        <f>'Raw Data'!E601</f>
        <v>3</v>
      </c>
      <c r="F601" s="4">
        <f>'Raw Data'!F601</f>
        <v>556.99</v>
      </c>
      <c r="G601" s="4" t="str">
        <f>'Raw Data'!G601</f>
        <v>123 Main St</v>
      </c>
      <c r="H601" s="4" t="str">
        <f>'Raw Data'!H601</f>
        <v>Online</v>
      </c>
      <c r="I601" s="4" t="str">
        <f>'Raw Data'!I601</f>
        <v>Cancelled</v>
      </c>
      <c r="J601" s="4" t="str">
        <f>'Raw Data'!J601</f>
        <v>TRK33642221</v>
      </c>
      <c r="K601" s="4">
        <f>'Raw Data'!K601</f>
        <v>4</v>
      </c>
      <c r="L601" s="4" t="str">
        <f>IF('Raw Data'!L601="","No Coupon",'Raw Data'!L601)</f>
        <v>FREESHIP</v>
      </c>
      <c r="M601" s="4" t="str">
        <f>'Raw Data'!M601</f>
        <v>Facebook</v>
      </c>
      <c r="N601" s="4">
        <f>'Raw Data'!N601</f>
        <v>1670.97</v>
      </c>
    </row>
    <row r="602" spans="1:14" ht="15" customHeight="1" x14ac:dyDescent="0.2">
      <c r="A602" s="4" t="str">
        <f>'Raw Data'!A602</f>
        <v>ORD200600</v>
      </c>
      <c r="B602" s="6">
        <f>'Raw Data'!B602</f>
        <v>45072</v>
      </c>
      <c r="C602" s="4" t="str">
        <f>'Raw Data'!C602</f>
        <v>C87051</v>
      </c>
      <c r="D602" s="4" t="str">
        <f>'Raw Data'!D602</f>
        <v>Printer</v>
      </c>
      <c r="E602" s="4">
        <f>'Raw Data'!E602</f>
        <v>1</v>
      </c>
      <c r="F602" s="4">
        <f>'Raw Data'!F602</f>
        <v>72.31</v>
      </c>
      <c r="G602" s="4" t="str">
        <f>'Raw Data'!G602</f>
        <v>460 Main St</v>
      </c>
      <c r="H602" s="4" t="str">
        <f>'Raw Data'!H602</f>
        <v>Gift Card</v>
      </c>
      <c r="I602" s="4" t="str">
        <f>'Raw Data'!I602</f>
        <v>Cancelled</v>
      </c>
      <c r="J602" s="4" t="str">
        <f>'Raw Data'!J602</f>
        <v>TRK82056333</v>
      </c>
      <c r="K602" s="4">
        <f>'Raw Data'!K602</f>
        <v>1</v>
      </c>
      <c r="L602" s="4" t="str">
        <f>IF('Raw Data'!L602="","No Coupon",'Raw Data'!L602)</f>
        <v>FREESHIP</v>
      </c>
      <c r="M602" s="4" t="str">
        <f>'Raw Data'!M602</f>
        <v>Facebook</v>
      </c>
      <c r="N602" s="4">
        <f>'Raw Data'!N602</f>
        <v>72.31</v>
      </c>
    </row>
    <row r="603" spans="1:14" ht="15" customHeight="1" x14ac:dyDescent="0.2">
      <c r="A603" s="4" t="str">
        <f>'Raw Data'!A603</f>
        <v>ORD200601</v>
      </c>
      <c r="B603" s="6">
        <f>'Raw Data'!B603</f>
        <v>45201</v>
      </c>
      <c r="C603" s="4" t="str">
        <f>'Raw Data'!C603</f>
        <v>C12479</v>
      </c>
      <c r="D603" s="4" t="str">
        <f>'Raw Data'!D603</f>
        <v>Monitor</v>
      </c>
      <c r="E603" s="4">
        <f>'Raw Data'!E603</f>
        <v>5</v>
      </c>
      <c r="F603" s="4">
        <f>'Raw Data'!F603</f>
        <v>24.82</v>
      </c>
      <c r="G603" s="4" t="str">
        <f>'Raw Data'!G603</f>
        <v>529 Main St</v>
      </c>
      <c r="H603" s="4" t="str">
        <f>'Raw Data'!H603</f>
        <v>Credit Card</v>
      </c>
      <c r="I603" s="4" t="str">
        <f>'Raw Data'!I603</f>
        <v>Shipped</v>
      </c>
      <c r="J603" s="4" t="str">
        <f>'Raw Data'!J603</f>
        <v>TRK73935314</v>
      </c>
      <c r="K603" s="4">
        <f>'Raw Data'!K603</f>
        <v>10</v>
      </c>
      <c r="L603" s="4" t="str">
        <f>IF('Raw Data'!L603="","No Coupon",'Raw Data'!L603)</f>
        <v>No Coupon</v>
      </c>
      <c r="M603" s="4" t="str">
        <f>'Raw Data'!M603</f>
        <v>Referral</v>
      </c>
      <c r="N603" s="4">
        <f>'Raw Data'!N603</f>
        <v>124.1</v>
      </c>
    </row>
    <row r="604" spans="1:14" ht="15" customHeight="1" x14ac:dyDescent="0.2">
      <c r="A604" s="4" t="str">
        <f>'Raw Data'!A604</f>
        <v>ORD200602</v>
      </c>
      <c r="B604" s="6">
        <f>'Raw Data'!B604</f>
        <v>45356</v>
      </c>
      <c r="C604" s="4" t="str">
        <f>'Raw Data'!C604</f>
        <v>C35852</v>
      </c>
      <c r="D604" s="4" t="str">
        <f>'Raw Data'!D604</f>
        <v>Tablet</v>
      </c>
      <c r="E604" s="4">
        <f>'Raw Data'!E604</f>
        <v>4</v>
      </c>
      <c r="F604" s="4">
        <f>'Raw Data'!F604</f>
        <v>26.04</v>
      </c>
      <c r="G604" s="4" t="str">
        <f>'Raw Data'!G604</f>
        <v>982 Main St</v>
      </c>
      <c r="H604" s="4" t="str">
        <f>'Raw Data'!H604</f>
        <v>Online</v>
      </c>
      <c r="I604" s="4" t="str">
        <f>'Raw Data'!I604</f>
        <v>Pending</v>
      </c>
      <c r="J604" s="4" t="str">
        <f>'Raw Data'!J604</f>
        <v>TRK64660134</v>
      </c>
      <c r="K604" s="4">
        <f>'Raw Data'!K604</f>
        <v>5</v>
      </c>
      <c r="L604" s="4" t="str">
        <f>IF('Raw Data'!L604="","No Coupon",'Raw Data'!L604)</f>
        <v>SAVE10</v>
      </c>
      <c r="M604" s="4" t="str">
        <f>'Raw Data'!M604</f>
        <v>Instagram</v>
      </c>
      <c r="N604" s="4">
        <f>'Raw Data'!N604</f>
        <v>104.16</v>
      </c>
    </row>
    <row r="605" spans="1:14" ht="15" customHeight="1" x14ac:dyDescent="0.2">
      <c r="A605" s="4" t="str">
        <f>'Raw Data'!A605</f>
        <v>ORD200603</v>
      </c>
      <c r="B605" s="6">
        <f>'Raw Data'!B605</f>
        <v>45569</v>
      </c>
      <c r="C605" s="4" t="str">
        <f>'Raw Data'!C605</f>
        <v>C26223</v>
      </c>
      <c r="D605" s="4" t="str">
        <f>'Raw Data'!D605</f>
        <v>Tablet</v>
      </c>
      <c r="E605" s="4">
        <f>'Raw Data'!E605</f>
        <v>1</v>
      </c>
      <c r="F605" s="4">
        <f>'Raw Data'!F605</f>
        <v>657.07</v>
      </c>
      <c r="G605" s="4" t="str">
        <f>'Raw Data'!G605</f>
        <v>800 Main St</v>
      </c>
      <c r="H605" s="4" t="str">
        <f>'Raw Data'!H605</f>
        <v>Cash</v>
      </c>
      <c r="I605" s="4" t="str">
        <f>'Raw Data'!I605</f>
        <v>Pending</v>
      </c>
      <c r="J605" s="4" t="str">
        <f>'Raw Data'!J605</f>
        <v>TRK50900547</v>
      </c>
      <c r="K605" s="4">
        <f>'Raw Data'!K605</f>
        <v>4</v>
      </c>
      <c r="L605" s="4" t="str">
        <f>IF('Raw Data'!L605="","No Coupon",'Raw Data'!L605)</f>
        <v>SAVE10</v>
      </c>
      <c r="M605" s="4" t="str">
        <f>'Raw Data'!M605</f>
        <v>Google</v>
      </c>
      <c r="N605" s="4">
        <f>'Raw Data'!N605</f>
        <v>657.07</v>
      </c>
    </row>
    <row r="606" spans="1:14" ht="15" customHeight="1" x14ac:dyDescent="0.2">
      <c r="A606" s="4" t="str">
        <f>'Raw Data'!A606</f>
        <v>ORD200604</v>
      </c>
      <c r="B606" s="6">
        <f>'Raw Data'!B606</f>
        <v>45830</v>
      </c>
      <c r="C606" s="4" t="str">
        <f>'Raw Data'!C606</f>
        <v>C99214</v>
      </c>
      <c r="D606" s="4" t="str">
        <f>'Raw Data'!D606</f>
        <v>Chair</v>
      </c>
      <c r="E606" s="4">
        <f>'Raw Data'!E606</f>
        <v>3</v>
      </c>
      <c r="F606" s="4">
        <f>'Raw Data'!F606</f>
        <v>32.619999999999997</v>
      </c>
      <c r="G606" s="4" t="str">
        <f>'Raw Data'!G606</f>
        <v>252 Main St</v>
      </c>
      <c r="H606" s="4" t="str">
        <f>'Raw Data'!H606</f>
        <v>Debit Card</v>
      </c>
      <c r="I606" s="4" t="str">
        <f>'Raw Data'!I606</f>
        <v>Delivered</v>
      </c>
      <c r="J606" s="4" t="str">
        <f>'Raw Data'!J606</f>
        <v>TRK81368481</v>
      </c>
      <c r="K606" s="4">
        <f>'Raw Data'!K606</f>
        <v>6</v>
      </c>
      <c r="L606" s="4" t="str">
        <f>IF('Raw Data'!L606="","No Coupon",'Raw Data'!L606)</f>
        <v>No Coupon</v>
      </c>
      <c r="M606" s="4" t="str">
        <f>'Raw Data'!M606</f>
        <v>Facebook</v>
      </c>
      <c r="N606" s="4">
        <f>'Raw Data'!N606</f>
        <v>97.86</v>
      </c>
    </row>
    <row r="607" spans="1:14" ht="15" customHeight="1" x14ac:dyDescent="0.2">
      <c r="A607" s="4" t="str">
        <f>'Raw Data'!A607</f>
        <v>ORD200605</v>
      </c>
      <c r="B607" s="6">
        <f>'Raw Data'!B607</f>
        <v>45422</v>
      </c>
      <c r="C607" s="4" t="str">
        <f>'Raw Data'!C607</f>
        <v>C49605</v>
      </c>
      <c r="D607" s="4" t="str">
        <f>'Raw Data'!D607</f>
        <v>Monitor</v>
      </c>
      <c r="E607" s="4">
        <f>'Raw Data'!E607</f>
        <v>2</v>
      </c>
      <c r="F607" s="4">
        <f>'Raw Data'!F607</f>
        <v>228.91</v>
      </c>
      <c r="G607" s="4" t="str">
        <f>'Raw Data'!G607</f>
        <v>892 Main St</v>
      </c>
      <c r="H607" s="4" t="str">
        <f>'Raw Data'!H607</f>
        <v>Debit Card</v>
      </c>
      <c r="I607" s="4" t="str">
        <f>'Raw Data'!I607</f>
        <v>Shipped</v>
      </c>
      <c r="J607" s="4" t="str">
        <f>'Raw Data'!J607</f>
        <v>TRK95620066</v>
      </c>
      <c r="K607" s="4">
        <f>'Raw Data'!K607</f>
        <v>4</v>
      </c>
      <c r="L607" s="4" t="str">
        <f>IF('Raw Data'!L607="","No Coupon",'Raw Data'!L607)</f>
        <v>SAVE10</v>
      </c>
      <c r="M607" s="4" t="str">
        <f>'Raw Data'!M607</f>
        <v>Referral</v>
      </c>
      <c r="N607" s="4">
        <f>'Raw Data'!N607</f>
        <v>457.82</v>
      </c>
    </row>
    <row r="608" spans="1:14" ht="15" customHeight="1" x14ac:dyDescent="0.2">
      <c r="A608" s="4" t="str">
        <f>'Raw Data'!A608</f>
        <v>ORD200606</v>
      </c>
      <c r="B608" s="6">
        <f>'Raw Data'!B608</f>
        <v>45602</v>
      </c>
      <c r="C608" s="4" t="str">
        <f>'Raw Data'!C608</f>
        <v>C85018</v>
      </c>
      <c r="D608" s="4" t="str">
        <f>'Raw Data'!D608</f>
        <v>Laptop</v>
      </c>
      <c r="E608" s="4">
        <f>'Raw Data'!E608</f>
        <v>3</v>
      </c>
      <c r="F608" s="4">
        <f>'Raw Data'!F608</f>
        <v>274.75</v>
      </c>
      <c r="G608" s="4" t="str">
        <f>'Raw Data'!G608</f>
        <v>783 Main St</v>
      </c>
      <c r="H608" s="4" t="str">
        <f>'Raw Data'!H608</f>
        <v>Cash</v>
      </c>
      <c r="I608" s="4" t="str">
        <f>'Raw Data'!I608</f>
        <v>Cancelled</v>
      </c>
      <c r="J608" s="4" t="str">
        <f>'Raw Data'!J608</f>
        <v>TRK54128886</v>
      </c>
      <c r="K608" s="4">
        <f>'Raw Data'!K608</f>
        <v>3</v>
      </c>
      <c r="L608" s="4" t="str">
        <f>IF('Raw Data'!L608="","No Coupon",'Raw Data'!L608)</f>
        <v>SAVE10</v>
      </c>
      <c r="M608" s="4" t="str">
        <f>'Raw Data'!M608</f>
        <v>Google</v>
      </c>
      <c r="N608" s="4">
        <f>'Raw Data'!N608</f>
        <v>824.25</v>
      </c>
    </row>
    <row r="609" spans="1:14" ht="15" customHeight="1" x14ac:dyDescent="0.2">
      <c r="A609" s="4" t="str">
        <f>'Raw Data'!A609</f>
        <v>ORD200607</v>
      </c>
      <c r="B609" s="6">
        <f>'Raw Data'!B609</f>
        <v>45808</v>
      </c>
      <c r="C609" s="4" t="str">
        <f>'Raw Data'!C609</f>
        <v>C96434</v>
      </c>
      <c r="D609" s="4" t="str">
        <f>'Raw Data'!D609</f>
        <v>Printer</v>
      </c>
      <c r="E609" s="4">
        <f>'Raw Data'!E609</f>
        <v>4</v>
      </c>
      <c r="F609" s="4">
        <f>'Raw Data'!F609</f>
        <v>634.04999999999995</v>
      </c>
      <c r="G609" s="4" t="str">
        <f>'Raw Data'!G609</f>
        <v>282 Main St</v>
      </c>
      <c r="H609" s="4" t="str">
        <f>'Raw Data'!H609</f>
        <v>Cash</v>
      </c>
      <c r="I609" s="4" t="str">
        <f>'Raw Data'!I609</f>
        <v>Shipped</v>
      </c>
      <c r="J609" s="4" t="str">
        <f>'Raw Data'!J609</f>
        <v>TRK56730647</v>
      </c>
      <c r="K609" s="4">
        <f>'Raw Data'!K609</f>
        <v>6</v>
      </c>
      <c r="L609" s="4" t="str">
        <f>IF('Raw Data'!L609="","No Coupon",'Raw Data'!L609)</f>
        <v>SAVE10</v>
      </c>
      <c r="M609" s="4" t="str">
        <f>'Raw Data'!M609</f>
        <v>Google</v>
      </c>
      <c r="N609" s="4">
        <f>'Raw Data'!N609</f>
        <v>2536.1999999999998</v>
      </c>
    </row>
    <row r="610" spans="1:14" ht="15" customHeight="1" x14ac:dyDescent="0.2">
      <c r="A610" s="4" t="str">
        <f>'Raw Data'!A610</f>
        <v>ORD200608</v>
      </c>
      <c r="B610" s="6">
        <f>'Raw Data'!B610</f>
        <v>45497</v>
      </c>
      <c r="C610" s="4" t="str">
        <f>'Raw Data'!C610</f>
        <v>C32956</v>
      </c>
      <c r="D610" s="4" t="str">
        <f>'Raw Data'!D610</f>
        <v>Laptop</v>
      </c>
      <c r="E610" s="4">
        <f>'Raw Data'!E610</f>
        <v>5</v>
      </c>
      <c r="F610" s="4">
        <f>'Raw Data'!F610</f>
        <v>543.16</v>
      </c>
      <c r="G610" s="4" t="str">
        <f>'Raw Data'!G610</f>
        <v>788 Main St</v>
      </c>
      <c r="H610" s="4" t="str">
        <f>'Raw Data'!H610</f>
        <v>Online</v>
      </c>
      <c r="I610" s="4" t="str">
        <f>'Raw Data'!I610</f>
        <v>Cancelled</v>
      </c>
      <c r="J610" s="4" t="str">
        <f>'Raw Data'!J610</f>
        <v>TRK73140103</v>
      </c>
      <c r="K610" s="4">
        <f>'Raw Data'!K610</f>
        <v>6</v>
      </c>
      <c r="L610" s="4" t="str">
        <f>IF('Raw Data'!L610="","No Coupon",'Raw Data'!L610)</f>
        <v>SAVE10</v>
      </c>
      <c r="M610" s="4" t="str">
        <f>'Raw Data'!M610</f>
        <v>Instagram</v>
      </c>
      <c r="N610" s="4">
        <f>'Raw Data'!N610</f>
        <v>2715.8</v>
      </c>
    </row>
    <row r="611" spans="1:14" ht="15" customHeight="1" x14ac:dyDescent="0.2">
      <c r="A611" s="4" t="str">
        <f>'Raw Data'!A611</f>
        <v>ORD200609</v>
      </c>
      <c r="B611" s="6">
        <f>'Raw Data'!B611</f>
        <v>45684</v>
      </c>
      <c r="C611" s="4" t="str">
        <f>'Raw Data'!C611</f>
        <v>C41137</v>
      </c>
      <c r="D611" s="4" t="str">
        <f>'Raw Data'!D611</f>
        <v>Chair</v>
      </c>
      <c r="E611" s="4">
        <f>'Raw Data'!E611</f>
        <v>3</v>
      </c>
      <c r="F611" s="4">
        <f>'Raw Data'!F611</f>
        <v>449.13</v>
      </c>
      <c r="G611" s="4" t="str">
        <f>'Raw Data'!G611</f>
        <v>809 Main St</v>
      </c>
      <c r="H611" s="4" t="str">
        <f>'Raw Data'!H611</f>
        <v>Cash</v>
      </c>
      <c r="I611" s="4" t="str">
        <f>'Raw Data'!I611</f>
        <v>Returned</v>
      </c>
      <c r="J611" s="4" t="str">
        <f>'Raw Data'!J611</f>
        <v>TRK52732162</v>
      </c>
      <c r="K611" s="4">
        <f>'Raw Data'!K611</f>
        <v>5</v>
      </c>
      <c r="L611" s="4" t="str">
        <f>IF('Raw Data'!L611="","No Coupon",'Raw Data'!L611)</f>
        <v>WINTER15</v>
      </c>
      <c r="M611" s="4" t="str">
        <f>'Raw Data'!M611</f>
        <v>Referral</v>
      </c>
      <c r="N611" s="4">
        <f>'Raw Data'!N611</f>
        <v>1347.39</v>
      </c>
    </row>
    <row r="612" spans="1:14" ht="15" customHeight="1" x14ac:dyDescent="0.2">
      <c r="A612" s="4" t="str">
        <f>'Raw Data'!A612</f>
        <v>ORD200610</v>
      </c>
      <c r="B612" s="6">
        <f>'Raw Data'!B612</f>
        <v>45459</v>
      </c>
      <c r="C612" s="4" t="str">
        <f>'Raw Data'!C612</f>
        <v>C60361</v>
      </c>
      <c r="D612" s="4" t="str">
        <f>'Raw Data'!D612</f>
        <v>Desk</v>
      </c>
      <c r="E612" s="4">
        <f>'Raw Data'!E612</f>
        <v>5</v>
      </c>
      <c r="F612" s="4">
        <f>'Raw Data'!F612</f>
        <v>389.62</v>
      </c>
      <c r="G612" s="4" t="str">
        <f>'Raw Data'!G612</f>
        <v>623 Main St</v>
      </c>
      <c r="H612" s="4" t="str">
        <f>'Raw Data'!H612</f>
        <v>Cash</v>
      </c>
      <c r="I612" s="4" t="str">
        <f>'Raw Data'!I612</f>
        <v>Returned</v>
      </c>
      <c r="J612" s="4" t="str">
        <f>'Raw Data'!J612</f>
        <v>TRK83566924</v>
      </c>
      <c r="K612" s="4">
        <f>'Raw Data'!K612</f>
        <v>7</v>
      </c>
      <c r="L612" s="4" t="str">
        <f>IF('Raw Data'!L612="","No Coupon",'Raw Data'!L612)</f>
        <v>FREESHIP</v>
      </c>
      <c r="M612" s="4" t="str">
        <f>'Raw Data'!M612</f>
        <v>Facebook</v>
      </c>
      <c r="N612" s="4">
        <f>'Raw Data'!N612</f>
        <v>1948.1</v>
      </c>
    </row>
    <row r="613" spans="1:14" ht="15" customHeight="1" x14ac:dyDescent="0.2">
      <c r="A613" s="4" t="str">
        <f>'Raw Data'!A613</f>
        <v>ORD200611</v>
      </c>
      <c r="B613" s="6">
        <f>'Raw Data'!B613</f>
        <v>45037</v>
      </c>
      <c r="C613" s="4" t="str">
        <f>'Raw Data'!C613</f>
        <v>C36688</v>
      </c>
      <c r="D613" s="4" t="str">
        <f>'Raw Data'!D613</f>
        <v>Desk</v>
      </c>
      <c r="E613" s="4">
        <f>'Raw Data'!E613</f>
        <v>1</v>
      </c>
      <c r="F613" s="4">
        <f>'Raw Data'!F613</f>
        <v>305.17</v>
      </c>
      <c r="G613" s="4" t="str">
        <f>'Raw Data'!G613</f>
        <v>700 Main St</v>
      </c>
      <c r="H613" s="4" t="str">
        <f>'Raw Data'!H613</f>
        <v>Gift Card</v>
      </c>
      <c r="I613" s="4" t="str">
        <f>'Raw Data'!I613</f>
        <v>Returned</v>
      </c>
      <c r="J613" s="4" t="str">
        <f>'Raw Data'!J613</f>
        <v>TRK35720426</v>
      </c>
      <c r="K613" s="4">
        <f>'Raw Data'!K613</f>
        <v>3</v>
      </c>
      <c r="L613" s="4" t="str">
        <f>IF('Raw Data'!L613="","No Coupon",'Raw Data'!L613)</f>
        <v>WINTER15</v>
      </c>
      <c r="M613" s="4" t="str">
        <f>'Raw Data'!M613</f>
        <v>Referral</v>
      </c>
      <c r="N613" s="4">
        <f>'Raw Data'!N613</f>
        <v>305.17</v>
      </c>
    </row>
    <row r="614" spans="1:14" ht="15" customHeight="1" x14ac:dyDescent="0.2">
      <c r="A614" s="4" t="str">
        <f>'Raw Data'!A614</f>
        <v>ORD200612</v>
      </c>
      <c r="B614" s="6">
        <f>'Raw Data'!B614</f>
        <v>45079</v>
      </c>
      <c r="C614" s="4" t="str">
        <f>'Raw Data'!C614</f>
        <v>C51811</v>
      </c>
      <c r="D614" s="4" t="str">
        <f>'Raw Data'!D614</f>
        <v>Chair</v>
      </c>
      <c r="E614" s="4">
        <f>'Raw Data'!E614</f>
        <v>3</v>
      </c>
      <c r="F614" s="4">
        <f>'Raw Data'!F614</f>
        <v>445.12</v>
      </c>
      <c r="G614" s="4" t="str">
        <f>'Raw Data'!G614</f>
        <v>339 Main St</v>
      </c>
      <c r="H614" s="4" t="str">
        <f>'Raw Data'!H614</f>
        <v>Gift Card</v>
      </c>
      <c r="I614" s="4" t="str">
        <f>'Raw Data'!I614</f>
        <v>Cancelled</v>
      </c>
      <c r="J614" s="4" t="str">
        <f>'Raw Data'!J614</f>
        <v>TRK82377939</v>
      </c>
      <c r="K614" s="4">
        <f>'Raw Data'!K614</f>
        <v>8</v>
      </c>
      <c r="L614" s="4" t="str">
        <f>IF('Raw Data'!L614="","No Coupon",'Raw Data'!L614)</f>
        <v>No Coupon</v>
      </c>
      <c r="M614" s="4" t="str">
        <f>'Raw Data'!M614</f>
        <v>Google</v>
      </c>
      <c r="N614" s="4">
        <f>'Raw Data'!N614</f>
        <v>1335.36</v>
      </c>
    </row>
    <row r="615" spans="1:14" ht="15" customHeight="1" x14ac:dyDescent="0.2">
      <c r="A615" s="4" t="str">
        <f>'Raw Data'!A615</f>
        <v>ORD200613</v>
      </c>
      <c r="B615" s="6">
        <f>'Raw Data'!B615</f>
        <v>45645</v>
      </c>
      <c r="C615" s="4" t="str">
        <f>'Raw Data'!C615</f>
        <v>C62405</v>
      </c>
      <c r="D615" s="4" t="str">
        <f>'Raw Data'!D615</f>
        <v>Laptop</v>
      </c>
      <c r="E615" s="4">
        <f>'Raw Data'!E615</f>
        <v>2</v>
      </c>
      <c r="F615" s="4">
        <f>'Raw Data'!F615</f>
        <v>230.36</v>
      </c>
      <c r="G615" s="4" t="str">
        <f>'Raw Data'!G615</f>
        <v>154 Main St</v>
      </c>
      <c r="H615" s="4" t="str">
        <f>'Raw Data'!H615</f>
        <v>Online</v>
      </c>
      <c r="I615" s="4" t="str">
        <f>'Raw Data'!I615</f>
        <v>Returned</v>
      </c>
      <c r="J615" s="4" t="str">
        <f>'Raw Data'!J615</f>
        <v>TRK14721763</v>
      </c>
      <c r="K615" s="4">
        <f>'Raw Data'!K615</f>
        <v>4</v>
      </c>
      <c r="L615" s="4" t="str">
        <f>IF('Raw Data'!L615="","No Coupon",'Raw Data'!L615)</f>
        <v>WINTER15</v>
      </c>
      <c r="M615" s="4" t="str">
        <f>'Raw Data'!M615</f>
        <v>Email</v>
      </c>
      <c r="N615" s="4">
        <f>'Raw Data'!N615</f>
        <v>460.72</v>
      </c>
    </row>
    <row r="616" spans="1:14" ht="15" customHeight="1" x14ac:dyDescent="0.2">
      <c r="A616" s="4" t="str">
        <f>'Raw Data'!A616</f>
        <v>ORD200614</v>
      </c>
      <c r="B616" s="6">
        <f>'Raw Data'!B616</f>
        <v>45359</v>
      </c>
      <c r="C616" s="4" t="str">
        <f>'Raw Data'!C616</f>
        <v>C77363</v>
      </c>
      <c r="D616" s="4" t="str">
        <f>'Raw Data'!D616</f>
        <v>Phone</v>
      </c>
      <c r="E616" s="4">
        <f>'Raw Data'!E616</f>
        <v>1</v>
      </c>
      <c r="F616" s="4">
        <f>'Raw Data'!F616</f>
        <v>96.81</v>
      </c>
      <c r="G616" s="4" t="str">
        <f>'Raw Data'!G616</f>
        <v>807 Main St</v>
      </c>
      <c r="H616" s="4" t="str">
        <f>'Raw Data'!H616</f>
        <v>Gift Card</v>
      </c>
      <c r="I616" s="4" t="str">
        <f>'Raw Data'!I616</f>
        <v>Cancelled</v>
      </c>
      <c r="J616" s="4" t="str">
        <f>'Raw Data'!J616</f>
        <v>TRK12439827</v>
      </c>
      <c r="K616" s="4">
        <f>'Raw Data'!K616</f>
        <v>3</v>
      </c>
      <c r="L616" s="4" t="str">
        <f>IF('Raw Data'!L616="","No Coupon",'Raw Data'!L616)</f>
        <v>No Coupon</v>
      </c>
      <c r="M616" s="4" t="str">
        <f>'Raw Data'!M616</f>
        <v>Referral</v>
      </c>
      <c r="N616" s="4">
        <f>'Raw Data'!N616</f>
        <v>96.81</v>
      </c>
    </row>
    <row r="617" spans="1:14" ht="15" customHeight="1" x14ac:dyDescent="0.2">
      <c r="A617" s="4" t="str">
        <f>'Raw Data'!A617</f>
        <v>ORD200615</v>
      </c>
      <c r="B617" s="6">
        <f>'Raw Data'!B617</f>
        <v>45723</v>
      </c>
      <c r="C617" s="4" t="str">
        <f>'Raw Data'!C617</f>
        <v>C97218</v>
      </c>
      <c r="D617" s="4" t="str">
        <f>'Raw Data'!D617</f>
        <v>Monitor</v>
      </c>
      <c r="E617" s="4">
        <f>'Raw Data'!E617</f>
        <v>5</v>
      </c>
      <c r="F617" s="4">
        <f>'Raw Data'!F617</f>
        <v>460.14</v>
      </c>
      <c r="G617" s="4" t="str">
        <f>'Raw Data'!G617</f>
        <v>252 Main St</v>
      </c>
      <c r="H617" s="4" t="str">
        <f>'Raw Data'!H617</f>
        <v>Credit Card</v>
      </c>
      <c r="I617" s="4" t="str">
        <f>'Raw Data'!I617</f>
        <v>Returned</v>
      </c>
      <c r="J617" s="4" t="str">
        <f>'Raw Data'!J617</f>
        <v>TRK52632065</v>
      </c>
      <c r="K617" s="4">
        <f>'Raw Data'!K617</f>
        <v>10</v>
      </c>
      <c r="L617" s="4" t="str">
        <f>IF('Raw Data'!L617="","No Coupon",'Raw Data'!L617)</f>
        <v>WINTER15</v>
      </c>
      <c r="M617" s="4" t="str">
        <f>'Raw Data'!M617</f>
        <v>Facebook</v>
      </c>
      <c r="N617" s="4">
        <f>'Raw Data'!N617</f>
        <v>2300.6999999999998</v>
      </c>
    </row>
    <row r="618" spans="1:14" ht="15" customHeight="1" x14ac:dyDescent="0.2">
      <c r="A618" s="4" t="str">
        <f>'Raw Data'!A618</f>
        <v>ORD200616</v>
      </c>
      <c r="B618" s="6">
        <f>'Raw Data'!B618</f>
        <v>45582</v>
      </c>
      <c r="C618" s="4" t="str">
        <f>'Raw Data'!C618</f>
        <v>C43919</v>
      </c>
      <c r="D618" s="4" t="str">
        <f>'Raw Data'!D618</f>
        <v>Tablet</v>
      </c>
      <c r="E618" s="4">
        <f>'Raw Data'!E618</f>
        <v>3</v>
      </c>
      <c r="F618" s="4">
        <f>'Raw Data'!F618</f>
        <v>601.6</v>
      </c>
      <c r="G618" s="4" t="str">
        <f>'Raw Data'!G618</f>
        <v>984 Main St</v>
      </c>
      <c r="H618" s="4" t="str">
        <f>'Raw Data'!H618</f>
        <v>Credit Card</v>
      </c>
      <c r="I618" s="4" t="str">
        <f>'Raw Data'!I618</f>
        <v>Cancelled</v>
      </c>
      <c r="J618" s="4" t="str">
        <f>'Raw Data'!J618</f>
        <v>TRK73113192</v>
      </c>
      <c r="K618" s="4">
        <f>'Raw Data'!K618</f>
        <v>7</v>
      </c>
      <c r="L618" s="4" t="str">
        <f>IF('Raw Data'!L618="","No Coupon",'Raw Data'!L618)</f>
        <v>SAVE10</v>
      </c>
      <c r="M618" s="4" t="str">
        <f>'Raw Data'!M618</f>
        <v>Facebook</v>
      </c>
      <c r="N618" s="4">
        <f>'Raw Data'!N618</f>
        <v>1804.8</v>
      </c>
    </row>
    <row r="619" spans="1:14" ht="15" customHeight="1" x14ac:dyDescent="0.2">
      <c r="A619" s="4" t="str">
        <f>'Raw Data'!A619</f>
        <v>ORD200617</v>
      </c>
      <c r="B619" s="6">
        <f>'Raw Data'!B619</f>
        <v>45330</v>
      </c>
      <c r="C619" s="4" t="str">
        <f>'Raw Data'!C619</f>
        <v>C57093</v>
      </c>
      <c r="D619" s="4" t="str">
        <f>'Raw Data'!D619</f>
        <v>Tablet</v>
      </c>
      <c r="E619" s="4">
        <f>'Raw Data'!E619</f>
        <v>3</v>
      </c>
      <c r="F619" s="4">
        <f>'Raw Data'!F619</f>
        <v>184.47</v>
      </c>
      <c r="G619" s="4" t="str">
        <f>'Raw Data'!G619</f>
        <v>834 Main St</v>
      </c>
      <c r="H619" s="4" t="str">
        <f>'Raw Data'!H619</f>
        <v>Online</v>
      </c>
      <c r="I619" s="4" t="str">
        <f>'Raw Data'!I619</f>
        <v>Cancelled</v>
      </c>
      <c r="J619" s="4" t="str">
        <f>'Raw Data'!J619</f>
        <v>TRK75469057</v>
      </c>
      <c r="K619" s="4">
        <f>'Raw Data'!K619</f>
        <v>4</v>
      </c>
      <c r="L619" s="4" t="str">
        <f>IF('Raw Data'!L619="","No Coupon",'Raw Data'!L619)</f>
        <v>No Coupon</v>
      </c>
      <c r="M619" s="4" t="str">
        <f>'Raw Data'!M619</f>
        <v>Referral</v>
      </c>
      <c r="N619" s="4">
        <f>'Raw Data'!N619</f>
        <v>553.41</v>
      </c>
    </row>
    <row r="620" spans="1:14" ht="15" customHeight="1" x14ac:dyDescent="0.2">
      <c r="A620" s="4" t="str">
        <f>'Raw Data'!A620</f>
        <v>ORD200618</v>
      </c>
      <c r="B620" s="6">
        <f>'Raw Data'!B620</f>
        <v>45538</v>
      </c>
      <c r="C620" s="4" t="str">
        <f>'Raw Data'!C620</f>
        <v>C50565</v>
      </c>
      <c r="D620" s="4" t="str">
        <f>'Raw Data'!D620</f>
        <v>Tablet</v>
      </c>
      <c r="E620" s="4">
        <f>'Raw Data'!E620</f>
        <v>1</v>
      </c>
      <c r="F620" s="4">
        <f>'Raw Data'!F620</f>
        <v>411.34</v>
      </c>
      <c r="G620" s="4" t="str">
        <f>'Raw Data'!G620</f>
        <v>399 Main St</v>
      </c>
      <c r="H620" s="4" t="str">
        <f>'Raw Data'!H620</f>
        <v>Debit Card</v>
      </c>
      <c r="I620" s="4" t="str">
        <f>'Raw Data'!I620</f>
        <v>Returned</v>
      </c>
      <c r="J620" s="4" t="str">
        <f>'Raw Data'!J620</f>
        <v>TRK97981418</v>
      </c>
      <c r="K620" s="4">
        <f>'Raw Data'!K620</f>
        <v>5</v>
      </c>
      <c r="L620" s="4" t="str">
        <f>IF('Raw Data'!L620="","No Coupon",'Raw Data'!L620)</f>
        <v>No Coupon</v>
      </c>
      <c r="M620" s="4" t="str">
        <f>'Raw Data'!M620</f>
        <v>Instagram</v>
      </c>
      <c r="N620" s="4">
        <f>'Raw Data'!N620</f>
        <v>411.34</v>
      </c>
    </row>
    <row r="621" spans="1:14" ht="15" customHeight="1" x14ac:dyDescent="0.2">
      <c r="A621" s="4" t="str">
        <f>'Raw Data'!A621</f>
        <v>ORD200619</v>
      </c>
      <c r="B621" s="6">
        <f>'Raw Data'!B621</f>
        <v>45489</v>
      </c>
      <c r="C621" s="4" t="str">
        <f>'Raw Data'!C621</f>
        <v>C38845</v>
      </c>
      <c r="D621" s="4" t="str">
        <f>'Raw Data'!D621</f>
        <v>Laptop</v>
      </c>
      <c r="E621" s="4">
        <f>'Raw Data'!E621</f>
        <v>1</v>
      </c>
      <c r="F621" s="4">
        <f>'Raw Data'!F621</f>
        <v>532.89</v>
      </c>
      <c r="G621" s="4" t="str">
        <f>'Raw Data'!G621</f>
        <v>764 Main St</v>
      </c>
      <c r="H621" s="4" t="str">
        <f>'Raw Data'!H621</f>
        <v>Gift Card</v>
      </c>
      <c r="I621" s="4" t="str">
        <f>'Raw Data'!I621</f>
        <v>Pending</v>
      </c>
      <c r="J621" s="4" t="str">
        <f>'Raw Data'!J621</f>
        <v>TRK47637374</v>
      </c>
      <c r="K621" s="4">
        <f>'Raw Data'!K621</f>
        <v>2</v>
      </c>
      <c r="L621" s="4" t="str">
        <f>IF('Raw Data'!L621="","No Coupon",'Raw Data'!L621)</f>
        <v>No Coupon</v>
      </c>
      <c r="M621" s="4" t="str">
        <f>'Raw Data'!M621</f>
        <v>Referral</v>
      </c>
      <c r="N621" s="4">
        <f>'Raw Data'!N621</f>
        <v>532.89</v>
      </c>
    </row>
    <row r="622" spans="1:14" ht="15" customHeight="1" x14ac:dyDescent="0.2">
      <c r="A622" s="4" t="str">
        <f>'Raw Data'!A622</f>
        <v>ORD200620</v>
      </c>
      <c r="B622" s="6">
        <f>'Raw Data'!B622</f>
        <v>45378</v>
      </c>
      <c r="C622" s="4" t="str">
        <f>'Raw Data'!C622</f>
        <v>C84834</v>
      </c>
      <c r="D622" s="4" t="str">
        <f>'Raw Data'!D622</f>
        <v>Tablet</v>
      </c>
      <c r="E622" s="4">
        <f>'Raw Data'!E622</f>
        <v>3</v>
      </c>
      <c r="F622" s="4">
        <f>'Raw Data'!F622</f>
        <v>136.34</v>
      </c>
      <c r="G622" s="4" t="str">
        <f>'Raw Data'!G622</f>
        <v>866 Main St</v>
      </c>
      <c r="H622" s="4" t="str">
        <f>'Raw Data'!H622</f>
        <v>Debit Card</v>
      </c>
      <c r="I622" s="4" t="str">
        <f>'Raw Data'!I622</f>
        <v>Returned</v>
      </c>
      <c r="J622" s="4" t="str">
        <f>'Raw Data'!J622</f>
        <v>TRK90136001</v>
      </c>
      <c r="K622" s="4">
        <f>'Raw Data'!K622</f>
        <v>8</v>
      </c>
      <c r="L622" s="4" t="str">
        <f>IF('Raw Data'!L622="","No Coupon",'Raw Data'!L622)</f>
        <v>SAVE10</v>
      </c>
      <c r="M622" s="4" t="str">
        <f>'Raw Data'!M622</f>
        <v>Referral</v>
      </c>
      <c r="N622" s="4">
        <f>'Raw Data'!N622</f>
        <v>409.02</v>
      </c>
    </row>
    <row r="623" spans="1:14" ht="15" customHeight="1" x14ac:dyDescent="0.2">
      <c r="A623" s="4" t="str">
        <f>'Raw Data'!A623</f>
        <v>ORD200621</v>
      </c>
      <c r="B623" s="6">
        <f>'Raw Data'!B623</f>
        <v>45221</v>
      </c>
      <c r="C623" s="4" t="str">
        <f>'Raw Data'!C623</f>
        <v>C37455</v>
      </c>
      <c r="D623" s="4" t="str">
        <f>'Raw Data'!D623</f>
        <v>Phone</v>
      </c>
      <c r="E623" s="4">
        <f>'Raw Data'!E623</f>
        <v>5</v>
      </c>
      <c r="F623" s="4">
        <f>'Raw Data'!F623</f>
        <v>476.01</v>
      </c>
      <c r="G623" s="4" t="str">
        <f>'Raw Data'!G623</f>
        <v>146 Main St</v>
      </c>
      <c r="H623" s="4" t="str">
        <f>'Raw Data'!H623</f>
        <v>Credit Card</v>
      </c>
      <c r="I623" s="4" t="str">
        <f>'Raw Data'!I623</f>
        <v>Delivered</v>
      </c>
      <c r="J623" s="4" t="str">
        <f>'Raw Data'!J623</f>
        <v>TRK82685594</v>
      </c>
      <c r="K623" s="4">
        <f>'Raw Data'!K623</f>
        <v>7</v>
      </c>
      <c r="L623" s="4" t="str">
        <f>IF('Raw Data'!L623="","No Coupon",'Raw Data'!L623)</f>
        <v>WINTER15</v>
      </c>
      <c r="M623" s="4" t="str">
        <f>'Raw Data'!M623</f>
        <v>Google</v>
      </c>
      <c r="N623" s="4">
        <f>'Raw Data'!N623</f>
        <v>2380.0500000000002</v>
      </c>
    </row>
    <row r="624" spans="1:14" ht="15" customHeight="1" x14ac:dyDescent="0.2">
      <c r="A624" s="4" t="str">
        <f>'Raw Data'!A624</f>
        <v>ORD200622</v>
      </c>
      <c r="B624" s="6">
        <f>'Raw Data'!B624</f>
        <v>45598</v>
      </c>
      <c r="C624" s="4" t="str">
        <f>'Raw Data'!C624</f>
        <v>C27078</v>
      </c>
      <c r="D624" s="4" t="str">
        <f>'Raw Data'!D624</f>
        <v>Desk</v>
      </c>
      <c r="E624" s="4">
        <f>'Raw Data'!E624</f>
        <v>5</v>
      </c>
      <c r="F624" s="4">
        <f>'Raw Data'!F624</f>
        <v>236.38</v>
      </c>
      <c r="G624" s="4" t="str">
        <f>'Raw Data'!G624</f>
        <v>128 Main St</v>
      </c>
      <c r="H624" s="4" t="str">
        <f>'Raw Data'!H624</f>
        <v>Credit Card</v>
      </c>
      <c r="I624" s="4" t="str">
        <f>'Raw Data'!I624</f>
        <v>Returned</v>
      </c>
      <c r="J624" s="4" t="str">
        <f>'Raw Data'!J624</f>
        <v>TRK89314307</v>
      </c>
      <c r="K624" s="4">
        <f>'Raw Data'!K624</f>
        <v>7</v>
      </c>
      <c r="L624" s="4" t="str">
        <f>IF('Raw Data'!L624="","No Coupon",'Raw Data'!L624)</f>
        <v>No Coupon</v>
      </c>
      <c r="M624" s="4" t="str">
        <f>'Raw Data'!M624</f>
        <v>Facebook</v>
      </c>
      <c r="N624" s="4">
        <f>'Raw Data'!N624</f>
        <v>1181.9000000000001</v>
      </c>
    </row>
    <row r="625" spans="1:14" ht="15" customHeight="1" x14ac:dyDescent="0.2">
      <c r="A625" s="4" t="str">
        <f>'Raw Data'!A625</f>
        <v>ORD200623</v>
      </c>
      <c r="B625" s="6">
        <f>'Raw Data'!B625</f>
        <v>45093</v>
      </c>
      <c r="C625" s="4" t="str">
        <f>'Raw Data'!C625</f>
        <v>C91941</v>
      </c>
      <c r="D625" s="4" t="str">
        <f>'Raw Data'!D625</f>
        <v>Printer</v>
      </c>
      <c r="E625" s="4">
        <f>'Raw Data'!E625</f>
        <v>3</v>
      </c>
      <c r="F625" s="4">
        <f>'Raw Data'!F625</f>
        <v>396</v>
      </c>
      <c r="G625" s="4" t="str">
        <f>'Raw Data'!G625</f>
        <v>269 Main St</v>
      </c>
      <c r="H625" s="4" t="str">
        <f>'Raw Data'!H625</f>
        <v>Gift Card</v>
      </c>
      <c r="I625" s="4" t="str">
        <f>'Raw Data'!I625</f>
        <v>Cancelled</v>
      </c>
      <c r="J625" s="4" t="str">
        <f>'Raw Data'!J625</f>
        <v>TRK21330732</v>
      </c>
      <c r="K625" s="4">
        <f>'Raw Data'!K625</f>
        <v>4</v>
      </c>
      <c r="L625" s="4" t="str">
        <f>IF('Raw Data'!L625="","No Coupon",'Raw Data'!L625)</f>
        <v>FREESHIP</v>
      </c>
      <c r="M625" s="4" t="str">
        <f>'Raw Data'!M625</f>
        <v>Instagram</v>
      </c>
      <c r="N625" s="4">
        <f>'Raw Data'!N625</f>
        <v>1188</v>
      </c>
    </row>
    <row r="626" spans="1:14" ht="15" customHeight="1" x14ac:dyDescent="0.2">
      <c r="A626" s="4" t="str">
        <f>'Raw Data'!A626</f>
        <v>ORD200624</v>
      </c>
      <c r="B626" s="6">
        <f>'Raw Data'!B626</f>
        <v>45307</v>
      </c>
      <c r="C626" s="4" t="str">
        <f>'Raw Data'!C626</f>
        <v>C25967</v>
      </c>
      <c r="D626" s="4" t="str">
        <f>'Raw Data'!D626</f>
        <v>Tablet</v>
      </c>
      <c r="E626" s="4">
        <f>'Raw Data'!E626</f>
        <v>5</v>
      </c>
      <c r="F626" s="4">
        <f>'Raw Data'!F626</f>
        <v>341.96</v>
      </c>
      <c r="G626" s="4" t="str">
        <f>'Raw Data'!G626</f>
        <v>747 Main St</v>
      </c>
      <c r="H626" s="4" t="str">
        <f>'Raw Data'!H626</f>
        <v>Debit Card</v>
      </c>
      <c r="I626" s="4" t="str">
        <f>'Raw Data'!I626</f>
        <v>Delivered</v>
      </c>
      <c r="J626" s="4" t="str">
        <f>'Raw Data'!J626</f>
        <v>TRK88559278</v>
      </c>
      <c r="K626" s="4">
        <f>'Raw Data'!K626</f>
        <v>6</v>
      </c>
      <c r="L626" s="4" t="str">
        <f>IF('Raw Data'!L626="","No Coupon",'Raw Data'!L626)</f>
        <v>No Coupon</v>
      </c>
      <c r="M626" s="4" t="str">
        <f>'Raw Data'!M626</f>
        <v>Email</v>
      </c>
      <c r="N626" s="4">
        <f>'Raw Data'!N626</f>
        <v>1709.8</v>
      </c>
    </row>
    <row r="627" spans="1:14" ht="15" customHeight="1" x14ac:dyDescent="0.2">
      <c r="A627" s="4" t="str">
        <f>'Raw Data'!A627</f>
        <v>ORD200625</v>
      </c>
      <c r="B627" s="6">
        <f>'Raw Data'!B627</f>
        <v>45193</v>
      </c>
      <c r="C627" s="4" t="str">
        <f>'Raw Data'!C627</f>
        <v>C22123</v>
      </c>
      <c r="D627" s="4" t="str">
        <f>'Raw Data'!D627</f>
        <v>Tablet</v>
      </c>
      <c r="E627" s="4">
        <f>'Raw Data'!E627</f>
        <v>1</v>
      </c>
      <c r="F627" s="4">
        <f>'Raw Data'!F627</f>
        <v>672.89</v>
      </c>
      <c r="G627" s="4" t="str">
        <f>'Raw Data'!G627</f>
        <v>519 Main St</v>
      </c>
      <c r="H627" s="4" t="str">
        <f>'Raw Data'!H627</f>
        <v>Credit Card</v>
      </c>
      <c r="I627" s="4" t="str">
        <f>'Raw Data'!I627</f>
        <v>Pending</v>
      </c>
      <c r="J627" s="4" t="str">
        <f>'Raw Data'!J627</f>
        <v>TRK43250279</v>
      </c>
      <c r="K627" s="4">
        <f>'Raw Data'!K627</f>
        <v>1</v>
      </c>
      <c r="L627" s="4" t="str">
        <f>IF('Raw Data'!L627="","No Coupon",'Raw Data'!L627)</f>
        <v>WINTER15</v>
      </c>
      <c r="M627" s="4" t="str">
        <f>'Raw Data'!M627</f>
        <v>Email</v>
      </c>
      <c r="N627" s="4">
        <f>'Raw Data'!N627</f>
        <v>672.89</v>
      </c>
    </row>
    <row r="628" spans="1:14" ht="15" customHeight="1" x14ac:dyDescent="0.2">
      <c r="A628" s="4" t="str">
        <f>'Raw Data'!A628</f>
        <v>ORD200626</v>
      </c>
      <c r="B628" s="6">
        <f>'Raw Data'!B628</f>
        <v>45352</v>
      </c>
      <c r="C628" s="4" t="str">
        <f>'Raw Data'!C628</f>
        <v>C45671</v>
      </c>
      <c r="D628" s="4" t="str">
        <f>'Raw Data'!D628</f>
        <v>Tablet</v>
      </c>
      <c r="E628" s="4">
        <f>'Raw Data'!E628</f>
        <v>2</v>
      </c>
      <c r="F628" s="4">
        <f>'Raw Data'!F628</f>
        <v>657.48</v>
      </c>
      <c r="G628" s="4" t="str">
        <f>'Raw Data'!G628</f>
        <v>769 Main St</v>
      </c>
      <c r="H628" s="4" t="str">
        <f>'Raw Data'!H628</f>
        <v>Online</v>
      </c>
      <c r="I628" s="4" t="str">
        <f>'Raw Data'!I628</f>
        <v>Shipped</v>
      </c>
      <c r="J628" s="4" t="str">
        <f>'Raw Data'!J628</f>
        <v>TRK18179773</v>
      </c>
      <c r="K628" s="4">
        <f>'Raw Data'!K628</f>
        <v>5</v>
      </c>
      <c r="L628" s="4" t="str">
        <f>IF('Raw Data'!L628="","No Coupon",'Raw Data'!L628)</f>
        <v>SAVE10</v>
      </c>
      <c r="M628" s="4" t="str">
        <f>'Raw Data'!M628</f>
        <v>Referral</v>
      </c>
      <c r="N628" s="4">
        <f>'Raw Data'!N628</f>
        <v>1314.96</v>
      </c>
    </row>
    <row r="629" spans="1:14" ht="15" customHeight="1" x14ac:dyDescent="0.2">
      <c r="A629" s="4" t="str">
        <f>'Raw Data'!A629</f>
        <v>ORD200627</v>
      </c>
      <c r="B629" s="6">
        <f>'Raw Data'!B629</f>
        <v>45144</v>
      </c>
      <c r="C629" s="4" t="str">
        <f>'Raw Data'!C629</f>
        <v>C53334</v>
      </c>
      <c r="D629" s="4" t="str">
        <f>'Raw Data'!D629</f>
        <v>Chair</v>
      </c>
      <c r="E629" s="4">
        <f>'Raw Data'!E629</f>
        <v>3</v>
      </c>
      <c r="F629" s="4">
        <f>'Raw Data'!F629</f>
        <v>498.68</v>
      </c>
      <c r="G629" s="4" t="str">
        <f>'Raw Data'!G629</f>
        <v>879 Main St</v>
      </c>
      <c r="H629" s="4" t="str">
        <f>'Raw Data'!H629</f>
        <v>Online</v>
      </c>
      <c r="I629" s="4" t="str">
        <f>'Raw Data'!I629</f>
        <v>Returned</v>
      </c>
      <c r="J629" s="4" t="str">
        <f>'Raw Data'!J629</f>
        <v>TRK31724421</v>
      </c>
      <c r="K629" s="4">
        <f>'Raw Data'!K629</f>
        <v>4</v>
      </c>
      <c r="L629" s="4" t="str">
        <f>IF('Raw Data'!L629="","No Coupon",'Raw Data'!L629)</f>
        <v>FREESHIP</v>
      </c>
      <c r="M629" s="4" t="str">
        <f>'Raw Data'!M629</f>
        <v>Email</v>
      </c>
      <c r="N629" s="4">
        <f>'Raw Data'!N629</f>
        <v>1496.04</v>
      </c>
    </row>
    <row r="630" spans="1:14" ht="15" customHeight="1" x14ac:dyDescent="0.2">
      <c r="A630" s="4" t="str">
        <f>'Raw Data'!A630</f>
        <v>ORD200628</v>
      </c>
      <c r="B630" s="6">
        <f>'Raw Data'!B630</f>
        <v>45011</v>
      </c>
      <c r="C630" s="4" t="str">
        <f>'Raw Data'!C630</f>
        <v>C18717</v>
      </c>
      <c r="D630" s="4" t="str">
        <f>'Raw Data'!D630</f>
        <v>Printer</v>
      </c>
      <c r="E630" s="4">
        <f>'Raw Data'!E630</f>
        <v>5</v>
      </c>
      <c r="F630" s="4">
        <f>'Raw Data'!F630</f>
        <v>558.63</v>
      </c>
      <c r="G630" s="4" t="str">
        <f>'Raw Data'!G630</f>
        <v>861 Main St</v>
      </c>
      <c r="H630" s="4" t="str">
        <f>'Raw Data'!H630</f>
        <v>Cash</v>
      </c>
      <c r="I630" s="4" t="str">
        <f>'Raw Data'!I630</f>
        <v>Pending</v>
      </c>
      <c r="J630" s="4" t="str">
        <f>'Raw Data'!J630</f>
        <v>TRK58568806</v>
      </c>
      <c r="K630" s="4">
        <f>'Raw Data'!K630</f>
        <v>8</v>
      </c>
      <c r="L630" s="4" t="str">
        <f>IF('Raw Data'!L630="","No Coupon",'Raw Data'!L630)</f>
        <v>FREESHIP</v>
      </c>
      <c r="M630" s="4" t="str">
        <f>'Raw Data'!M630</f>
        <v>Referral</v>
      </c>
      <c r="N630" s="4">
        <f>'Raw Data'!N630</f>
        <v>2793.15</v>
      </c>
    </row>
    <row r="631" spans="1:14" ht="15" customHeight="1" x14ac:dyDescent="0.2">
      <c r="A631" s="4" t="str">
        <f>'Raw Data'!A631</f>
        <v>ORD200629</v>
      </c>
      <c r="B631" s="6">
        <f>'Raw Data'!B631</f>
        <v>45114</v>
      </c>
      <c r="C631" s="4" t="str">
        <f>'Raw Data'!C631</f>
        <v>C50137</v>
      </c>
      <c r="D631" s="4" t="str">
        <f>'Raw Data'!D631</f>
        <v>Phone</v>
      </c>
      <c r="E631" s="4">
        <f>'Raw Data'!E631</f>
        <v>3</v>
      </c>
      <c r="F631" s="4">
        <f>'Raw Data'!F631</f>
        <v>19.73</v>
      </c>
      <c r="G631" s="4" t="str">
        <f>'Raw Data'!G631</f>
        <v>840 Main St</v>
      </c>
      <c r="H631" s="4" t="str">
        <f>'Raw Data'!H631</f>
        <v>Online</v>
      </c>
      <c r="I631" s="4" t="str">
        <f>'Raw Data'!I631</f>
        <v>Pending</v>
      </c>
      <c r="J631" s="4" t="str">
        <f>'Raw Data'!J631</f>
        <v>TRK91836131</v>
      </c>
      <c r="K631" s="4">
        <f>'Raw Data'!K631</f>
        <v>3</v>
      </c>
      <c r="L631" s="4" t="str">
        <f>IF('Raw Data'!L631="","No Coupon",'Raw Data'!L631)</f>
        <v>No Coupon</v>
      </c>
      <c r="M631" s="4" t="str">
        <f>'Raw Data'!M631</f>
        <v>Referral</v>
      </c>
      <c r="N631" s="4">
        <f>'Raw Data'!N631</f>
        <v>59.19</v>
      </c>
    </row>
    <row r="632" spans="1:14" ht="15" customHeight="1" x14ac:dyDescent="0.2">
      <c r="A632" s="4" t="str">
        <f>'Raw Data'!A632</f>
        <v>ORD200630</v>
      </c>
      <c r="B632" s="6">
        <f>'Raw Data'!B632</f>
        <v>45100</v>
      </c>
      <c r="C632" s="4" t="str">
        <f>'Raw Data'!C632</f>
        <v>C51481</v>
      </c>
      <c r="D632" s="4" t="str">
        <f>'Raw Data'!D632</f>
        <v>Monitor</v>
      </c>
      <c r="E632" s="4">
        <f>'Raw Data'!E632</f>
        <v>5</v>
      </c>
      <c r="F632" s="4">
        <f>'Raw Data'!F632</f>
        <v>248.84</v>
      </c>
      <c r="G632" s="4" t="str">
        <f>'Raw Data'!G632</f>
        <v>140 Main St</v>
      </c>
      <c r="H632" s="4" t="str">
        <f>'Raw Data'!H632</f>
        <v>Debit Card</v>
      </c>
      <c r="I632" s="4" t="str">
        <f>'Raw Data'!I632</f>
        <v>Cancelled</v>
      </c>
      <c r="J632" s="4" t="str">
        <f>'Raw Data'!J632</f>
        <v>TRK33437701</v>
      </c>
      <c r="K632" s="4">
        <f>'Raw Data'!K632</f>
        <v>10</v>
      </c>
      <c r="L632" s="4" t="str">
        <f>IF('Raw Data'!L632="","No Coupon",'Raw Data'!L632)</f>
        <v>No Coupon</v>
      </c>
      <c r="M632" s="4" t="str">
        <f>'Raw Data'!M632</f>
        <v>Instagram</v>
      </c>
      <c r="N632" s="4">
        <f>'Raw Data'!N632</f>
        <v>1244.2</v>
      </c>
    </row>
    <row r="633" spans="1:14" ht="15" customHeight="1" x14ac:dyDescent="0.2">
      <c r="A633" s="4" t="str">
        <f>'Raw Data'!A633</f>
        <v>ORD200631</v>
      </c>
      <c r="B633" s="6">
        <f>'Raw Data'!B633</f>
        <v>45535</v>
      </c>
      <c r="C633" s="4" t="str">
        <f>'Raw Data'!C633</f>
        <v>C99128</v>
      </c>
      <c r="D633" s="4" t="str">
        <f>'Raw Data'!D633</f>
        <v>Chair</v>
      </c>
      <c r="E633" s="4">
        <f>'Raw Data'!E633</f>
        <v>3</v>
      </c>
      <c r="F633" s="4">
        <f>'Raw Data'!F633</f>
        <v>46.11</v>
      </c>
      <c r="G633" s="4" t="str">
        <f>'Raw Data'!G633</f>
        <v>360 Main St</v>
      </c>
      <c r="H633" s="4" t="str">
        <f>'Raw Data'!H633</f>
        <v>Gift Card</v>
      </c>
      <c r="I633" s="4" t="str">
        <f>'Raw Data'!I633</f>
        <v>Returned</v>
      </c>
      <c r="J633" s="4" t="str">
        <f>'Raw Data'!J633</f>
        <v>TRK32426808</v>
      </c>
      <c r="K633" s="4">
        <f>'Raw Data'!K633</f>
        <v>5</v>
      </c>
      <c r="L633" s="4" t="str">
        <f>IF('Raw Data'!L633="","No Coupon",'Raw Data'!L633)</f>
        <v>WINTER15</v>
      </c>
      <c r="M633" s="4" t="str">
        <f>'Raw Data'!M633</f>
        <v>Referral</v>
      </c>
      <c r="N633" s="4">
        <f>'Raw Data'!N633</f>
        <v>138.33000000000001</v>
      </c>
    </row>
    <row r="634" spans="1:14" ht="15" customHeight="1" x14ac:dyDescent="0.2">
      <c r="A634" s="4" t="str">
        <f>'Raw Data'!A634</f>
        <v>ORD200632</v>
      </c>
      <c r="B634" s="6">
        <f>'Raw Data'!B634</f>
        <v>45048</v>
      </c>
      <c r="C634" s="4" t="str">
        <f>'Raw Data'!C634</f>
        <v>C67260</v>
      </c>
      <c r="D634" s="4" t="str">
        <f>'Raw Data'!D634</f>
        <v>Laptop</v>
      </c>
      <c r="E634" s="4">
        <f>'Raw Data'!E634</f>
        <v>5</v>
      </c>
      <c r="F634" s="4">
        <f>'Raw Data'!F634</f>
        <v>678.16</v>
      </c>
      <c r="G634" s="4" t="str">
        <f>'Raw Data'!G634</f>
        <v>463 Main St</v>
      </c>
      <c r="H634" s="4" t="str">
        <f>'Raw Data'!H634</f>
        <v>Gift Card</v>
      </c>
      <c r="I634" s="4" t="str">
        <f>'Raw Data'!I634</f>
        <v>Delivered</v>
      </c>
      <c r="J634" s="4" t="str">
        <f>'Raw Data'!J634</f>
        <v>TRK38229104</v>
      </c>
      <c r="K634" s="4">
        <f>'Raw Data'!K634</f>
        <v>7</v>
      </c>
      <c r="L634" s="4" t="str">
        <f>IF('Raw Data'!L634="","No Coupon",'Raw Data'!L634)</f>
        <v>WINTER15</v>
      </c>
      <c r="M634" s="4" t="str">
        <f>'Raw Data'!M634</f>
        <v>Facebook</v>
      </c>
      <c r="N634" s="4">
        <f>'Raw Data'!N634</f>
        <v>3390.8</v>
      </c>
    </row>
    <row r="635" spans="1:14" ht="15" customHeight="1" x14ac:dyDescent="0.2">
      <c r="A635" s="4" t="str">
        <f>'Raw Data'!A635</f>
        <v>ORD200633</v>
      </c>
      <c r="B635" s="6">
        <f>'Raw Data'!B635</f>
        <v>45392</v>
      </c>
      <c r="C635" s="4" t="str">
        <f>'Raw Data'!C635</f>
        <v>C79533</v>
      </c>
      <c r="D635" s="4" t="str">
        <f>'Raw Data'!D635</f>
        <v>Laptop</v>
      </c>
      <c r="E635" s="4">
        <f>'Raw Data'!E635</f>
        <v>5</v>
      </c>
      <c r="F635" s="4">
        <f>'Raw Data'!F635</f>
        <v>601.72</v>
      </c>
      <c r="G635" s="4" t="str">
        <f>'Raw Data'!G635</f>
        <v>921 Main St</v>
      </c>
      <c r="H635" s="4" t="str">
        <f>'Raw Data'!H635</f>
        <v>Gift Card</v>
      </c>
      <c r="I635" s="4" t="str">
        <f>'Raw Data'!I635</f>
        <v>Cancelled</v>
      </c>
      <c r="J635" s="4" t="str">
        <f>'Raw Data'!J635</f>
        <v>TRK54711422</v>
      </c>
      <c r="K635" s="4">
        <f>'Raw Data'!K635</f>
        <v>5</v>
      </c>
      <c r="L635" s="4" t="str">
        <f>IF('Raw Data'!L635="","No Coupon",'Raw Data'!L635)</f>
        <v>WINTER15</v>
      </c>
      <c r="M635" s="4" t="str">
        <f>'Raw Data'!M635</f>
        <v>Instagram</v>
      </c>
      <c r="N635" s="4">
        <f>'Raw Data'!N635</f>
        <v>3008.6</v>
      </c>
    </row>
    <row r="636" spans="1:14" ht="15" customHeight="1" x14ac:dyDescent="0.2">
      <c r="A636" s="4" t="str">
        <f>'Raw Data'!A636</f>
        <v>ORD200634</v>
      </c>
      <c r="B636" s="6">
        <f>'Raw Data'!B636</f>
        <v>45407</v>
      </c>
      <c r="C636" s="4" t="str">
        <f>'Raw Data'!C636</f>
        <v>C66906</v>
      </c>
      <c r="D636" s="4" t="str">
        <f>'Raw Data'!D636</f>
        <v>Printer</v>
      </c>
      <c r="E636" s="4">
        <f>'Raw Data'!E636</f>
        <v>2</v>
      </c>
      <c r="F636" s="4">
        <f>'Raw Data'!F636</f>
        <v>259.32</v>
      </c>
      <c r="G636" s="4" t="str">
        <f>'Raw Data'!G636</f>
        <v>117 Main St</v>
      </c>
      <c r="H636" s="4" t="str">
        <f>'Raw Data'!H636</f>
        <v>Gift Card</v>
      </c>
      <c r="I636" s="4" t="str">
        <f>'Raw Data'!I636</f>
        <v>Delivered</v>
      </c>
      <c r="J636" s="4" t="str">
        <f>'Raw Data'!J636</f>
        <v>TRK31633755</v>
      </c>
      <c r="K636" s="4">
        <f>'Raw Data'!K636</f>
        <v>2</v>
      </c>
      <c r="L636" s="4" t="str">
        <f>IF('Raw Data'!L636="","No Coupon",'Raw Data'!L636)</f>
        <v>WINTER15</v>
      </c>
      <c r="M636" s="4" t="str">
        <f>'Raw Data'!M636</f>
        <v>Referral</v>
      </c>
      <c r="N636" s="4">
        <f>'Raw Data'!N636</f>
        <v>518.64</v>
      </c>
    </row>
    <row r="637" spans="1:14" ht="15" customHeight="1" x14ac:dyDescent="0.2">
      <c r="A637" s="4" t="str">
        <f>'Raw Data'!A637</f>
        <v>ORD200635</v>
      </c>
      <c r="B637" s="6">
        <f>'Raw Data'!B637</f>
        <v>45273</v>
      </c>
      <c r="C637" s="4" t="str">
        <f>'Raw Data'!C637</f>
        <v>C12818</v>
      </c>
      <c r="D637" s="4" t="str">
        <f>'Raw Data'!D637</f>
        <v>Chair</v>
      </c>
      <c r="E637" s="4">
        <f>'Raw Data'!E637</f>
        <v>3</v>
      </c>
      <c r="F637" s="4">
        <f>'Raw Data'!F637</f>
        <v>63.68</v>
      </c>
      <c r="G637" s="4" t="str">
        <f>'Raw Data'!G637</f>
        <v>434 Main St</v>
      </c>
      <c r="H637" s="4" t="str">
        <f>'Raw Data'!H637</f>
        <v>Cash</v>
      </c>
      <c r="I637" s="4" t="str">
        <f>'Raw Data'!I637</f>
        <v>Returned</v>
      </c>
      <c r="J637" s="4" t="str">
        <f>'Raw Data'!J637</f>
        <v>TRK40879983</v>
      </c>
      <c r="K637" s="4">
        <f>'Raw Data'!K637</f>
        <v>6</v>
      </c>
      <c r="L637" s="4" t="str">
        <f>IF('Raw Data'!L637="","No Coupon",'Raw Data'!L637)</f>
        <v>No Coupon</v>
      </c>
      <c r="M637" s="4" t="str">
        <f>'Raw Data'!M637</f>
        <v>Facebook</v>
      </c>
      <c r="N637" s="4">
        <f>'Raw Data'!N637</f>
        <v>191.04</v>
      </c>
    </row>
    <row r="638" spans="1:14" ht="15" customHeight="1" x14ac:dyDescent="0.2">
      <c r="A638" s="4" t="str">
        <f>'Raw Data'!A638</f>
        <v>ORD200636</v>
      </c>
      <c r="B638" s="6">
        <f>'Raw Data'!B638</f>
        <v>45204</v>
      </c>
      <c r="C638" s="4" t="str">
        <f>'Raw Data'!C638</f>
        <v>C60384</v>
      </c>
      <c r="D638" s="4" t="str">
        <f>'Raw Data'!D638</f>
        <v>Laptop</v>
      </c>
      <c r="E638" s="4">
        <f>'Raw Data'!E638</f>
        <v>4</v>
      </c>
      <c r="F638" s="4">
        <f>'Raw Data'!F638</f>
        <v>371.07</v>
      </c>
      <c r="G638" s="4" t="str">
        <f>'Raw Data'!G638</f>
        <v>336 Main St</v>
      </c>
      <c r="H638" s="4" t="str">
        <f>'Raw Data'!H638</f>
        <v>Cash</v>
      </c>
      <c r="I638" s="4" t="str">
        <f>'Raw Data'!I638</f>
        <v>Cancelled</v>
      </c>
      <c r="J638" s="4" t="str">
        <f>'Raw Data'!J638</f>
        <v>TRK92080037</v>
      </c>
      <c r="K638" s="4">
        <f>'Raw Data'!K638</f>
        <v>7</v>
      </c>
      <c r="L638" s="4" t="str">
        <f>IF('Raw Data'!L638="","No Coupon",'Raw Data'!L638)</f>
        <v>WINTER15</v>
      </c>
      <c r="M638" s="4" t="str">
        <f>'Raw Data'!M638</f>
        <v>Facebook</v>
      </c>
      <c r="N638" s="4">
        <f>'Raw Data'!N638</f>
        <v>1484.28</v>
      </c>
    </row>
    <row r="639" spans="1:14" ht="15" customHeight="1" x14ac:dyDescent="0.2">
      <c r="A639" s="4" t="str">
        <f>'Raw Data'!A639</f>
        <v>ORD200637</v>
      </c>
      <c r="B639" s="6">
        <f>'Raw Data'!B639</f>
        <v>45564</v>
      </c>
      <c r="C639" s="4" t="str">
        <f>'Raw Data'!C639</f>
        <v>C92294</v>
      </c>
      <c r="D639" s="4" t="str">
        <f>'Raw Data'!D639</f>
        <v>Chair</v>
      </c>
      <c r="E639" s="4">
        <f>'Raw Data'!E639</f>
        <v>4</v>
      </c>
      <c r="F639" s="4">
        <f>'Raw Data'!F639</f>
        <v>306.35000000000002</v>
      </c>
      <c r="G639" s="4" t="str">
        <f>'Raw Data'!G639</f>
        <v>784 Main St</v>
      </c>
      <c r="H639" s="4" t="str">
        <f>'Raw Data'!H639</f>
        <v>Gift Card</v>
      </c>
      <c r="I639" s="4" t="str">
        <f>'Raw Data'!I639</f>
        <v>Shipped</v>
      </c>
      <c r="J639" s="4" t="str">
        <f>'Raw Data'!J639</f>
        <v>TRK23585765</v>
      </c>
      <c r="K639" s="4">
        <f>'Raw Data'!K639</f>
        <v>7</v>
      </c>
      <c r="L639" s="4" t="str">
        <f>IF('Raw Data'!L639="","No Coupon",'Raw Data'!L639)</f>
        <v>WINTER15</v>
      </c>
      <c r="M639" s="4" t="str">
        <f>'Raw Data'!M639</f>
        <v>Referral</v>
      </c>
      <c r="N639" s="4">
        <f>'Raw Data'!N639</f>
        <v>1225.4000000000001</v>
      </c>
    </row>
    <row r="640" spans="1:14" ht="15" customHeight="1" x14ac:dyDescent="0.2">
      <c r="A640" s="4" t="str">
        <f>'Raw Data'!A640</f>
        <v>ORD200638</v>
      </c>
      <c r="B640" s="6">
        <f>'Raw Data'!B640</f>
        <v>45214</v>
      </c>
      <c r="C640" s="4" t="str">
        <f>'Raw Data'!C640</f>
        <v>C66840</v>
      </c>
      <c r="D640" s="4" t="str">
        <f>'Raw Data'!D640</f>
        <v>Tablet</v>
      </c>
      <c r="E640" s="4">
        <f>'Raw Data'!E640</f>
        <v>4</v>
      </c>
      <c r="F640" s="4">
        <f>'Raw Data'!F640</f>
        <v>578.27</v>
      </c>
      <c r="G640" s="4" t="str">
        <f>'Raw Data'!G640</f>
        <v>547 Main St</v>
      </c>
      <c r="H640" s="4" t="str">
        <f>'Raw Data'!H640</f>
        <v>Online</v>
      </c>
      <c r="I640" s="4" t="str">
        <f>'Raw Data'!I640</f>
        <v>Delivered</v>
      </c>
      <c r="J640" s="4" t="str">
        <f>'Raw Data'!J640</f>
        <v>TRK76929637</v>
      </c>
      <c r="K640" s="4">
        <f>'Raw Data'!K640</f>
        <v>9</v>
      </c>
      <c r="L640" s="4" t="str">
        <f>IF('Raw Data'!L640="","No Coupon",'Raw Data'!L640)</f>
        <v>WINTER15</v>
      </c>
      <c r="M640" s="4" t="str">
        <f>'Raw Data'!M640</f>
        <v>Email</v>
      </c>
      <c r="N640" s="4">
        <f>'Raw Data'!N640</f>
        <v>2313.08</v>
      </c>
    </row>
    <row r="641" spans="1:14" ht="15" customHeight="1" x14ac:dyDescent="0.2">
      <c r="A641" s="4" t="str">
        <f>'Raw Data'!A641</f>
        <v>ORD200639</v>
      </c>
      <c r="B641" s="6">
        <f>'Raw Data'!B641</f>
        <v>44946</v>
      </c>
      <c r="C641" s="4" t="str">
        <f>'Raw Data'!C641</f>
        <v>C22534</v>
      </c>
      <c r="D641" s="4" t="str">
        <f>'Raw Data'!D641</f>
        <v>Chair</v>
      </c>
      <c r="E641" s="4">
        <f>'Raw Data'!E641</f>
        <v>1</v>
      </c>
      <c r="F641" s="4">
        <f>'Raw Data'!F641</f>
        <v>529.19000000000005</v>
      </c>
      <c r="G641" s="4" t="str">
        <f>'Raw Data'!G641</f>
        <v>391 Main St</v>
      </c>
      <c r="H641" s="4" t="str">
        <f>'Raw Data'!H641</f>
        <v>Cash</v>
      </c>
      <c r="I641" s="4" t="str">
        <f>'Raw Data'!I641</f>
        <v>Cancelled</v>
      </c>
      <c r="J641" s="4" t="str">
        <f>'Raw Data'!J641</f>
        <v>TRK17415798</v>
      </c>
      <c r="K641" s="4">
        <f>'Raw Data'!K641</f>
        <v>5</v>
      </c>
      <c r="L641" s="4" t="str">
        <f>IF('Raw Data'!L641="","No Coupon",'Raw Data'!L641)</f>
        <v>No Coupon</v>
      </c>
      <c r="M641" s="4" t="str">
        <f>'Raw Data'!M641</f>
        <v>Referral</v>
      </c>
      <c r="N641" s="4">
        <f>'Raw Data'!N641</f>
        <v>529.19000000000005</v>
      </c>
    </row>
    <row r="642" spans="1:14" ht="15" customHeight="1" x14ac:dyDescent="0.2">
      <c r="A642" s="4" t="str">
        <f>'Raw Data'!A642</f>
        <v>ORD200640</v>
      </c>
      <c r="B642" s="6">
        <f>'Raw Data'!B642</f>
        <v>45349</v>
      </c>
      <c r="C642" s="4" t="str">
        <f>'Raw Data'!C642</f>
        <v>C46509</v>
      </c>
      <c r="D642" s="4" t="str">
        <f>'Raw Data'!D642</f>
        <v>Chair</v>
      </c>
      <c r="E642" s="4">
        <f>'Raw Data'!E642</f>
        <v>2</v>
      </c>
      <c r="F642" s="4">
        <f>'Raw Data'!F642</f>
        <v>587.49</v>
      </c>
      <c r="G642" s="4" t="str">
        <f>'Raw Data'!G642</f>
        <v>647 Main St</v>
      </c>
      <c r="H642" s="4" t="str">
        <f>'Raw Data'!H642</f>
        <v>Gift Card</v>
      </c>
      <c r="I642" s="4" t="str">
        <f>'Raw Data'!I642</f>
        <v>Returned</v>
      </c>
      <c r="J642" s="4" t="str">
        <f>'Raw Data'!J642</f>
        <v>TRK24241664</v>
      </c>
      <c r="K642" s="4">
        <f>'Raw Data'!K642</f>
        <v>6</v>
      </c>
      <c r="L642" s="4" t="str">
        <f>IF('Raw Data'!L642="","No Coupon",'Raw Data'!L642)</f>
        <v>SAVE10</v>
      </c>
      <c r="M642" s="4" t="str">
        <f>'Raw Data'!M642</f>
        <v>Referral</v>
      </c>
      <c r="N642" s="4">
        <f>'Raw Data'!N642</f>
        <v>1174.98</v>
      </c>
    </row>
    <row r="643" spans="1:14" ht="15" customHeight="1" x14ac:dyDescent="0.2">
      <c r="A643" s="4" t="str">
        <f>'Raw Data'!A643</f>
        <v>ORD200641</v>
      </c>
      <c r="B643" s="6">
        <f>'Raw Data'!B643</f>
        <v>45473</v>
      </c>
      <c r="C643" s="4" t="str">
        <f>'Raw Data'!C643</f>
        <v>C71680</v>
      </c>
      <c r="D643" s="4" t="str">
        <f>'Raw Data'!D643</f>
        <v>Printer</v>
      </c>
      <c r="E643" s="4">
        <f>'Raw Data'!E643</f>
        <v>4</v>
      </c>
      <c r="F643" s="4">
        <f>'Raw Data'!F643</f>
        <v>567.57000000000005</v>
      </c>
      <c r="G643" s="4" t="str">
        <f>'Raw Data'!G643</f>
        <v>814 Main St</v>
      </c>
      <c r="H643" s="4" t="str">
        <f>'Raw Data'!H643</f>
        <v>Debit Card</v>
      </c>
      <c r="I643" s="4" t="str">
        <f>'Raw Data'!I643</f>
        <v>Pending</v>
      </c>
      <c r="J643" s="4" t="str">
        <f>'Raw Data'!J643</f>
        <v>TRK47386650</v>
      </c>
      <c r="K643" s="4">
        <f>'Raw Data'!K643</f>
        <v>9</v>
      </c>
      <c r="L643" s="4" t="str">
        <f>IF('Raw Data'!L643="","No Coupon",'Raw Data'!L643)</f>
        <v>WINTER15</v>
      </c>
      <c r="M643" s="4" t="str">
        <f>'Raw Data'!M643</f>
        <v>Google</v>
      </c>
      <c r="N643" s="4">
        <f>'Raw Data'!N643</f>
        <v>2270.2800000000002</v>
      </c>
    </row>
    <row r="644" spans="1:14" ht="15" customHeight="1" x14ac:dyDescent="0.2">
      <c r="A644" s="4" t="str">
        <f>'Raw Data'!A644</f>
        <v>ORD200642</v>
      </c>
      <c r="B644" s="6">
        <f>'Raw Data'!B644</f>
        <v>45411</v>
      </c>
      <c r="C644" s="4" t="str">
        <f>'Raw Data'!C644</f>
        <v>C15063</v>
      </c>
      <c r="D644" s="4" t="str">
        <f>'Raw Data'!D644</f>
        <v>Chair</v>
      </c>
      <c r="E644" s="4">
        <f>'Raw Data'!E644</f>
        <v>5</v>
      </c>
      <c r="F644" s="4">
        <f>'Raw Data'!F644</f>
        <v>85.22</v>
      </c>
      <c r="G644" s="4" t="str">
        <f>'Raw Data'!G644</f>
        <v>527 Main St</v>
      </c>
      <c r="H644" s="4" t="str">
        <f>'Raw Data'!H644</f>
        <v>Credit Card</v>
      </c>
      <c r="I644" s="4" t="str">
        <f>'Raw Data'!I644</f>
        <v>Cancelled</v>
      </c>
      <c r="J644" s="4" t="str">
        <f>'Raw Data'!J644</f>
        <v>TRK10329390</v>
      </c>
      <c r="K644" s="4">
        <f>'Raw Data'!K644</f>
        <v>7</v>
      </c>
      <c r="L644" s="4" t="str">
        <f>IF('Raw Data'!L644="","No Coupon",'Raw Data'!L644)</f>
        <v>FREESHIP</v>
      </c>
      <c r="M644" s="4" t="str">
        <f>'Raw Data'!M644</f>
        <v>Email</v>
      </c>
      <c r="N644" s="4">
        <f>'Raw Data'!N644</f>
        <v>426.1</v>
      </c>
    </row>
    <row r="645" spans="1:14" ht="15" customHeight="1" x14ac:dyDescent="0.2">
      <c r="A645" s="4" t="str">
        <f>'Raw Data'!A645</f>
        <v>ORD200643</v>
      </c>
      <c r="B645" s="6">
        <f>'Raw Data'!B645</f>
        <v>45530</v>
      </c>
      <c r="C645" s="4" t="str">
        <f>'Raw Data'!C645</f>
        <v>C77122</v>
      </c>
      <c r="D645" s="4" t="str">
        <f>'Raw Data'!D645</f>
        <v>Laptop</v>
      </c>
      <c r="E645" s="4">
        <f>'Raw Data'!E645</f>
        <v>1</v>
      </c>
      <c r="F645" s="4">
        <f>'Raw Data'!F645</f>
        <v>438.37</v>
      </c>
      <c r="G645" s="4" t="str">
        <f>'Raw Data'!G645</f>
        <v>647 Main St</v>
      </c>
      <c r="H645" s="4" t="str">
        <f>'Raw Data'!H645</f>
        <v>Cash</v>
      </c>
      <c r="I645" s="4" t="str">
        <f>'Raw Data'!I645</f>
        <v>Cancelled</v>
      </c>
      <c r="J645" s="4" t="str">
        <f>'Raw Data'!J645</f>
        <v>TRK75814880</v>
      </c>
      <c r="K645" s="4">
        <f>'Raw Data'!K645</f>
        <v>4</v>
      </c>
      <c r="L645" s="4" t="str">
        <f>IF('Raw Data'!L645="","No Coupon",'Raw Data'!L645)</f>
        <v>SAVE10</v>
      </c>
      <c r="M645" s="4" t="str">
        <f>'Raw Data'!M645</f>
        <v>Referral</v>
      </c>
      <c r="N645" s="4">
        <f>'Raw Data'!N645</f>
        <v>438.37</v>
      </c>
    </row>
    <row r="646" spans="1:14" ht="15" customHeight="1" x14ac:dyDescent="0.2">
      <c r="A646" s="4" t="str">
        <f>'Raw Data'!A646</f>
        <v>ORD200644</v>
      </c>
      <c r="B646" s="6">
        <f>'Raw Data'!B646</f>
        <v>45245</v>
      </c>
      <c r="C646" s="4" t="str">
        <f>'Raw Data'!C646</f>
        <v>C86524</v>
      </c>
      <c r="D646" s="4" t="str">
        <f>'Raw Data'!D646</f>
        <v>Chair</v>
      </c>
      <c r="E646" s="4">
        <f>'Raw Data'!E646</f>
        <v>2</v>
      </c>
      <c r="F646" s="4">
        <f>'Raw Data'!F646</f>
        <v>366.23</v>
      </c>
      <c r="G646" s="4" t="str">
        <f>'Raw Data'!G646</f>
        <v>961 Main St</v>
      </c>
      <c r="H646" s="4" t="str">
        <f>'Raw Data'!H646</f>
        <v>Cash</v>
      </c>
      <c r="I646" s="4" t="str">
        <f>'Raw Data'!I646</f>
        <v>Shipped</v>
      </c>
      <c r="J646" s="4" t="str">
        <f>'Raw Data'!J646</f>
        <v>TRK62490506</v>
      </c>
      <c r="K646" s="4">
        <f>'Raw Data'!K646</f>
        <v>2</v>
      </c>
      <c r="L646" s="4" t="str">
        <f>IF('Raw Data'!L646="","No Coupon",'Raw Data'!L646)</f>
        <v>WINTER15</v>
      </c>
      <c r="M646" s="4" t="str">
        <f>'Raw Data'!M646</f>
        <v>Email</v>
      </c>
      <c r="N646" s="4">
        <f>'Raw Data'!N646</f>
        <v>732.46</v>
      </c>
    </row>
    <row r="647" spans="1:14" ht="15" customHeight="1" x14ac:dyDescent="0.2">
      <c r="A647" s="4" t="str">
        <f>'Raw Data'!A647</f>
        <v>ORD200645</v>
      </c>
      <c r="B647" s="6">
        <f>'Raw Data'!B647</f>
        <v>44928</v>
      </c>
      <c r="C647" s="4" t="str">
        <f>'Raw Data'!C647</f>
        <v>C82990</v>
      </c>
      <c r="D647" s="4" t="str">
        <f>'Raw Data'!D647</f>
        <v>Laptop</v>
      </c>
      <c r="E647" s="4">
        <f>'Raw Data'!E647</f>
        <v>2</v>
      </c>
      <c r="F647" s="4">
        <f>'Raw Data'!F647</f>
        <v>150.05000000000001</v>
      </c>
      <c r="G647" s="4" t="str">
        <f>'Raw Data'!G647</f>
        <v>727 Main St</v>
      </c>
      <c r="H647" s="4" t="str">
        <f>'Raw Data'!H647</f>
        <v>Credit Card</v>
      </c>
      <c r="I647" s="4" t="str">
        <f>'Raw Data'!I647</f>
        <v>Cancelled</v>
      </c>
      <c r="J647" s="4" t="str">
        <f>'Raw Data'!J647</f>
        <v>TRK68574801</v>
      </c>
      <c r="K647" s="4">
        <f>'Raw Data'!K647</f>
        <v>4</v>
      </c>
      <c r="L647" s="4" t="str">
        <f>IF('Raw Data'!L647="","No Coupon",'Raw Data'!L647)</f>
        <v>SAVE10</v>
      </c>
      <c r="M647" s="4" t="str">
        <f>'Raw Data'!M647</f>
        <v>Facebook</v>
      </c>
      <c r="N647" s="4">
        <f>'Raw Data'!N647</f>
        <v>300.10000000000002</v>
      </c>
    </row>
    <row r="648" spans="1:14" ht="15" customHeight="1" x14ac:dyDescent="0.2">
      <c r="A648" s="4" t="str">
        <f>'Raw Data'!A648</f>
        <v>ORD200646</v>
      </c>
      <c r="B648" s="6">
        <f>'Raw Data'!B648</f>
        <v>45226</v>
      </c>
      <c r="C648" s="4" t="str">
        <f>'Raw Data'!C648</f>
        <v>C98761</v>
      </c>
      <c r="D648" s="4" t="str">
        <f>'Raw Data'!D648</f>
        <v>Chair</v>
      </c>
      <c r="E648" s="4">
        <f>'Raw Data'!E648</f>
        <v>4</v>
      </c>
      <c r="F648" s="4">
        <f>'Raw Data'!F648</f>
        <v>498.51</v>
      </c>
      <c r="G648" s="4" t="str">
        <f>'Raw Data'!G648</f>
        <v>804 Main St</v>
      </c>
      <c r="H648" s="4" t="str">
        <f>'Raw Data'!H648</f>
        <v>Debit Card</v>
      </c>
      <c r="I648" s="4" t="str">
        <f>'Raw Data'!I648</f>
        <v>Shipped</v>
      </c>
      <c r="J648" s="4" t="str">
        <f>'Raw Data'!J648</f>
        <v>TRK43262630</v>
      </c>
      <c r="K648" s="4">
        <f>'Raw Data'!K648</f>
        <v>4</v>
      </c>
      <c r="L648" s="4" t="str">
        <f>IF('Raw Data'!L648="","No Coupon",'Raw Data'!L648)</f>
        <v>SAVE10</v>
      </c>
      <c r="M648" s="4" t="str">
        <f>'Raw Data'!M648</f>
        <v>Google</v>
      </c>
      <c r="N648" s="4">
        <f>'Raw Data'!N648</f>
        <v>1994.04</v>
      </c>
    </row>
    <row r="649" spans="1:14" ht="15" customHeight="1" x14ac:dyDescent="0.2">
      <c r="A649" s="4" t="str">
        <f>'Raw Data'!A649</f>
        <v>ORD200647</v>
      </c>
      <c r="B649" s="6">
        <f>'Raw Data'!B649</f>
        <v>45771</v>
      </c>
      <c r="C649" s="4" t="str">
        <f>'Raw Data'!C649</f>
        <v>C54409</v>
      </c>
      <c r="D649" s="4" t="str">
        <f>'Raw Data'!D649</f>
        <v>Desk</v>
      </c>
      <c r="E649" s="4">
        <f>'Raw Data'!E649</f>
        <v>3</v>
      </c>
      <c r="F649" s="4">
        <f>'Raw Data'!F649</f>
        <v>339.39</v>
      </c>
      <c r="G649" s="4" t="str">
        <f>'Raw Data'!G649</f>
        <v>667 Main St</v>
      </c>
      <c r="H649" s="4" t="str">
        <f>'Raw Data'!H649</f>
        <v>Cash</v>
      </c>
      <c r="I649" s="4" t="str">
        <f>'Raw Data'!I649</f>
        <v>Returned</v>
      </c>
      <c r="J649" s="4" t="str">
        <f>'Raw Data'!J649</f>
        <v>TRK67671316</v>
      </c>
      <c r="K649" s="4">
        <f>'Raw Data'!K649</f>
        <v>7</v>
      </c>
      <c r="L649" s="4" t="str">
        <f>IF('Raw Data'!L649="","No Coupon",'Raw Data'!L649)</f>
        <v>FREESHIP</v>
      </c>
      <c r="M649" s="4" t="str">
        <f>'Raw Data'!M649</f>
        <v>Google</v>
      </c>
      <c r="N649" s="4">
        <f>'Raw Data'!N649</f>
        <v>1018.17</v>
      </c>
    </row>
    <row r="650" spans="1:14" ht="15" customHeight="1" x14ac:dyDescent="0.2">
      <c r="A650" s="4" t="str">
        <f>'Raw Data'!A650</f>
        <v>ORD200648</v>
      </c>
      <c r="B650" s="6">
        <f>'Raw Data'!B650</f>
        <v>45675</v>
      </c>
      <c r="C650" s="4" t="str">
        <f>'Raw Data'!C650</f>
        <v>C89674</v>
      </c>
      <c r="D650" s="4" t="str">
        <f>'Raw Data'!D650</f>
        <v>Monitor</v>
      </c>
      <c r="E650" s="4">
        <f>'Raw Data'!E650</f>
        <v>2</v>
      </c>
      <c r="F650" s="4">
        <f>'Raw Data'!F650</f>
        <v>575.83000000000004</v>
      </c>
      <c r="G650" s="4" t="str">
        <f>'Raw Data'!G650</f>
        <v>182 Main St</v>
      </c>
      <c r="H650" s="4" t="str">
        <f>'Raw Data'!H650</f>
        <v>Online</v>
      </c>
      <c r="I650" s="4" t="str">
        <f>'Raw Data'!I650</f>
        <v>Delivered</v>
      </c>
      <c r="J650" s="4" t="str">
        <f>'Raw Data'!J650</f>
        <v>TRK45902512</v>
      </c>
      <c r="K650" s="4">
        <f>'Raw Data'!K650</f>
        <v>3</v>
      </c>
      <c r="L650" s="4" t="str">
        <f>IF('Raw Data'!L650="","No Coupon",'Raw Data'!L650)</f>
        <v>WINTER15</v>
      </c>
      <c r="M650" s="4" t="str">
        <f>'Raw Data'!M650</f>
        <v>Referral</v>
      </c>
      <c r="N650" s="4">
        <f>'Raw Data'!N650</f>
        <v>1151.6600000000001</v>
      </c>
    </row>
    <row r="651" spans="1:14" ht="15" customHeight="1" x14ac:dyDescent="0.2">
      <c r="A651" s="4" t="str">
        <f>'Raw Data'!A651</f>
        <v>ORD200649</v>
      </c>
      <c r="B651" s="6">
        <f>'Raw Data'!B651</f>
        <v>45283</v>
      </c>
      <c r="C651" s="4" t="str">
        <f>'Raw Data'!C651</f>
        <v>C45899</v>
      </c>
      <c r="D651" s="4" t="str">
        <f>'Raw Data'!D651</f>
        <v>Monitor</v>
      </c>
      <c r="E651" s="4">
        <f>'Raw Data'!E651</f>
        <v>2</v>
      </c>
      <c r="F651" s="4">
        <f>'Raw Data'!F651</f>
        <v>642.98</v>
      </c>
      <c r="G651" s="4" t="str">
        <f>'Raw Data'!G651</f>
        <v>153 Main St</v>
      </c>
      <c r="H651" s="4" t="str">
        <f>'Raw Data'!H651</f>
        <v>Debit Card</v>
      </c>
      <c r="I651" s="4" t="str">
        <f>'Raw Data'!I651</f>
        <v>Returned</v>
      </c>
      <c r="J651" s="4" t="str">
        <f>'Raw Data'!J651</f>
        <v>TRK32932093</v>
      </c>
      <c r="K651" s="4">
        <f>'Raw Data'!K651</f>
        <v>7</v>
      </c>
      <c r="L651" s="4" t="str">
        <f>IF('Raw Data'!L651="","No Coupon",'Raw Data'!L651)</f>
        <v>FREESHIP</v>
      </c>
      <c r="M651" s="4" t="str">
        <f>'Raw Data'!M651</f>
        <v>Email</v>
      </c>
      <c r="N651" s="4">
        <f>'Raw Data'!N651</f>
        <v>1285.96</v>
      </c>
    </row>
    <row r="652" spans="1:14" ht="15" customHeight="1" x14ac:dyDescent="0.2">
      <c r="A652" s="4" t="str">
        <f>'Raw Data'!A652</f>
        <v>ORD200650</v>
      </c>
      <c r="B652" s="6">
        <f>'Raw Data'!B652</f>
        <v>45064</v>
      </c>
      <c r="C652" s="4" t="str">
        <f>'Raw Data'!C652</f>
        <v>C74499</v>
      </c>
      <c r="D652" s="4" t="str">
        <f>'Raw Data'!D652</f>
        <v>Desk</v>
      </c>
      <c r="E652" s="4">
        <f>'Raw Data'!E652</f>
        <v>2</v>
      </c>
      <c r="F652" s="4">
        <f>'Raw Data'!F652</f>
        <v>372.23</v>
      </c>
      <c r="G652" s="4" t="str">
        <f>'Raw Data'!G652</f>
        <v>518 Main St</v>
      </c>
      <c r="H652" s="4" t="str">
        <f>'Raw Data'!H652</f>
        <v>Gift Card</v>
      </c>
      <c r="I652" s="4" t="str">
        <f>'Raw Data'!I652</f>
        <v>Delivered</v>
      </c>
      <c r="J652" s="4" t="str">
        <f>'Raw Data'!J652</f>
        <v>TRK93767278</v>
      </c>
      <c r="K652" s="4">
        <f>'Raw Data'!K652</f>
        <v>7</v>
      </c>
      <c r="L652" s="4" t="str">
        <f>IF('Raw Data'!L652="","No Coupon",'Raw Data'!L652)</f>
        <v>SAVE10</v>
      </c>
      <c r="M652" s="4" t="str">
        <f>'Raw Data'!M652</f>
        <v>Email</v>
      </c>
      <c r="N652" s="4">
        <f>'Raw Data'!N652</f>
        <v>744.46</v>
      </c>
    </row>
    <row r="653" spans="1:14" ht="15" customHeight="1" x14ac:dyDescent="0.2">
      <c r="A653" s="4" t="str">
        <f>'Raw Data'!A653</f>
        <v>ORD200651</v>
      </c>
      <c r="B653" s="6">
        <f>'Raw Data'!B653</f>
        <v>45608</v>
      </c>
      <c r="C653" s="4" t="str">
        <f>'Raw Data'!C653</f>
        <v>C81192</v>
      </c>
      <c r="D653" s="4" t="str">
        <f>'Raw Data'!D653</f>
        <v>Chair</v>
      </c>
      <c r="E653" s="4">
        <f>'Raw Data'!E653</f>
        <v>3</v>
      </c>
      <c r="F653" s="4">
        <f>'Raw Data'!F653</f>
        <v>646.34</v>
      </c>
      <c r="G653" s="4" t="str">
        <f>'Raw Data'!G653</f>
        <v>429 Main St</v>
      </c>
      <c r="H653" s="4" t="str">
        <f>'Raw Data'!H653</f>
        <v>Debit Card</v>
      </c>
      <c r="I653" s="4" t="str">
        <f>'Raw Data'!I653</f>
        <v>Pending</v>
      </c>
      <c r="J653" s="4" t="str">
        <f>'Raw Data'!J653</f>
        <v>TRK76931118</v>
      </c>
      <c r="K653" s="4">
        <f>'Raw Data'!K653</f>
        <v>5</v>
      </c>
      <c r="L653" s="4" t="str">
        <f>IF('Raw Data'!L653="","No Coupon",'Raw Data'!L653)</f>
        <v>No Coupon</v>
      </c>
      <c r="M653" s="4" t="str">
        <f>'Raw Data'!M653</f>
        <v>Google</v>
      </c>
      <c r="N653" s="4">
        <f>'Raw Data'!N653</f>
        <v>1939.02</v>
      </c>
    </row>
    <row r="654" spans="1:14" ht="15" customHeight="1" x14ac:dyDescent="0.2">
      <c r="A654" s="4" t="str">
        <f>'Raw Data'!A654</f>
        <v>ORD200652</v>
      </c>
      <c r="B654" s="6">
        <f>'Raw Data'!B654</f>
        <v>45448</v>
      </c>
      <c r="C654" s="4" t="str">
        <f>'Raw Data'!C654</f>
        <v>C71473</v>
      </c>
      <c r="D654" s="4" t="str">
        <f>'Raw Data'!D654</f>
        <v>Chair</v>
      </c>
      <c r="E654" s="4">
        <f>'Raw Data'!E654</f>
        <v>5</v>
      </c>
      <c r="F654" s="4">
        <f>'Raw Data'!F654</f>
        <v>341.84</v>
      </c>
      <c r="G654" s="4" t="str">
        <f>'Raw Data'!G654</f>
        <v>328 Main St</v>
      </c>
      <c r="H654" s="4" t="str">
        <f>'Raw Data'!H654</f>
        <v>Online</v>
      </c>
      <c r="I654" s="4" t="str">
        <f>'Raw Data'!I654</f>
        <v>Shipped</v>
      </c>
      <c r="J654" s="4" t="str">
        <f>'Raw Data'!J654</f>
        <v>TRK94857335</v>
      </c>
      <c r="K654" s="4">
        <f>'Raw Data'!K654</f>
        <v>8</v>
      </c>
      <c r="L654" s="4" t="str">
        <f>IF('Raw Data'!L654="","No Coupon",'Raw Data'!L654)</f>
        <v>FREESHIP</v>
      </c>
      <c r="M654" s="4" t="str">
        <f>'Raw Data'!M654</f>
        <v>Instagram</v>
      </c>
      <c r="N654" s="4">
        <f>'Raw Data'!N654</f>
        <v>1709.2</v>
      </c>
    </row>
    <row r="655" spans="1:14" ht="15" customHeight="1" x14ac:dyDescent="0.2">
      <c r="A655" s="4" t="str">
        <f>'Raw Data'!A655</f>
        <v>ORD200653</v>
      </c>
      <c r="B655" s="6">
        <f>'Raw Data'!B655</f>
        <v>45347</v>
      </c>
      <c r="C655" s="4" t="str">
        <f>'Raw Data'!C655</f>
        <v>C59338</v>
      </c>
      <c r="D655" s="4" t="str">
        <f>'Raw Data'!D655</f>
        <v>Printer</v>
      </c>
      <c r="E655" s="4">
        <f>'Raw Data'!E655</f>
        <v>3</v>
      </c>
      <c r="F655" s="4">
        <f>'Raw Data'!F655</f>
        <v>690.3</v>
      </c>
      <c r="G655" s="4" t="str">
        <f>'Raw Data'!G655</f>
        <v>747 Main St</v>
      </c>
      <c r="H655" s="4" t="str">
        <f>'Raw Data'!H655</f>
        <v>Credit Card</v>
      </c>
      <c r="I655" s="4" t="str">
        <f>'Raw Data'!I655</f>
        <v>Shipped</v>
      </c>
      <c r="J655" s="4" t="str">
        <f>'Raw Data'!J655</f>
        <v>TRK12902764</v>
      </c>
      <c r="K655" s="4">
        <f>'Raw Data'!K655</f>
        <v>6</v>
      </c>
      <c r="L655" s="4" t="str">
        <f>IF('Raw Data'!L655="","No Coupon",'Raw Data'!L655)</f>
        <v>WINTER15</v>
      </c>
      <c r="M655" s="4" t="str">
        <f>'Raw Data'!M655</f>
        <v>Google</v>
      </c>
      <c r="N655" s="4">
        <f>'Raw Data'!N655</f>
        <v>2070.9</v>
      </c>
    </row>
    <row r="656" spans="1:14" ht="15" customHeight="1" x14ac:dyDescent="0.2">
      <c r="A656" s="4" t="str">
        <f>'Raw Data'!A656</f>
        <v>ORD200654</v>
      </c>
      <c r="B656" s="6">
        <f>'Raw Data'!B656</f>
        <v>45089</v>
      </c>
      <c r="C656" s="4" t="str">
        <f>'Raw Data'!C656</f>
        <v>C62661</v>
      </c>
      <c r="D656" s="4" t="str">
        <f>'Raw Data'!D656</f>
        <v>Tablet</v>
      </c>
      <c r="E656" s="4">
        <f>'Raw Data'!E656</f>
        <v>3</v>
      </c>
      <c r="F656" s="4">
        <f>'Raw Data'!F656</f>
        <v>382.37</v>
      </c>
      <c r="G656" s="4" t="str">
        <f>'Raw Data'!G656</f>
        <v>863 Main St</v>
      </c>
      <c r="H656" s="4" t="str">
        <f>'Raw Data'!H656</f>
        <v>Debit Card</v>
      </c>
      <c r="I656" s="4" t="str">
        <f>'Raw Data'!I656</f>
        <v>Returned</v>
      </c>
      <c r="J656" s="4" t="str">
        <f>'Raw Data'!J656</f>
        <v>TRK25748100</v>
      </c>
      <c r="K656" s="4">
        <f>'Raw Data'!K656</f>
        <v>8</v>
      </c>
      <c r="L656" s="4" t="str">
        <f>IF('Raw Data'!L656="","No Coupon",'Raw Data'!L656)</f>
        <v>No Coupon</v>
      </c>
      <c r="M656" s="4" t="str">
        <f>'Raw Data'!M656</f>
        <v>Instagram</v>
      </c>
      <c r="N656" s="4">
        <f>'Raw Data'!N656</f>
        <v>1147.1099999999999</v>
      </c>
    </row>
    <row r="657" spans="1:14" ht="15" customHeight="1" x14ac:dyDescent="0.2">
      <c r="A657" s="4" t="str">
        <f>'Raw Data'!A657</f>
        <v>ORD200655</v>
      </c>
      <c r="B657" s="6">
        <f>'Raw Data'!B657</f>
        <v>44999</v>
      </c>
      <c r="C657" s="4" t="str">
        <f>'Raw Data'!C657</f>
        <v>C22101</v>
      </c>
      <c r="D657" s="4" t="str">
        <f>'Raw Data'!D657</f>
        <v>Chair</v>
      </c>
      <c r="E657" s="4">
        <f>'Raw Data'!E657</f>
        <v>2</v>
      </c>
      <c r="F657" s="4">
        <f>'Raw Data'!F657</f>
        <v>132.6</v>
      </c>
      <c r="G657" s="4" t="str">
        <f>'Raw Data'!G657</f>
        <v>262 Main St</v>
      </c>
      <c r="H657" s="4" t="str">
        <f>'Raw Data'!H657</f>
        <v>Debit Card</v>
      </c>
      <c r="I657" s="4" t="str">
        <f>'Raw Data'!I657</f>
        <v>Cancelled</v>
      </c>
      <c r="J657" s="4" t="str">
        <f>'Raw Data'!J657</f>
        <v>TRK70711522</v>
      </c>
      <c r="K657" s="4">
        <f>'Raw Data'!K657</f>
        <v>4</v>
      </c>
      <c r="L657" s="4" t="str">
        <f>IF('Raw Data'!L657="","No Coupon",'Raw Data'!L657)</f>
        <v>WINTER15</v>
      </c>
      <c r="M657" s="4" t="str">
        <f>'Raw Data'!M657</f>
        <v>Email</v>
      </c>
      <c r="N657" s="4">
        <f>'Raw Data'!N657</f>
        <v>265.2</v>
      </c>
    </row>
    <row r="658" spans="1:14" ht="15" customHeight="1" x14ac:dyDescent="0.2">
      <c r="A658" s="4" t="str">
        <f>'Raw Data'!A658</f>
        <v>ORD200656</v>
      </c>
      <c r="B658" s="6">
        <f>'Raw Data'!B658</f>
        <v>45309</v>
      </c>
      <c r="C658" s="4" t="str">
        <f>'Raw Data'!C658</f>
        <v>C51404</v>
      </c>
      <c r="D658" s="4" t="str">
        <f>'Raw Data'!D658</f>
        <v>Monitor</v>
      </c>
      <c r="E658" s="4">
        <f>'Raw Data'!E658</f>
        <v>2</v>
      </c>
      <c r="F658" s="4">
        <f>'Raw Data'!F658</f>
        <v>189.06</v>
      </c>
      <c r="G658" s="4" t="str">
        <f>'Raw Data'!G658</f>
        <v>835 Main St</v>
      </c>
      <c r="H658" s="4" t="str">
        <f>'Raw Data'!H658</f>
        <v>Gift Card</v>
      </c>
      <c r="I658" s="4" t="str">
        <f>'Raw Data'!I658</f>
        <v>Shipped</v>
      </c>
      <c r="J658" s="4" t="str">
        <f>'Raw Data'!J658</f>
        <v>TRK85682500</v>
      </c>
      <c r="K658" s="4">
        <f>'Raw Data'!K658</f>
        <v>7</v>
      </c>
      <c r="L658" s="4" t="str">
        <f>IF('Raw Data'!L658="","No Coupon",'Raw Data'!L658)</f>
        <v>SAVE10</v>
      </c>
      <c r="M658" s="4" t="str">
        <f>'Raw Data'!M658</f>
        <v>Facebook</v>
      </c>
      <c r="N658" s="4">
        <f>'Raw Data'!N658</f>
        <v>378.12</v>
      </c>
    </row>
    <row r="659" spans="1:14" ht="15" customHeight="1" x14ac:dyDescent="0.2">
      <c r="A659" s="4" t="str">
        <f>'Raw Data'!A659</f>
        <v>ORD200657</v>
      </c>
      <c r="B659" s="6">
        <f>'Raw Data'!B659</f>
        <v>45284</v>
      </c>
      <c r="C659" s="4" t="str">
        <f>'Raw Data'!C659</f>
        <v>C19384</v>
      </c>
      <c r="D659" s="4" t="str">
        <f>'Raw Data'!D659</f>
        <v>Tablet</v>
      </c>
      <c r="E659" s="4">
        <f>'Raw Data'!E659</f>
        <v>4</v>
      </c>
      <c r="F659" s="4">
        <f>'Raw Data'!F659</f>
        <v>87.79</v>
      </c>
      <c r="G659" s="4" t="str">
        <f>'Raw Data'!G659</f>
        <v>532 Main St</v>
      </c>
      <c r="H659" s="4" t="str">
        <f>'Raw Data'!H659</f>
        <v>Cash</v>
      </c>
      <c r="I659" s="4" t="str">
        <f>'Raw Data'!I659</f>
        <v>Cancelled</v>
      </c>
      <c r="J659" s="4" t="str">
        <f>'Raw Data'!J659</f>
        <v>TRK33207064</v>
      </c>
      <c r="K659" s="4">
        <f>'Raw Data'!K659</f>
        <v>6</v>
      </c>
      <c r="L659" s="4" t="str">
        <f>IF('Raw Data'!L659="","No Coupon",'Raw Data'!L659)</f>
        <v>FREESHIP</v>
      </c>
      <c r="M659" s="4" t="str">
        <f>'Raw Data'!M659</f>
        <v>Instagram</v>
      </c>
      <c r="N659" s="4">
        <f>'Raw Data'!N659</f>
        <v>351.16</v>
      </c>
    </row>
    <row r="660" spans="1:14" ht="15" customHeight="1" x14ac:dyDescent="0.2">
      <c r="A660" s="4" t="str">
        <f>'Raw Data'!A660</f>
        <v>ORD200658</v>
      </c>
      <c r="B660" s="6">
        <f>'Raw Data'!B660</f>
        <v>45765</v>
      </c>
      <c r="C660" s="4" t="str">
        <f>'Raw Data'!C660</f>
        <v>C86864</v>
      </c>
      <c r="D660" s="4" t="str">
        <f>'Raw Data'!D660</f>
        <v>Printer</v>
      </c>
      <c r="E660" s="4">
        <f>'Raw Data'!E660</f>
        <v>2</v>
      </c>
      <c r="F660" s="4">
        <f>'Raw Data'!F660</f>
        <v>46.36</v>
      </c>
      <c r="G660" s="4" t="str">
        <f>'Raw Data'!G660</f>
        <v>670 Main St</v>
      </c>
      <c r="H660" s="4" t="str">
        <f>'Raw Data'!H660</f>
        <v>Gift Card</v>
      </c>
      <c r="I660" s="4" t="str">
        <f>'Raw Data'!I660</f>
        <v>Returned</v>
      </c>
      <c r="J660" s="4" t="str">
        <f>'Raw Data'!J660</f>
        <v>TRK15323191</v>
      </c>
      <c r="K660" s="4">
        <f>'Raw Data'!K660</f>
        <v>4</v>
      </c>
      <c r="L660" s="4" t="str">
        <f>IF('Raw Data'!L660="","No Coupon",'Raw Data'!L660)</f>
        <v>SAVE10</v>
      </c>
      <c r="M660" s="4" t="str">
        <f>'Raw Data'!M660</f>
        <v>Google</v>
      </c>
      <c r="N660" s="4">
        <f>'Raw Data'!N660</f>
        <v>92.72</v>
      </c>
    </row>
    <row r="661" spans="1:14" ht="15" customHeight="1" x14ac:dyDescent="0.2">
      <c r="A661" s="4" t="str">
        <f>'Raw Data'!A661</f>
        <v>ORD200659</v>
      </c>
      <c r="B661" s="6">
        <f>'Raw Data'!B661</f>
        <v>45591</v>
      </c>
      <c r="C661" s="4" t="str">
        <f>'Raw Data'!C661</f>
        <v>C24301</v>
      </c>
      <c r="D661" s="4" t="str">
        <f>'Raw Data'!D661</f>
        <v>Phone</v>
      </c>
      <c r="E661" s="4">
        <f>'Raw Data'!E661</f>
        <v>2</v>
      </c>
      <c r="F661" s="4">
        <f>'Raw Data'!F661</f>
        <v>642.04</v>
      </c>
      <c r="G661" s="4" t="str">
        <f>'Raw Data'!G661</f>
        <v>964 Main St</v>
      </c>
      <c r="H661" s="4" t="str">
        <f>'Raw Data'!H661</f>
        <v>Gift Card</v>
      </c>
      <c r="I661" s="4" t="str">
        <f>'Raw Data'!I661</f>
        <v>Delivered</v>
      </c>
      <c r="J661" s="4" t="str">
        <f>'Raw Data'!J661</f>
        <v>TRK55000075</v>
      </c>
      <c r="K661" s="4">
        <f>'Raw Data'!K661</f>
        <v>4</v>
      </c>
      <c r="L661" s="4" t="str">
        <f>IF('Raw Data'!L661="","No Coupon",'Raw Data'!L661)</f>
        <v>WINTER15</v>
      </c>
      <c r="M661" s="4" t="str">
        <f>'Raw Data'!M661</f>
        <v>Email</v>
      </c>
      <c r="N661" s="4">
        <f>'Raw Data'!N661</f>
        <v>1284.08</v>
      </c>
    </row>
    <row r="662" spans="1:14" ht="15" customHeight="1" x14ac:dyDescent="0.2">
      <c r="A662" s="4" t="str">
        <f>'Raw Data'!A662</f>
        <v>ORD200660</v>
      </c>
      <c r="B662" s="6">
        <f>'Raw Data'!B662</f>
        <v>45584</v>
      </c>
      <c r="C662" s="4" t="str">
        <f>'Raw Data'!C662</f>
        <v>C43842</v>
      </c>
      <c r="D662" s="4" t="str">
        <f>'Raw Data'!D662</f>
        <v>Chair</v>
      </c>
      <c r="E662" s="4">
        <f>'Raw Data'!E662</f>
        <v>2</v>
      </c>
      <c r="F662" s="4">
        <f>'Raw Data'!F662</f>
        <v>651.57000000000005</v>
      </c>
      <c r="G662" s="4" t="str">
        <f>'Raw Data'!G662</f>
        <v>933 Main St</v>
      </c>
      <c r="H662" s="4" t="str">
        <f>'Raw Data'!H662</f>
        <v>Debit Card</v>
      </c>
      <c r="I662" s="4" t="str">
        <f>'Raw Data'!I662</f>
        <v>Shipped</v>
      </c>
      <c r="J662" s="4" t="str">
        <f>'Raw Data'!J662</f>
        <v>TRK54084424</v>
      </c>
      <c r="K662" s="4">
        <f>'Raw Data'!K662</f>
        <v>7</v>
      </c>
      <c r="L662" s="4" t="str">
        <f>IF('Raw Data'!L662="","No Coupon",'Raw Data'!L662)</f>
        <v>WINTER15</v>
      </c>
      <c r="M662" s="4" t="str">
        <f>'Raw Data'!M662</f>
        <v>Facebook</v>
      </c>
      <c r="N662" s="4">
        <f>'Raw Data'!N662</f>
        <v>1303.1400000000001</v>
      </c>
    </row>
    <row r="663" spans="1:14" ht="15" customHeight="1" x14ac:dyDescent="0.2">
      <c r="A663" s="4" t="str">
        <f>'Raw Data'!A663</f>
        <v>ORD200661</v>
      </c>
      <c r="B663" s="6">
        <f>'Raw Data'!B663</f>
        <v>45716</v>
      </c>
      <c r="C663" s="4" t="str">
        <f>'Raw Data'!C663</f>
        <v>C63657</v>
      </c>
      <c r="D663" s="4" t="str">
        <f>'Raw Data'!D663</f>
        <v>Tablet</v>
      </c>
      <c r="E663" s="4">
        <f>'Raw Data'!E663</f>
        <v>3</v>
      </c>
      <c r="F663" s="4">
        <f>'Raw Data'!F663</f>
        <v>424.89</v>
      </c>
      <c r="G663" s="4" t="str">
        <f>'Raw Data'!G663</f>
        <v>116 Main St</v>
      </c>
      <c r="H663" s="4" t="str">
        <f>'Raw Data'!H663</f>
        <v>Debit Card</v>
      </c>
      <c r="I663" s="4" t="str">
        <f>'Raw Data'!I663</f>
        <v>Cancelled</v>
      </c>
      <c r="J663" s="4" t="str">
        <f>'Raw Data'!J663</f>
        <v>TRK86378984</v>
      </c>
      <c r="K663" s="4">
        <f>'Raw Data'!K663</f>
        <v>6</v>
      </c>
      <c r="L663" s="4" t="str">
        <f>IF('Raw Data'!L663="","No Coupon",'Raw Data'!L663)</f>
        <v>FREESHIP</v>
      </c>
      <c r="M663" s="4" t="str">
        <f>'Raw Data'!M663</f>
        <v>Google</v>
      </c>
      <c r="N663" s="4">
        <f>'Raw Data'!N663</f>
        <v>1274.67</v>
      </c>
    </row>
    <row r="664" spans="1:14" ht="15" customHeight="1" x14ac:dyDescent="0.2">
      <c r="A664" s="4" t="str">
        <f>'Raw Data'!A664</f>
        <v>ORD200662</v>
      </c>
      <c r="B664" s="6">
        <f>'Raw Data'!B664</f>
        <v>44954</v>
      </c>
      <c r="C664" s="4" t="str">
        <f>'Raw Data'!C664</f>
        <v>C98332</v>
      </c>
      <c r="D664" s="4" t="str">
        <f>'Raw Data'!D664</f>
        <v>Laptop</v>
      </c>
      <c r="E664" s="4">
        <f>'Raw Data'!E664</f>
        <v>3</v>
      </c>
      <c r="F664" s="4">
        <f>'Raw Data'!F664</f>
        <v>438.89</v>
      </c>
      <c r="G664" s="4" t="str">
        <f>'Raw Data'!G664</f>
        <v>985 Main St</v>
      </c>
      <c r="H664" s="4" t="str">
        <f>'Raw Data'!H664</f>
        <v>Cash</v>
      </c>
      <c r="I664" s="4" t="str">
        <f>'Raw Data'!I664</f>
        <v>Returned</v>
      </c>
      <c r="J664" s="4" t="str">
        <f>'Raw Data'!J664</f>
        <v>TRK85744797</v>
      </c>
      <c r="K664" s="4">
        <f>'Raw Data'!K664</f>
        <v>3</v>
      </c>
      <c r="L664" s="4" t="str">
        <f>IF('Raw Data'!L664="","No Coupon",'Raw Data'!L664)</f>
        <v>No Coupon</v>
      </c>
      <c r="M664" s="4" t="str">
        <f>'Raw Data'!M664</f>
        <v>Facebook</v>
      </c>
      <c r="N664" s="4">
        <f>'Raw Data'!N664</f>
        <v>1316.67</v>
      </c>
    </row>
    <row r="665" spans="1:14" ht="15" customHeight="1" x14ac:dyDescent="0.2">
      <c r="A665" s="4" t="str">
        <f>'Raw Data'!A665</f>
        <v>ORD200663</v>
      </c>
      <c r="B665" s="6">
        <f>'Raw Data'!B665</f>
        <v>45397</v>
      </c>
      <c r="C665" s="4" t="str">
        <f>'Raw Data'!C665</f>
        <v>C59774</v>
      </c>
      <c r="D665" s="4" t="str">
        <f>'Raw Data'!D665</f>
        <v>Monitor</v>
      </c>
      <c r="E665" s="4">
        <f>'Raw Data'!E665</f>
        <v>1</v>
      </c>
      <c r="F665" s="4">
        <f>'Raw Data'!F665</f>
        <v>72.599999999999994</v>
      </c>
      <c r="G665" s="4" t="str">
        <f>'Raw Data'!G665</f>
        <v>941 Main St</v>
      </c>
      <c r="H665" s="4" t="str">
        <f>'Raw Data'!H665</f>
        <v>Debit Card</v>
      </c>
      <c r="I665" s="4" t="str">
        <f>'Raw Data'!I665</f>
        <v>Cancelled</v>
      </c>
      <c r="J665" s="4" t="str">
        <f>'Raw Data'!J665</f>
        <v>TRK87635135</v>
      </c>
      <c r="K665" s="4">
        <f>'Raw Data'!K665</f>
        <v>6</v>
      </c>
      <c r="L665" s="4" t="str">
        <f>IF('Raw Data'!L665="","No Coupon",'Raw Data'!L665)</f>
        <v>FREESHIP</v>
      </c>
      <c r="M665" s="4" t="str">
        <f>'Raw Data'!M665</f>
        <v>Instagram</v>
      </c>
      <c r="N665" s="4">
        <f>'Raw Data'!N665</f>
        <v>72.599999999999994</v>
      </c>
    </row>
    <row r="666" spans="1:14" ht="15" customHeight="1" x14ac:dyDescent="0.2">
      <c r="A666" s="4" t="str">
        <f>'Raw Data'!A666</f>
        <v>ORD200664</v>
      </c>
      <c r="B666" s="6">
        <f>'Raw Data'!B666</f>
        <v>45645</v>
      </c>
      <c r="C666" s="4" t="str">
        <f>'Raw Data'!C666</f>
        <v>C14847</v>
      </c>
      <c r="D666" s="4" t="str">
        <f>'Raw Data'!D666</f>
        <v>Laptop</v>
      </c>
      <c r="E666" s="4">
        <f>'Raw Data'!E666</f>
        <v>4</v>
      </c>
      <c r="F666" s="4">
        <f>'Raw Data'!F666</f>
        <v>194.75</v>
      </c>
      <c r="G666" s="4" t="str">
        <f>'Raw Data'!G666</f>
        <v>188 Main St</v>
      </c>
      <c r="H666" s="4" t="str">
        <f>'Raw Data'!H666</f>
        <v>Cash</v>
      </c>
      <c r="I666" s="4" t="str">
        <f>'Raw Data'!I666</f>
        <v>Shipped</v>
      </c>
      <c r="J666" s="4" t="str">
        <f>'Raw Data'!J666</f>
        <v>TRK46492755</v>
      </c>
      <c r="K666" s="4">
        <f>'Raw Data'!K666</f>
        <v>5</v>
      </c>
      <c r="L666" s="4" t="str">
        <f>IF('Raw Data'!L666="","No Coupon",'Raw Data'!L666)</f>
        <v>No Coupon</v>
      </c>
      <c r="M666" s="4" t="str">
        <f>'Raw Data'!M666</f>
        <v>Facebook</v>
      </c>
      <c r="N666" s="4">
        <f>'Raw Data'!N666</f>
        <v>779</v>
      </c>
    </row>
    <row r="667" spans="1:14" ht="15" customHeight="1" x14ac:dyDescent="0.2">
      <c r="A667" s="4" t="str">
        <f>'Raw Data'!A667</f>
        <v>ORD200665</v>
      </c>
      <c r="B667" s="6">
        <f>'Raw Data'!B667</f>
        <v>45048</v>
      </c>
      <c r="C667" s="4" t="str">
        <f>'Raw Data'!C667</f>
        <v>C83653</v>
      </c>
      <c r="D667" s="4" t="str">
        <f>'Raw Data'!D667</f>
        <v>Tablet</v>
      </c>
      <c r="E667" s="4">
        <f>'Raw Data'!E667</f>
        <v>4</v>
      </c>
      <c r="F667" s="4">
        <f>'Raw Data'!F667</f>
        <v>231.26</v>
      </c>
      <c r="G667" s="4" t="str">
        <f>'Raw Data'!G667</f>
        <v>253 Main St</v>
      </c>
      <c r="H667" s="4" t="str">
        <f>'Raw Data'!H667</f>
        <v>Online</v>
      </c>
      <c r="I667" s="4" t="str">
        <f>'Raw Data'!I667</f>
        <v>Shipped</v>
      </c>
      <c r="J667" s="4" t="str">
        <f>'Raw Data'!J667</f>
        <v>TRK32619935</v>
      </c>
      <c r="K667" s="4">
        <f>'Raw Data'!K667</f>
        <v>6</v>
      </c>
      <c r="L667" s="4" t="str">
        <f>IF('Raw Data'!L667="","No Coupon",'Raw Data'!L667)</f>
        <v>WINTER15</v>
      </c>
      <c r="M667" s="4" t="str">
        <f>'Raw Data'!M667</f>
        <v>Google</v>
      </c>
      <c r="N667" s="4">
        <f>'Raw Data'!N667</f>
        <v>925.04</v>
      </c>
    </row>
    <row r="668" spans="1:14" ht="15" customHeight="1" x14ac:dyDescent="0.2">
      <c r="A668" s="4" t="str">
        <f>'Raw Data'!A668</f>
        <v>ORD200666</v>
      </c>
      <c r="B668" s="6">
        <f>'Raw Data'!B668</f>
        <v>45535</v>
      </c>
      <c r="C668" s="4" t="str">
        <f>'Raw Data'!C668</f>
        <v>C35711</v>
      </c>
      <c r="D668" s="4" t="str">
        <f>'Raw Data'!D668</f>
        <v>Monitor</v>
      </c>
      <c r="E668" s="4">
        <f>'Raw Data'!E668</f>
        <v>4</v>
      </c>
      <c r="F668" s="4">
        <f>'Raw Data'!F668</f>
        <v>327.12</v>
      </c>
      <c r="G668" s="4" t="str">
        <f>'Raw Data'!G668</f>
        <v>788 Main St</v>
      </c>
      <c r="H668" s="4" t="str">
        <f>'Raw Data'!H668</f>
        <v>Credit Card</v>
      </c>
      <c r="I668" s="4" t="str">
        <f>'Raw Data'!I668</f>
        <v>Cancelled</v>
      </c>
      <c r="J668" s="4" t="str">
        <f>'Raw Data'!J668</f>
        <v>TRK45281495</v>
      </c>
      <c r="K668" s="4">
        <f>'Raw Data'!K668</f>
        <v>4</v>
      </c>
      <c r="L668" s="4" t="str">
        <f>IF('Raw Data'!L668="","No Coupon",'Raw Data'!L668)</f>
        <v>No Coupon</v>
      </c>
      <c r="M668" s="4" t="str">
        <f>'Raw Data'!M668</f>
        <v>Email</v>
      </c>
      <c r="N668" s="4">
        <f>'Raw Data'!N668</f>
        <v>1308.48</v>
      </c>
    </row>
    <row r="669" spans="1:14" ht="15" customHeight="1" x14ac:dyDescent="0.2">
      <c r="A669" s="4" t="str">
        <f>'Raw Data'!A669</f>
        <v>ORD200667</v>
      </c>
      <c r="B669" s="6">
        <f>'Raw Data'!B669</f>
        <v>45049</v>
      </c>
      <c r="C669" s="4" t="str">
        <f>'Raw Data'!C669</f>
        <v>C10477</v>
      </c>
      <c r="D669" s="4" t="str">
        <f>'Raw Data'!D669</f>
        <v>Laptop</v>
      </c>
      <c r="E669" s="4">
        <f>'Raw Data'!E669</f>
        <v>1</v>
      </c>
      <c r="F669" s="4">
        <f>'Raw Data'!F669</f>
        <v>466.42</v>
      </c>
      <c r="G669" s="4" t="str">
        <f>'Raw Data'!G669</f>
        <v>172 Main St</v>
      </c>
      <c r="H669" s="4" t="str">
        <f>'Raw Data'!H669</f>
        <v>Gift Card</v>
      </c>
      <c r="I669" s="4" t="str">
        <f>'Raw Data'!I669</f>
        <v>Pending</v>
      </c>
      <c r="J669" s="4" t="str">
        <f>'Raw Data'!J669</f>
        <v>TRK41505339</v>
      </c>
      <c r="K669" s="4">
        <f>'Raw Data'!K669</f>
        <v>5</v>
      </c>
      <c r="L669" s="4" t="str">
        <f>IF('Raw Data'!L669="","No Coupon",'Raw Data'!L669)</f>
        <v>SAVE10</v>
      </c>
      <c r="M669" s="4" t="str">
        <f>'Raw Data'!M669</f>
        <v>Email</v>
      </c>
      <c r="N669" s="4">
        <f>'Raw Data'!N669</f>
        <v>466.42</v>
      </c>
    </row>
    <row r="670" spans="1:14" ht="15" customHeight="1" x14ac:dyDescent="0.2">
      <c r="A670" s="4" t="str">
        <f>'Raw Data'!A670</f>
        <v>ORD200668</v>
      </c>
      <c r="B670" s="6">
        <f>'Raw Data'!B670</f>
        <v>45478</v>
      </c>
      <c r="C670" s="4" t="str">
        <f>'Raw Data'!C670</f>
        <v>C61257</v>
      </c>
      <c r="D670" s="4" t="str">
        <f>'Raw Data'!D670</f>
        <v>Monitor</v>
      </c>
      <c r="E670" s="4">
        <f>'Raw Data'!E670</f>
        <v>2</v>
      </c>
      <c r="F670" s="4">
        <f>'Raw Data'!F670</f>
        <v>253.67</v>
      </c>
      <c r="G670" s="4" t="str">
        <f>'Raw Data'!G670</f>
        <v>981 Main St</v>
      </c>
      <c r="H670" s="4" t="str">
        <f>'Raw Data'!H670</f>
        <v>Cash</v>
      </c>
      <c r="I670" s="4" t="str">
        <f>'Raw Data'!I670</f>
        <v>Returned</v>
      </c>
      <c r="J670" s="4" t="str">
        <f>'Raw Data'!J670</f>
        <v>TRK25226070</v>
      </c>
      <c r="K670" s="4">
        <f>'Raw Data'!K670</f>
        <v>3</v>
      </c>
      <c r="L670" s="4" t="str">
        <f>IF('Raw Data'!L670="","No Coupon",'Raw Data'!L670)</f>
        <v>WINTER15</v>
      </c>
      <c r="M670" s="4" t="str">
        <f>'Raw Data'!M670</f>
        <v>Facebook</v>
      </c>
      <c r="N670" s="4">
        <f>'Raw Data'!N670</f>
        <v>507.34</v>
      </c>
    </row>
    <row r="671" spans="1:14" ht="15" customHeight="1" x14ac:dyDescent="0.2">
      <c r="A671" s="4" t="str">
        <f>'Raw Data'!A671</f>
        <v>ORD200669</v>
      </c>
      <c r="B671" s="6">
        <f>'Raw Data'!B671</f>
        <v>44962</v>
      </c>
      <c r="C671" s="4" t="str">
        <f>'Raw Data'!C671</f>
        <v>C60547</v>
      </c>
      <c r="D671" s="4" t="str">
        <f>'Raw Data'!D671</f>
        <v>Desk</v>
      </c>
      <c r="E671" s="4">
        <f>'Raw Data'!E671</f>
        <v>1</v>
      </c>
      <c r="F671" s="4">
        <f>'Raw Data'!F671</f>
        <v>257</v>
      </c>
      <c r="G671" s="4" t="str">
        <f>'Raw Data'!G671</f>
        <v>812 Main St</v>
      </c>
      <c r="H671" s="4" t="str">
        <f>'Raw Data'!H671</f>
        <v>Debit Card</v>
      </c>
      <c r="I671" s="4" t="str">
        <f>'Raw Data'!I671</f>
        <v>Cancelled</v>
      </c>
      <c r="J671" s="4" t="str">
        <f>'Raw Data'!J671</f>
        <v>TRK65694249</v>
      </c>
      <c r="K671" s="4">
        <f>'Raw Data'!K671</f>
        <v>5</v>
      </c>
      <c r="L671" s="4" t="str">
        <f>IF('Raw Data'!L671="","No Coupon",'Raw Data'!L671)</f>
        <v>No Coupon</v>
      </c>
      <c r="M671" s="4" t="str">
        <f>'Raw Data'!M671</f>
        <v>Referral</v>
      </c>
      <c r="N671" s="4">
        <f>'Raw Data'!N671</f>
        <v>257</v>
      </c>
    </row>
    <row r="672" spans="1:14" ht="15" customHeight="1" x14ac:dyDescent="0.2">
      <c r="A672" s="4" t="str">
        <f>'Raw Data'!A672</f>
        <v>ORD200670</v>
      </c>
      <c r="B672" s="6">
        <f>'Raw Data'!B672</f>
        <v>45400</v>
      </c>
      <c r="C672" s="4" t="str">
        <f>'Raw Data'!C672</f>
        <v>C14576</v>
      </c>
      <c r="D672" s="4" t="str">
        <f>'Raw Data'!D672</f>
        <v>Desk</v>
      </c>
      <c r="E672" s="4">
        <f>'Raw Data'!E672</f>
        <v>4</v>
      </c>
      <c r="F672" s="4">
        <f>'Raw Data'!F672</f>
        <v>539.20000000000005</v>
      </c>
      <c r="G672" s="4" t="str">
        <f>'Raw Data'!G672</f>
        <v>747 Main St</v>
      </c>
      <c r="H672" s="4" t="str">
        <f>'Raw Data'!H672</f>
        <v>Credit Card</v>
      </c>
      <c r="I672" s="4" t="str">
        <f>'Raw Data'!I672</f>
        <v>Pending</v>
      </c>
      <c r="J672" s="4" t="str">
        <f>'Raw Data'!J672</f>
        <v>TRK21637540</v>
      </c>
      <c r="K672" s="4">
        <f>'Raw Data'!K672</f>
        <v>8</v>
      </c>
      <c r="L672" s="4" t="str">
        <f>IF('Raw Data'!L672="","No Coupon",'Raw Data'!L672)</f>
        <v>FREESHIP</v>
      </c>
      <c r="M672" s="4" t="str">
        <f>'Raw Data'!M672</f>
        <v>Google</v>
      </c>
      <c r="N672" s="4">
        <f>'Raw Data'!N672</f>
        <v>2156.8000000000002</v>
      </c>
    </row>
    <row r="673" spans="1:14" ht="15" customHeight="1" x14ac:dyDescent="0.2">
      <c r="A673" s="4" t="str">
        <f>'Raw Data'!A673</f>
        <v>ORD200671</v>
      </c>
      <c r="B673" s="6">
        <f>'Raw Data'!B673</f>
        <v>45092</v>
      </c>
      <c r="C673" s="4" t="str">
        <f>'Raw Data'!C673</f>
        <v>C49282</v>
      </c>
      <c r="D673" s="4" t="str">
        <f>'Raw Data'!D673</f>
        <v>Chair</v>
      </c>
      <c r="E673" s="4">
        <f>'Raw Data'!E673</f>
        <v>5</v>
      </c>
      <c r="F673" s="4">
        <f>'Raw Data'!F673</f>
        <v>50.74</v>
      </c>
      <c r="G673" s="4" t="str">
        <f>'Raw Data'!G673</f>
        <v>737 Main St</v>
      </c>
      <c r="H673" s="4" t="str">
        <f>'Raw Data'!H673</f>
        <v>Gift Card</v>
      </c>
      <c r="I673" s="4" t="str">
        <f>'Raw Data'!I673</f>
        <v>Cancelled</v>
      </c>
      <c r="J673" s="4" t="str">
        <f>'Raw Data'!J673</f>
        <v>TRK88653901</v>
      </c>
      <c r="K673" s="4">
        <f>'Raw Data'!K673</f>
        <v>7</v>
      </c>
      <c r="L673" s="4" t="str">
        <f>IF('Raw Data'!L673="","No Coupon",'Raw Data'!L673)</f>
        <v>WINTER15</v>
      </c>
      <c r="M673" s="4" t="str">
        <f>'Raw Data'!M673</f>
        <v>Google</v>
      </c>
      <c r="N673" s="4">
        <f>'Raw Data'!N673</f>
        <v>253.7</v>
      </c>
    </row>
    <row r="674" spans="1:14" ht="15" customHeight="1" x14ac:dyDescent="0.2">
      <c r="A674" s="4" t="str">
        <f>'Raw Data'!A674</f>
        <v>ORD200672</v>
      </c>
      <c r="B674" s="6">
        <f>'Raw Data'!B674</f>
        <v>45055</v>
      </c>
      <c r="C674" s="4" t="str">
        <f>'Raw Data'!C674</f>
        <v>C14017</v>
      </c>
      <c r="D674" s="4" t="str">
        <f>'Raw Data'!D674</f>
        <v>Phone</v>
      </c>
      <c r="E674" s="4">
        <f>'Raw Data'!E674</f>
        <v>2</v>
      </c>
      <c r="F674" s="4">
        <f>'Raw Data'!F674</f>
        <v>624.16</v>
      </c>
      <c r="G674" s="4" t="str">
        <f>'Raw Data'!G674</f>
        <v>984 Main St</v>
      </c>
      <c r="H674" s="4" t="str">
        <f>'Raw Data'!H674</f>
        <v>Debit Card</v>
      </c>
      <c r="I674" s="4" t="str">
        <f>'Raw Data'!I674</f>
        <v>Shipped</v>
      </c>
      <c r="J674" s="4" t="str">
        <f>'Raw Data'!J674</f>
        <v>TRK71009446</v>
      </c>
      <c r="K674" s="4">
        <f>'Raw Data'!K674</f>
        <v>2</v>
      </c>
      <c r="L674" s="4" t="str">
        <f>IF('Raw Data'!L674="","No Coupon",'Raw Data'!L674)</f>
        <v>SAVE10</v>
      </c>
      <c r="M674" s="4" t="str">
        <f>'Raw Data'!M674</f>
        <v>Instagram</v>
      </c>
      <c r="N674" s="4">
        <f>'Raw Data'!N674</f>
        <v>1248.32</v>
      </c>
    </row>
    <row r="675" spans="1:14" ht="15" customHeight="1" x14ac:dyDescent="0.2">
      <c r="A675" s="4" t="str">
        <f>'Raw Data'!A675</f>
        <v>ORD200673</v>
      </c>
      <c r="B675" s="6">
        <f>'Raw Data'!B675</f>
        <v>44978</v>
      </c>
      <c r="C675" s="4" t="str">
        <f>'Raw Data'!C675</f>
        <v>C46504</v>
      </c>
      <c r="D675" s="4" t="str">
        <f>'Raw Data'!D675</f>
        <v>Tablet</v>
      </c>
      <c r="E675" s="4">
        <f>'Raw Data'!E675</f>
        <v>2</v>
      </c>
      <c r="F675" s="4">
        <f>'Raw Data'!F675</f>
        <v>372.92</v>
      </c>
      <c r="G675" s="4" t="str">
        <f>'Raw Data'!G675</f>
        <v>131 Main St</v>
      </c>
      <c r="H675" s="4" t="str">
        <f>'Raw Data'!H675</f>
        <v>Credit Card</v>
      </c>
      <c r="I675" s="4" t="str">
        <f>'Raw Data'!I675</f>
        <v>Delivered</v>
      </c>
      <c r="J675" s="4" t="str">
        <f>'Raw Data'!J675</f>
        <v>TRK95024356</v>
      </c>
      <c r="K675" s="4">
        <f>'Raw Data'!K675</f>
        <v>7</v>
      </c>
      <c r="L675" s="4" t="str">
        <f>IF('Raw Data'!L675="","No Coupon",'Raw Data'!L675)</f>
        <v>SAVE10</v>
      </c>
      <c r="M675" s="4" t="str">
        <f>'Raw Data'!M675</f>
        <v>Email</v>
      </c>
      <c r="N675" s="4">
        <f>'Raw Data'!N675</f>
        <v>745.84</v>
      </c>
    </row>
    <row r="676" spans="1:14" ht="15" customHeight="1" x14ac:dyDescent="0.2">
      <c r="A676" s="4" t="str">
        <f>'Raw Data'!A676</f>
        <v>ORD200674</v>
      </c>
      <c r="B676" s="6">
        <f>'Raw Data'!B676</f>
        <v>45300</v>
      </c>
      <c r="C676" s="4" t="str">
        <f>'Raw Data'!C676</f>
        <v>C56928</v>
      </c>
      <c r="D676" s="4" t="str">
        <f>'Raw Data'!D676</f>
        <v>Laptop</v>
      </c>
      <c r="E676" s="4">
        <f>'Raw Data'!E676</f>
        <v>4</v>
      </c>
      <c r="F676" s="4">
        <f>'Raw Data'!F676</f>
        <v>358.75</v>
      </c>
      <c r="G676" s="4" t="str">
        <f>'Raw Data'!G676</f>
        <v>860 Main St</v>
      </c>
      <c r="H676" s="4" t="str">
        <f>'Raw Data'!H676</f>
        <v>Gift Card</v>
      </c>
      <c r="I676" s="4" t="str">
        <f>'Raw Data'!I676</f>
        <v>Delivered</v>
      </c>
      <c r="J676" s="4" t="str">
        <f>'Raw Data'!J676</f>
        <v>TRK57792939</v>
      </c>
      <c r="K676" s="4">
        <f>'Raw Data'!K676</f>
        <v>9</v>
      </c>
      <c r="L676" s="4" t="str">
        <f>IF('Raw Data'!L676="","No Coupon",'Raw Data'!L676)</f>
        <v>SAVE10</v>
      </c>
      <c r="M676" s="4" t="str">
        <f>'Raw Data'!M676</f>
        <v>Facebook</v>
      </c>
      <c r="N676" s="4">
        <f>'Raw Data'!N676</f>
        <v>1435</v>
      </c>
    </row>
    <row r="677" spans="1:14" ht="15" customHeight="1" x14ac:dyDescent="0.2">
      <c r="A677" s="4" t="str">
        <f>'Raw Data'!A677</f>
        <v>ORD200675</v>
      </c>
      <c r="B677" s="6">
        <f>'Raw Data'!B677</f>
        <v>45510</v>
      </c>
      <c r="C677" s="4" t="str">
        <f>'Raw Data'!C677</f>
        <v>C97749</v>
      </c>
      <c r="D677" s="4" t="str">
        <f>'Raw Data'!D677</f>
        <v>Desk</v>
      </c>
      <c r="E677" s="4">
        <f>'Raw Data'!E677</f>
        <v>3</v>
      </c>
      <c r="F677" s="4">
        <f>'Raw Data'!F677</f>
        <v>342.02</v>
      </c>
      <c r="G677" s="4" t="str">
        <f>'Raw Data'!G677</f>
        <v>906 Main St</v>
      </c>
      <c r="H677" s="4" t="str">
        <f>'Raw Data'!H677</f>
        <v>Debit Card</v>
      </c>
      <c r="I677" s="4" t="str">
        <f>'Raw Data'!I677</f>
        <v>Pending</v>
      </c>
      <c r="J677" s="4" t="str">
        <f>'Raw Data'!J677</f>
        <v>TRK90233116</v>
      </c>
      <c r="K677" s="4">
        <f>'Raw Data'!K677</f>
        <v>5</v>
      </c>
      <c r="L677" s="4" t="str">
        <f>IF('Raw Data'!L677="","No Coupon",'Raw Data'!L677)</f>
        <v>No Coupon</v>
      </c>
      <c r="M677" s="4" t="str">
        <f>'Raw Data'!M677</f>
        <v>Email</v>
      </c>
      <c r="N677" s="4">
        <f>'Raw Data'!N677</f>
        <v>1026.06</v>
      </c>
    </row>
    <row r="678" spans="1:14" ht="15" customHeight="1" x14ac:dyDescent="0.2">
      <c r="A678" s="4" t="str">
        <f>'Raw Data'!A678</f>
        <v>ORD200676</v>
      </c>
      <c r="B678" s="6">
        <f>'Raw Data'!B678</f>
        <v>45831</v>
      </c>
      <c r="C678" s="4" t="str">
        <f>'Raw Data'!C678</f>
        <v>C90431</v>
      </c>
      <c r="D678" s="4" t="str">
        <f>'Raw Data'!D678</f>
        <v>Laptop</v>
      </c>
      <c r="E678" s="4">
        <f>'Raw Data'!E678</f>
        <v>2</v>
      </c>
      <c r="F678" s="4">
        <f>'Raw Data'!F678</f>
        <v>422.34</v>
      </c>
      <c r="G678" s="4" t="str">
        <f>'Raw Data'!G678</f>
        <v>985 Main St</v>
      </c>
      <c r="H678" s="4" t="str">
        <f>'Raw Data'!H678</f>
        <v>Credit Card</v>
      </c>
      <c r="I678" s="4" t="str">
        <f>'Raw Data'!I678</f>
        <v>Cancelled</v>
      </c>
      <c r="J678" s="4" t="str">
        <f>'Raw Data'!J678</f>
        <v>TRK44151723</v>
      </c>
      <c r="K678" s="4">
        <f>'Raw Data'!K678</f>
        <v>4</v>
      </c>
      <c r="L678" s="4" t="str">
        <f>IF('Raw Data'!L678="","No Coupon",'Raw Data'!L678)</f>
        <v>FREESHIP</v>
      </c>
      <c r="M678" s="4" t="str">
        <f>'Raw Data'!M678</f>
        <v>Instagram</v>
      </c>
      <c r="N678" s="4">
        <f>'Raw Data'!N678</f>
        <v>844.68</v>
      </c>
    </row>
    <row r="679" spans="1:14" ht="15" customHeight="1" x14ac:dyDescent="0.2">
      <c r="A679" s="4" t="str">
        <f>'Raw Data'!A679</f>
        <v>ORD200677</v>
      </c>
      <c r="B679" s="6">
        <f>'Raw Data'!B679</f>
        <v>45750</v>
      </c>
      <c r="C679" s="4" t="str">
        <f>'Raw Data'!C679</f>
        <v>C56722</v>
      </c>
      <c r="D679" s="4" t="str">
        <f>'Raw Data'!D679</f>
        <v>Tablet</v>
      </c>
      <c r="E679" s="4">
        <f>'Raw Data'!E679</f>
        <v>5</v>
      </c>
      <c r="F679" s="4">
        <f>'Raw Data'!F679</f>
        <v>22.07</v>
      </c>
      <c r="G679" s="4" t="str">
        <f>'Raw Data'!G679</f>
        <v>179 Main St</v>
      </c>
      <c r="H679" s="4" t="str">
        <f>'Raw Data'!H679</f>
        <v>Online</v>
      </c>
      <c r="I679" s="4" t="str">
        <f>'Raw Data'!I679</f>
        <v>Cancelled</v>
      </c>
      <c r="J679" s="4" t="str">
        <f>'Raw Data'!J679</f>
        <v>TRK78778569</v>
      </c>
      <c r="K679" s="4">
        <f>'Raw Data'!K679</f>
        <v>7</v>
      </c>
      <c r="L679" s="4" t="str">
        <f>IF('Raw Data'!L679="","No Coupon",'Raw Data'!L679)</f>
        <v>FREESHIP</v>
      </c>
      <c r="M679" s="4" t="str">
        <f>'Raw Data'!M679</f>
        <v>Instagram</v>
      </c>
      <c r="N679" s="4">
        <f>'Raw Data'!N679</f>
        <v>110.35</v>
      </c>
    </row>
    <row r="680" spans="1:14" ht="15" customHeight="1" x14ac:dyDescent="0.2">
      <c r="A680" s="4" t="str">
        <f>'Raw Data'!A680</f>
        <v>ORD200678</v>
      </c>
      <c r="B680" s="6">
        <f>'Raw Data'!B680</f>
        <v>45620</v>
      </c>
      <c r="C680" s="4" t="str">
        <f>'Raw Data'!C680</f>
        <v>C40863</v>
      </c>
      <c r="D680" s="4" t="str">
        <f>'Raw Data'!D680</f>
        <v>Chair</v>
      </c>
      <c r="E680" s="4">
        <f>'Raw Data'!E680</f>
        <v>3</v>
      </c>
      <c r="F680" s="4">
        <f>'Raw Data'!F680</f>
        <v>163.13</v>
      </c>
      <c r="G680" s="4" t="str">
        <f>'Raw Data'!G680</f>
        <v>457 Main St</v>
      </c>
      <c r="H680" s="4" t="str">
        <f>'Raw Data'!H680</f>
        <v>Gift Card</v>
      </c>
      <c r="I680" s="4" t="str">
        <f>'Raw Data'!I680</f>
        <v>Shipped</v>
      </c>
      <c r="J680" s="4" t="str">
        <f>'Raw Data'!J680</f>
        <v>TRK20553345</v>
      </c>
      <c r="K680" s="4">
        <f>'Raw Data'!K680</f>
        <v>5</v>
      </c>
      <c r="L680" s="4" t="str">
        <f>IF('Raw Data'!L680="","No Coupon",'Raw Data'!L680)</f>
        <v>WINTER15</v>
      </c>
      <c r="M680" s="4" t="str">
        <f>'Raw Data'!M680</f>
        <v>Facebook</v>
      </c>
      <c r="N680" s="4">
        <f>'Raw Data'!N680</f>
        <v>489.39</v>
      </c>
    </row>
    <row r="681" spans="1:14" ht="15" customHeight="1" x14ac:dyDescent="0.2">
      <c r="A681" s="4" t="str">
        <f>'Raw Data'!A681</f>
        <v>ORD200679</v>
      </c>
      <c r="B681" s="6">
        <f>'Raw Data'!B681</f>
        <v>44959</v>
      </c>
      <c r="C681" s="4" t="str">
        <f>'Raw Data'!C681</f>
        <v>C40798</v>
      </c>
      <c r="D681" s="4" t="str">
        <f>'Raw Data'!D681</f>
        <v>Tablet</v>
      </c>
      <c r="E681" s="4">
        <f>'Raw Data'!E681</f>
        <v>3</v>
      </c>
      <c r="F681" s="4">
        <f>'Raw Data'!F681</f>
        <v>360.66</v>
      </c>
      <c r="G681" s="4" t="str">
        <f>'Raw Data'!G681</f>
        <v>304 Main St</v>
      </c>
      <c r="H681" s="4" t="str">
        <f>'Raw Data'!H681</f>
        <v>Online</v>
      </c>
      <c r="I681" s="4" t="str">
        <f>'Raw Data'!I681</f>
        <v>Returned</v>
      </c>
      <c r="J681" s="4" t="str">
        <f>'Raw Data'!J681</f>
        <v>TRK66106697</v>
      </c>
      <c r="K681" s="4">
        <f>'Raw Data'!K681</f>
        <v>5</v>
      </c>
      <c r="L681" s="4" t="str">
        <f>IF('Raw Data'!L681="","No Coupon",'Raw Data'!L681)</f>
        <v>FREESHIP</v>
      </c>
      <c r="M681" s="4" t="str">
        <f>'Raw Data'!M681</f>
        <v>Instagram</v>
      </c>
      <c r="N681" s="4">
        <f>'Raw Data'!N681</f>
        <v>1081.98</v>
      </c>
    </row>
    <row r="682" spans="1:14" ht="15" customHeight="1" x14ac:dyDescent="0.2">
      <c r="A682" s="4" t="str">
        <f>'Raw Data'!A682</f>
        <v>ORD200680</v>
      </c>
      <c r="B682" s="6">
        <f>'Raw Data'!B682</f>
        <v>45165</v>
      </c>
      <c r="C682" s="4" t="str">
        <f>'Raw Data'!C682</f>
        <v>C16702</v>
      </c>
      <c r="D682" s="4" t="str">
        <f>'Raw Data'!D682</f>
        <v>Monitor</v>
      </c>
      <c r="E682" s="4">
        <f>'Raw Data'!E682</f>
        <v>3</v>
      </c>
      <c r="F682" s="4">
        <f>'Raw Data'!F682</f>
        <v>463.39</v>
      </c>
      <c r="G682" s="4" t="str">
        <f>'Raw Data'!G682</f>
        <v>694 Main St</v>
      </c>
      <c r="H682" s="4" t="str">
        <f>'Raw Data'!H682</f>
        <v>Credit Card</v>
      </c>
      <c r="I682" s="4" t="str">
        <f>'Raw Data'!I682</f>
        <v>Returned</v>
      </c>
      <c r="J682" s="4" t="str">
        <f>'Raw Data'!J682</f>
        <v>TRK16953491</v>
      </c>
      <c r="K682" s="4">
        <f>'Raw Data'!K682</f>
        <v>3</v>
      </c>
      <c r="L682" s="4" t="str">
        <f>IF('Raw Data'!L682="","No Coupon",'Raw Data'!L682)</f>
        <v>No Coupon</v>
      </c>
      <c r="M682" s="4" t="str">
        <f>'Raw Data'!M682</f>
        <v>Facebook</v>
      </c>
      <c r="N682" s="4">
        <f>'Raw Data'!N682</f>
        <v>1390.17</v>
      </c>
    </row>
    <row r="683" spans="1:14" ht="15" customHeight="1" x14ac:dyDescent="0.2">
      <c r="A683" s="4" t="str">
        <f>'Raw Data'!A683</f>
        <v>ORD200681</v>
      </c>
      <c r="B683" s="6">
        <f>'Raw Data'!B683</f>
        <v>45321</v>
      </c>
      <c r="C683" s="4" t="str">
        <f>'Raw Data'!C683</f>
        <v>C38262</v>
      </c>
      <c r="D683" s="4" t="str">
        <f>'Raw Data'!D683</f>
        <v>Tablet</v>
      </c>
      <c r="E683" s="4">
        <f>'Raw Data'!E683</f>
        <v>1</v>
      </c>
      <c r="F683" s="4">
        <f>'Raw Data'!F683</f>
        <v>155.27000000000001</v>
      </c>
      <c r="G683" s="4" t="str">
        <f>'Raw Data'!G683</f>
        <v>548 Main St</v>
      </c>
      <c r="H683" s="4" t="str">
        <f>'Raw Data'!H683</f>
        <v>Debit Card</v>
      </c>
      <c r="I683" s="4" t="str">
        <f>'Raw Data'!I683</f>
        <v>Shipped</v>
      </c>
      <c r="J683" s="4" t="str">
        <f>'Raw Data'!J683</f>
        <v>TRK47300502</v>
      </c>
      <c r="K683" s="4">
        <f>'Raw Data'!K683</f>
        <v>6</v>
      </c>
      <c r="L683" s="4" t="str">
        <f>IF('Raw Data'!L683="","No Coupon",'Raw Data'!L683)</f>
        <v>No Coupon</v>
      </c>
      <c r="M683" s="4" t="str">
        <f>'Raw Data'!M683</f>
        <v>Email</v>
      </c>
      <c r="N683" s="4">
        <f>'Raw Data'!N683</f>
        <v>155.27000000000001</v>
      </c>
    </row>
    <row r="684" spans="1:14" ht="15" customHeight="1" x14ac:dyDescent="0.2">
      <c r="A684" s="4" t="str">
        <f>'Raw Data'!A684</f>
        <v>ORD200682</v>
      </c>
      <c r="B684" s="6">
        <f>'Raw Data'!B684</f>
        <v>45130</v>
      </c>
      <c r="C684" s="4" t="str">
        <f>'Raw Data'!C684</f>
        <v>C50274</v>
      </c>
      <c r="D684" s="4" t="str">
        <f>'Raw Data'!D684</f>
        <v>Monitor</v>
      </c>
      <c r="E684" s="4">
        <f>'Raw Data'!E684</f>
        <v>3</v>
      </c>
      <c r="F684" s="4">
        <f>'Raw Data'!F684</f>
        <v>509.42</v>
      </c>
      <c r="G684" s="4" t="str">
        <f>'Raw Data'!G684</f>
        <v>449 Main St</v>
      </c>
      <c r="H684" s="4" t="str">
        <f>'Raw Data'!H684</f>
        <v>Credit Card</v>
      </c>
      <c r="I684" s="4" t="str">
        <f>'Raw Data'!I684</f>
        <v>Cancelled</v>
      </c>
      <c r="J684" s="4" t="str">
        <f>'Raw Data'!J684</f>
        <v>TRK91729086</v>
      </c>
      <c r="K684" s="4">
        <f>'Raw Data'!K684</f>
        <v>5</v>
      </c>
      <c r="L684" s="4" t="str">
        <f>IF('Raw Data'!L684="","No Coupon",'Raw Data'!L684)</f>
        <v>FREESHIP</v>
      </c>
      <c r="M684" s="4" t="str">
        <f>'Raw Data'!M684</f>
        <v>Google</v>
      </c>
      <c r="N684" s="4">
        <f>'Raw Data'!N684</f>
        <v>1528.26</v>
      </c>
    </row>
    <row r="685" spans="1:14" ht="15" customHeight="1" x14ac:dyDescent="0.2">
      <c r="A685" s="4" t="str">
        <f>'Raw Data'!A685</f>
        <v>ORD200683</v>
      </c>
      <c r="B685" s="6">
        <f>'Raw Data'!B685</f>
        <v>45795</v>
      </c>
      <c r="C685" s="4" t="str">
        <f>'Raw Data'!C685</f>
        <v>C91591</v>
      </c>
      <c r="D685" s="4" t="str">
        <f>'Raw Data'!D685</f>
        <v>Desk</v>
      </c>
      <c r="E685" s="4">
        <f>'Raw Data'!E685</f>
        <v>4</v>
      </c>
      <c r="F685" s="4">
        <f>'Raw Data'!F685</f>
        <v>652.48</v>
      </c>
      <c r="G685" s="4" t="str">
        <f>'Raw Data'!G685</f>
        <v>887 Main St</v>
      </c>
      <c r="H685" s="4" t="str">
        <f>'Raw Data'!H685</f>
        <v>Cash</v>
      </c>
      <c r="I685" s="4" t="str">
        <f>'Raw Data'!I685</f>
        <v>Pending</v>
      </c>
      <c r="J685" s="4" t="str">
        <f>'Raw Data'!J685</f>
        <v>TRK23554043</v>
      </c>
      <c r="K685" s="4">
        <f>'Raw Data'!K685</f>
        <v>5</v>
      </c>
      <c r="L685" s="4" t="str">
        <f>IF('Raw Data'!L685="","No Coupon",'Raw Data'!L685)</f>
        <v>FREESHIP</v>
      </c>
      <c r="M685" s="4" t="str">
        <f>'Raw Data'!M685</f>
        <v>Instagram</v>
      </c>
      <c r="N685" s="4">
        <f>'Raw Data'!N685</f>
        <v>2609.92</v>
      </c>
    </row>
    <row r="686" spans="1:14" ht="15" customHeight="1" x14ac:dyDescent="0.2">
      <c r="A686" s="4" t="str">
        <f>'Raw Data'!A686</f>
        <v>ORD200684</v>
      </c>
      <c r="B686" s="6">
        <f>'Raw Data'!B686</f>
        <v>45557</v>
      </c>
      <c r="C686" s="4" t="str">
        <f>'Raw Data'!C686</f>
        <v>C96583</v>
      </c>
      <c r="D686" s="4" t="str">
        <f>'Raw Data'!D686</f>
        <v>Printer</v>
      </c>
      <c r="E686" s="4">
        <f>'Raw Data'!E686</f>
        <v>4</v>
      </c>
      <c r="F686" s="4">
        <f>'Raw Data'!F686</f>
        <v>34.840000000000003</v>
      </c>
      <c r="G686" s="4" t="str">
        <f>'Raw Data'!G686</f>
        <v>288 Main St</v>
      </c>
      <c r="H686" s="4" t="str">
        <f>'Raw Data'!H686</f>
        <v>Credit Card</v>
      </c>
      <c r="I686" s="4" t="str">
        <f>'Raw Data'!I686</f>
        <v>Shipped</v>
      </c>
      <c r="J686" s="4" t="str">
        <f>'Raw Data'!J686</f>
        <v>TRK64353241</v>
      </c>
      <c r="K686" s="4">
        <f>'Raw Data'!K686</f>
        <v>8</v>
      </c>
      <c r="L686" s="4" t="str">
        <f>IF('Raw Data'!L686="","No Coupon",'Raw Data'!L686)</f>
        <v>No Coupon</v>
      </c>
      <c r="M686" s="4" t="str">
        <f>'Raw Data'!M686</f>
        <v>Email</v>
      </c>
      <c r="N686" s="4">
        <f>'Raw Data'!N686</f>
        <v>139.36000000000001</v>
      </c>
    </row>
    <row r="687" spans="1:14" ht="15" customHeight="1" x14ac:dyDescent="0.2">
      <c r="A687" s="4" t="str">
        <f>'Raw Data'!A687</f>
        <v>ORD200685</v>
      </c>
      <c r="B687" s="6">
        <f>'Raw Data'!B687</f>
        <v>45695</v>
      </c>
      <c r="C687" s="4" t="str">
        <f>'Raw Data'!C687</f>
        <v>C64579</v>
      </c>
      <c r="D687" s="4" t="str">
        <f>'Raw Data'!D687</f>
        <v>Desk</v>
      </c>
      <c r="E687" s="4">
        <f>'Raw Data'!E687</f>
        <v>1</v>
      </c>
      <c r="F687" s="4">
        <f>'Raw Data'!F687</f>
        <v>234.37</v>
      </c>
      <c r="G687" s="4" t="str">
        <f>'Raw Data'!G687</f>
        <v>638 Main St</v>
      </c>
      <c r="H687" s="4" t="str">
        <f>'Raw Data'!H687</f>
        <v>Debit Card</v>
      </c>
      <c r="I687" s="4" t="str">
        <f>'Raw Data'!I687</f>
        <v>Shipped</v>
      </c>
      <c r="J687" s="4" t="str">
        <f>'Raw Data'!J687</f>
        <v>TRK10276565</v>
      </c>
      <c r="K687" s="4">
        <f>'Raw Data'!K687</f>
        <v>5</v>
      </c>
      <c r="L687" s="4" t="str">
        <f>IF('Raw Data'!L687="","No Coupon",'Raw Data'!L687)</f>
        <v>FREESHIP</v>
      </c>
      <c r="M687" s="4" t="str">
        <f>'Raw Data'!M687</f>
        <v>Email</v>
      </c>
      <c r="N687" s="4">
        <f>'Raw Data'!N687</f>
        <v>234.37</v>
      </c>
    </row>
    <row r="688" spans="1:14" ht="15" customHeight="1" x14ac:dyDescent="0.2">
      <c r="A688" s="4" t="str">
        <f>'Raw Data'!A688</f>
        <v>ORD200686</v>
      </c>
      <c r="B688" s="6">
        <f>'Raw Data'!B688</f>
        <v>45208</v>
      </c>
      <c r="C688" s="4" t="str">
        <f>'Raw Data'!C688</f>
        <v>C41903</v>
      </c>
      <c r="D688" s="4" t="str">
        <f>'Raw Data'!D688</f>
        <v>Desk</v>
      </c>
      <c r="E688" s="4">
        <f>'Raw Data'!E688</f>
        <v>3</v>
      </c>
      <c r="F688" s="4">
        <f>'Raw Data'!F688</f>
        <v>53.6</v>
      </c>
      <c r="G688" s="4" t="str">
        <f>'Raw Data'!G688</f>
        <v>525 Main St</v>
      </c>
      <c r="H688" s="4" t="str">
        <f>'Raw Data'!H688</f>
        <v>Cash</v>
      </c>
      <c r="I688" s="4" t="str">
        <f>'Raw Data'!I688</f>
        <v>Pending</v>
      </c>
      <c r="J688" s="4" t="str">
        <f>'Raw Data'!J688</f>
        <v>TRK59112382</v>
      </c>
      <c r="K688" s="4">
        <f>'Raw Data'!K688</f>
        <v>4</v>
      </c>
      <c r="L688" s="4" t="str">
        <f>IF('Raw Data'!L688="","No Coupon",'Raw Data'!L688)</f>
        <v>WINTER15</v>
      </c>
      <c r="M688" s="4" t="str">
        <f>'Raw Data'!M688</f>
        <v>Facebook</v>
      </c>
      <c r="N688" s="4">
        <f>'Raw Data'!N688</f>
        <v>160.80000000000001</v>
      </c>
    </row>
    <row r="689" spans="1:14" ht="15" customHeight="1" x14ac:dyDescent="0.2">
      <c r="A689" s="4" t="str">
        <f>'Raw Data'!A689</f>
        <v>ORD200687</v>
      </c>
      <c r="B689" s="6">
        <f>'Raw Data'!B689</f>
        <v>45182</v>
      </c>
      <c r="C689" s="4" t="str">
        <f>'Raw Data'!C689</f>
        <v>C19742</v>
      </c>
      <c r="D689" s="4" t="str">
        <f>'Raw Data'!D689</f>
        <v>Tablet</v>
      </c>
      <c r="E689" s="4">
        <f>'Raw Data'!E689</f>
        <v>1</v>
      </c>
      <c r="F689" s="4">
        <f>'Raw Data'!F689</f>
        <v>332.09</v>
      </c>
      <c r="G689" s="4" t="str">
        <f>'Raw Data'!G689</f>
        <v>408 Main St</v>
      </c>
      <c r="H689" s="4" t="str">
        <f>'Raw Data'!H689</f>
        <v>Gift Card</v>
      </c>
      <c r="I689" s="4" t="str">
        <f>'Raw Data'!I689</f>
        <v>Returned</v>
      </c>
      <c r="J689" s="4" t="str">
        <f>'Raw Data'!J689</f>
        <v>TRK68845230</v>
      </c>
      <c r="K689" s="4">
        <f>'Raw Data'!K689</f>
        <v>5</v>
      </c>
      <c r="L689" s="4" t="str">
        <f>IF('Raw Data'!L689="","No Coupon",'Raw Data'!L689)</f>
        <v>FREESHIP</v>
      </c>
      <c r="M689" s="4" t="str">
        <f>'Raw Data'!M689</f>
        <v>Instagram</v>
      </c>
      <c r="N689" s="4">
        <f>'Raw Data'!N689</f>
        <v>332.09</v>
      </c>
    </row>
    <row r="690" spans="1:14" ht="15" customHeight="1" x14ac:dyDescent="0.2">
      <c r="A690" s="4" t="str">
        <f>'Raw Data'!A690</f>
        <v>ORD200688</v>
      </c>
      <c r="B690" s="6">
        <f>'Raw Data'!B690</f>
        <v>45357</v>
      </c>
      <c r="C690" s="4" t="str">
        <f>'Raw Data'!C690</f>
        <v>C20077</v>
      </c>
      <c r="D690" s="4" t="str">
        <f>'Raw Data'!D690</f>
        <v>Monitor</v>
      </c>
      <c r="E690" s="4">
        <f>'Raw Data'!E690</f>
        <v>4</v>
      </c>
      <c r="F690" s="4">
        <f>'Raw Data'!F690</f>
        <v>593.22</v>
      </c>
      <c r="G690" s="4" t="str">
        <f>'Raw Data'!G690</f>
        <v>154 Main St</v>
      </c>
      <c r="H690" s="4" t="str">
        <f>'Raw Data'!H690</f>
        <v>Credit Card</v>
      </c>
      <c r="I690" s="4" t="str">
        <f>'Raw Data'!I690</f>
        <v>Cancelled</v>
      </c>
      <c r="J690" s="4" t="str">
        <f>'Raw Data'!J690</f>
        <v>TRK36415742</v>
      </c>
      <c r="K690" s="4">
        <f>'Raw Data'!K690</f>
        <v>8</v>
      </c>
      <c r="L690" s="4" t="str">
        <f>IF('Raw Data'!L690="","No Coupon",'Raw Data'!L690)</f>
        <v>WINTER15</v>
      </c>
      <c r="M690" s="4" t="str">
        <f>'Raw Data'!M690</f>
        <v>Facebook</v>
      </c>
      <c r="N690" s="4">
        <f>'Raw Data'!N690</f>
        <v>2372.88</v>
      </c>
    </row>
    <row r="691" spans="1:14" ht="15" customHeight="1" x14ac:dyDescent="0.2">
      <c r="A691" s="4" t="str">
        <f>'Raw Data'!A691</f>
        <v>ORD200689</v>
      </c>
      <c r="B691" s="6">
        <f>'Raw Data'!B691</f>
        <v>45167</v>
      </c>
      <c r="C691" s="4" t="str">
        <f>'Raw Data'!C691</f>
        <v>C13186</v>
      </c>
      <c r="D691" s="4" t="str">
        <f>'Raw Data'!D691</f>
        <v>Tablet</v>
      </c>
      <c r="E691" s="4">
        <f>'Raw Data'!E691</f>
        <v>2</v>
      </c>
      <c r="F691" s="4">
        <f>'Raw Data'!F691</f>
        <v>444.84</v>
      </c>
      <c r="G691" s="4" t="str">
        <f>'Raw Data'!G691</f>
        <v>787 Main St</v>
      </c>
      <c r="H691" s="4" t="str">
        <f>'Raw Data'!H691</f>
        <v>Online</v>
      </c>
      <c r="I691" s="4" t="str">
        <f>'Raw Data'!I691</f>
        <v>Shipped</v>
      </c>
      <c r="J691" s="4" t="str">
        <f>'Raw Data'!J691</f>
        <v>TRK56967415</v>
      </c>
      <c r="K691" s="4">
        <f>'Raw Data'!K691</f>
        <v>7</v>
      </c>
      <c r="L691" s="4" t="str">
        <f>IF('Raw Data'!L691="","No Coupon",'Raw Data'!L691)</f>
        <v>No Coupon</v>
      </c>
      <c r="M691" s="4" t="str">
        <f>'Raw Data'!M691</f>
        <v>Facebook</v>
      </c>
      <c r="N691" s="4">
        <f>'Raw Data'!N691</f>
        <v>889.68</v>
      </c>
    </row>
    <row r="692" spans="1:14" ht="15" customHeight="1" x14ac:dyDescent="0.2">
      <c r="A692" s="4" t="str">
        <f>'Raw Data'!A692</f>
        <v>ORD200690</v>
      </c>
      <c r="B692" s="6">
        <f>'Raw Data'!B692</f>
        <v>45485</v>
      </c>
      <c r="C692" s="4" t="str">
        <f>'Raw Data'!C692</f>
        <v>C29318</v>
      </c>
      <c r="D692" s="4" t="str">
        <f>'Raw Data'!D692</f>
        <v>Monitor</v>
      </c>
      <c r="E692" s="4">
        <f>'Raw Data'!E692</f>
        <v>1</v>
      </c>
      <c r="F692" s="4">
        <f>'Raw Data'!F692</f>
        <v>24.48</v>
      </c>
      <c r="G692" s="4" t="str">
        <f>'Raw Data'!G692</f>
        <v>128 Main St</v>
      </c>
      <c r="H692" s="4" t="str">
        <f>'Raw Data'!H692</f>
        <v>Gift Card</v>
      </c>
      <c r="I692" s="4" t="str">
        <f>'Raw Data'!I692</f>
        <v>Returned</v>
      </c>
      <c r="J692" s="4" t="str">
        <f>'Raw Data'!J692</f>
        <v>TRK88666721</v>
      </c>
      <c r="K692" s="4">
        <f>'Raw Data'!K692</f>
        <v>1</v>
      </c>
      <c r="L692" s="4" t="str">
        <f>IF('Raw Data'!L692="","No Coupon",'Raw Data'!L692)</f>
        <v>No Coupon</v>
      </c>
      <c r="M692" s="4" t="str">
        <f>'Raw Data'!M692</f>
        <v>Instagram</v>
      </c>
      <c r="N692" s="4">
        <f>'Raw Data'!N692</f>
        <v>24.48</v>
      </c>
    </row>
    <row r="693" spans="1:14" ht="15" customHeight="1" x14ac:dyDescent="0.2">
      <c r="A693" s="4" t="str">
        <f>'Raw Data'!A693</f>
        <v>ORD200691</v>
      </c>
      <c r="B693" s="6">
        <f>'Raw Data'!B693</f>
        <v>45620</v>
      </c>
      <c r="C693" s="4" t="str">
        <f>'Raw Data'!C693</f>
        <v>C36137</v>
      </c>
      <c r="D693" s="4" t="str">
        <f>'Raw Data'!D693</f>
        <v>Laptop</v>
      </c>
      <c r="E693" s="4">
        <f>'Raw Data'!E693</f>
        <v>3</v>
      </c>
      <c r="F693" s="4">
        <f>'Raw Data'!F693</f>
        <v>239.08</v>
      </c>
      <c r="G693" s="4" t="str">
        <f>'Raw Data'!G693</f>
        <v>396 Main St</v>
      </c>
      <c r="H693" s="4" t="str">
        <f>'Raw Data'!H693</f>
        <v>Cash</v>
      </c>
      <c r="I693" s="4" t="str">
        <f>'Raw Data'!I693</f>
        <v>Shipped</v>
      </c>
      <c r="J693" s="4" t="str">
        <f>'Raw Data'!J693</f>
        <v>TRK57376416</v>
      </c>
      <c r="K693" s="4">
        <f>'Raw Data'!K693</f>
        <v>8</v>
      </c>
      <c r="L693" s="4" t="str">
        <f>IF('Raw Data'!L693="","No Coupon",'Raw Data'!L693)</f>
        <v>No Coupon</v>
      </c>
      <c r="M693" s="4" t="str">
        <f>'Raw Data'!M693</f>
        <v>Google</v>
      </c>
      <c r="N693" s="4">
        <f>'Raw Data'!N693</f>
        <v>717.24</v>
      </c>
    </row>
    <row r="694" spans="1:14" ht="15" customHeight="1" x14ac:dyDescent="0.2">
      <c r="A694" s="4" t="str">
        <f>'Raw Data'!A694</f>
        <v>ORD200692</v>
      </c>
      <c r="B694" s="6">
        <f>'Raw Data'!B694</f>
        <v>44949</v>
      </c>
      <c r="C694" s="4" t="str">
        <f>'Raw Data'!C694</f>
        <v>C25534</v>
      </c>
      <c r="D694" s="4" t="str">
        <f>'Raw Data'!D694</f>
        <v>Desk</v>
      </c>
      <c r="E694" s="4">
        <f>'Raw Data'!E694</f>
        <v>5</v>
      </c>
      <c r="F694" s="4">
        <f>'Raw Data'!F694</f>
        <v>196.84</v>
      </c>
      <c r="G694" s="4" t="str">
        <f>'Raw Data'!G694</f>
        <v>319 Main St</v>
      </c>
      <c r="H694" s="4" t="str">
        <f>'Raw Data'!H694</f>
        <v>Credit Card</v>
      </c>
      <c r="I694" s="4" t="str">
        <f>'Raw Data'!I694</f>
        <v>Delivered</v>
      </c>
      <c r="J694" s="4" t="str">
        <f>'Raw Data'!J694</f>
        <v>TRK68347402</v>
      </c>
      <c r="K694" s="4">
        <f>'Raw Data'!K694</f>
        <v>5</v>
      </c>
      <c r="L694" s="4" t="str">
        <f>IF('Raw Data'!L694="","No Coupon",'Raw Data'!L694)</f>
        <v>WINTER15</v>
      </c>
      <c r="M694" s="4" t="str">
        <f>'Raw Data'!M694</f>
        <v>Instagram</v>
      </c>
      <c r="N694" s="4">
        <f>'Raw Data'!N694</f>
        <v>984.2</v>
      </c>
    </row>
    <row r="695" spans="1:14" ht="15" customHeight="1" x14ac:dyDescent="0.2">
      <c r="A695" s="4" t="str">
        <f>'Raw Data'!A695</f>
        <v>ORD200693</v>
      </c>
      <c r="B695" s="6">
        <f>'Raw Data'!B695</f>
        <v>45728</v>
      </c>
      <c r="C695" s="4" t="str">
        <f>'Raw Data'!C695</f>
        <v>C62070</v>
      </c>
      <c r="D695" s="4" t="str">
        <f>'Raw Data'!D695</f>
        <v>Monitor</v>
      </c>
      <c r="E695" s="4">
        <f>'Raw Data'!E695</f>
        <v>1</v>
      </c>
      <c r="F695" s="4">
        <f>'Raw Data'!F695</f>
        <v>176.58</v>
      </c>
      <c r="G695" s="4" t="str">
        <f>'Raw Data'!G695</f>
        <v>674 Main St</v>
      </c>
      <c r="H695" s="4" t="str">
        <f>'Raw Data'!H695</f>
        <v>Debit Card</v>
      </c>
      <c r="I695" s="4" t="str">
        <f>'Raw Data'!I695</f>
        <v>Returned</v>
      </c>
      <c r="J695" s="4" t="str">
        <f>'Raw Data'!J695</f>
        <v>TRK10267127</v>
      </c>
      <c r="K695" s="4">
        <f>'Raw Data'!K695</f>
        <v>4</v>
      </c>
      <c r="L695" s="4" t="str">
        <f>IF('Raw Data'!L695="","No Coupon",'Raw Data'!L695)</f>
        <v>No Coupon</v>
      </c>
      <c r="M695" s="4" t="str">
        <f>'Raw Data'!M695</f>
        <v>Referral</v>
      </c>
      <c r="N695" s="4">
        <f>'Raw Data'!N695</f>
        <v>176.58</v>
      </c>
    </row>
    <row r="696" spans="1:14" ht="15" customHeight="1" x14ac:dyDescent="0.2">
      <c r="A696" s="4" t="str">
        <f>'Raw Data'!A696</f>
        <v>ORD200694</v>
      </c>
      <c r="B696" s="6">
        <f>'Raw Data'!B696</f>
        <v>45201</v>
      </c>
      <c r="C696" s="4" t="str">
        <f>'Raw Data'!C696</f>
        <v>C92049</v>
      </c>
      <c r="D696" s="4" t="str">
        <f>'Raw Data'!D696</f>
        <v>Printer</v>
      </c>
      <c r="E696" s="4">
        <f>'Raw Data'!E696</f>
        <v>4</v>
      </c>
      <c r="F696" s="4">
        <f>'Raw Data'!F696</f>
        <v>666.52</v>
      </c>
      <c r="G696" s="4" t="str">
        <f>'Raw Data'!G696</f>
        <v>619 Main St</v>
      </c>
      <c r="H696" s="4" t="str">
        <f>'Raw Data'!H696</f>
        <v>Cash</v>
      </c>
      <c r="I696" s="4" t="str">
        <f>'Raw Data'!I696</f>
        <v>Shipped</v>
      </c>
      <c r="J696" s="4" t="str">
        <f>'Raw Data'!J696</f>
        <v>TRK32287092</v>
      </c>
      <c r="K696" s="4">
        <f>'Raw Data'!K696</f>
        <v>8</v>
      </c>
      <c r="L696" s="4" t="str">
        <f>IF('Raw Data'!L696="","No Coupon",'Raw Data'!L696)</f>
        <v>FREESHIP</v>
      </c>
      <c r="M696" s="4" t="str">
        <f>'Raw Data'!M696</f>
        <v>Email</v>
      </c>
      <c r="N696" s="4">
        <f>'Raw Data'!N696</f>
        <v>2666.08</v>
      </c>
    </row>
    <row r="697" spans="1:14" ht="15" customHeight="1" x14ac:dyDescent="0.2">
      <c r="A697" s="4" t="str">
        <f>'Raw Data'!A697</f>
        <v>ORD200695</v>
      </c>
      <c r="B697" s="6">
        <f>'Raw Data'!B697</f>
        <v>45619</v>
      </c>
      <c r="C697" s="4" t="str">
        <f>'Raw Data'!C697</f>
        <v>C52604</v>
      </c>
      <c r="D697" s="4" t="str">
        <f>'Raw Data'!D697</f>
        <v>Printer</v>
      </c>
      <c r="E697" s="4">
        <f>'Raw Data'!E697</f>
        <v>5</v>
      </c>
      <c r="F697" s="4">
        <f>'Raw Data'!F697</f>
        <v>101.3</v>
      </c>
      <c r="G697" s="4" t="str">
        <f>'Raw Data'!G697</f>
        <v>553 Main St</v>
      </c>
      <c r="H697" s="4" t="str">
        <f>'Raw Data'!H697</f>
        <v>Online</v>
      </c>
      <c r="I697" s="4" t="str">
        <f>'Raw Data'!I697</f>
        <v>Shipped</v>
      </c>
      <c r="J697" s="4" t="str">
        <f>'Raw Data'!J697</f>
        <v>TRK48839788</v>
      </c>
      <c r="K697" s="4">
        <f>'Raw Data'!K697</f>
        <v>7</v>
      </c>
      <c r="L697" s="4" t="str">
        <f>IF('Raw Data'!L697="","No Coupon",'Raw Data'!L697)</f>
        <v>FREESHIP</v>
      </c>
      <c r="M697" s="4" t="str">
        <f>'Raw Data'!M697</f>
        <v>Email</v>
      </c>
      <c r="N697" s="4">
        <f>'Raw Data'!N697</f>
        <v>506.5</v>
      </c>
    </row>
    <row r="698" spans="1:14" ht="15" customHeight="1" x14ac:dyDescent="0.2">
      <c r="A698" s="4" t="str">
        <f>'Raw Data'!A698</f>
        <v>ORD200696</v>
      </c>
      <c r="B698" s="6">
        <f>'Raw Data'!B698</f>
        <v>45109</v>
      </c>
      <c r="C698" s="4" t="str">
        <f>'Raw Data'!C698</f>
        <v>C22429</v>
      </c>
      <c r="D698" s="4" t="str">
        <f>'Raw Data'!D698</f>
        <v>Chair</v>
      </c>
      <c r="E698" s="4">
        <f>'Raw Data'!E698</f>
        <v>4</v>
      </c>
      <c r="F698" s="4">
        <f>'Raw Data'!F698</f>
        <v>151.19999999999999</v>
      </c>
      <c r="G698" s="4" t="str">
        <f>'Raw Data'!G698</f>
        <v>965 Main St</v>
      </c>
      <c r="H698" s="4" t="str">
        <f>'Raw Data'!H698</f>
        <v>Gift Card</v>
      </c>
      <c r="I698" s="4" t="str">
        <f>'Raw Data'!I698</f>
        <v>Pending</v>
      </c>
      <c r="J698" s="4" t="str">
        <f>'Raw Data'!J698</f>
        <v>TRK38572927</v>
      </c>
      <c r="K698" s="4">
        <f>'Raw Data'!K698</f>
        <v>9</v>
      </c>
      <c r="L698" s="4" t="str">
        <f>IF('Raw Data'!L698="","No Coupon",'Raw Data'!L698)</f>
        <v>WINTER15</v>
      </c>
      <c r="M698" s="4" t="str">
        <f>'Raw Data'!M698</f>
        <v>Facebook</v>
      </c>
      <c r="N698" s="4">
        <f>'Raw Data'!N698</f>
        <v>604.79999999999995</v>
      </c>
    </row>
    <row r="699" spans="1:14" ht="15" customHeight="1" x14ac:dyDescent="0.2">
      <c r="A699" s="4" t="str">
        <f>'Raw Data'!A699</f>
        <v>ORD200697</v>
      </c>
      <c r="B699" s="6">
        <f>'Raw Data'!B699</f>
        <v>45692</v>
      </c>
      <c r="C699" s="4" t="str">
        <f>'Raw Data'!C699</f>
        <v>C27430</v>
      </c>
      <c r="D699" s="4" t="str">
        <f>'Raw Data'!D699</f>
        <v>Printer</v>
      </c>
      <c r="E699" s="4">
        <f>'Raw Data'!E699</f>
        <v>5</v>
      </c>
      <c r="F699" s="4">
        <f>'Raw Data'!F699</f>
        <v>94.85</v>
      </c>
      <c r="G699" s="4" t="str">
        <f>'Raw Data'!G699</f>
        <v>788 Main St</v>
      </c>
      <c r="H699" s="4" t="str">
        <f>'Raw Data'!H699</f>
        <v>Cash</v>
      </c>
      <c r="I699" s="4" t="str">
        <f>'Raw Data'!I699</f>
        <v>Shipped</v>
      </c>
      <c r="J699" s="4" t="str">
        <f>'Raw Data'!J699</f>
        <v>TRK45025840</v>
      </c>
      <c r="K699" s="4">
        <f>'Raw Data'!K699</f>
        <v>6</v>
      </c>
      <c r="L699" s="4" t="str">
        <f>IF('Raw Data'!L699="","No Coupon",'Raw Data'!L699)</f>
        <v>WINTER15</v>
      </c>
      <c r="M699" s="4" t="str">
        <f>'Raw Data'!M699</f>
        <v>Email</v>
      </c>
      <c r="N699" s="4">
        <f>'Raw Data'!N699</f>
        <v>474.25</v>
      </c>
    </row>
    <row r="700" spans="1:14" ht="15" customHeight="1" x14ac:dyDescent="0.2">
      <c r="A700" s="4" t="str">
        <f>'Raw Data'!A700</f>
        <v>ORD200698</v>
      </c>
      <c r="B700" s="6">
        <f>'Raw Data'!B700</f>
        <v>44930</v>
      </c>
      <c r="C700" s="4" t="str">
        <f>'Raw Data'!C700</f>
        <v>C44366</v>
      </c>
      <c r="D700" s="4" t="str">
        <f>'Raw Data'!D700</f>
        <v>Laptop</v>
      </c>
      <c r="E700" s="4">
        <f>'Raw Data'!E700</f>
        <v>2</v>
      </c>
      <c r="F700" s="4">
        <f>'Raw Data'!F700</f>
        <v>388.22</v>
      </c>
      <c r="G700" s="4" t="str">
        <f>'Raw Data'!G700</f>
        <v>169 Main St</v>
      </c>
      <c r="H700" s="4" t="str">
        <f>'Raw Data'!H700</f>
        <v>Cash</v>
      </c>
      <c r="I700" s="4" t="str">
        <f>'Raw Data'!I700</f>
        <v>Delivered</v>
      </c>
      <c r="J700" s="4" t="str">
        <f>'Raw Data'!J700</f>
        <v>TRK48658394</v>
      </c>
      <c r="K700" s="4">
        <f>'Raw Data'!K700</f>
        <v>2</v>
      </c>
      <c r="L700" s="4" t="str">
        <f>IF('Raw Data'!L700="","No Coupon",'Raw Data'!L700)</f>
        <v>WINTER15</v>
      </c>
      <c r="M700" s="4" t="str">
        <f>'Raw Data'!M700</f>
        <v>Instagram</v>
      </c>
      <c r="N700" s="4">
        <f>'Raw Data'!N700</f>
        <v>776.44</v>
      </c>
    </row>
    <row r="701" spans="1:14" ht="15" customHeight="1" x14ac:dyDescent="0.2">
      <c r="A701" s="4" t="str">
        <f>'Raw Data'!A701</f>
        <v>ORD200699</v>
      </c>
      <c r="B701" s="6">
        <f>'Raw Data'!B701</f>
        <v>45243</v>
      </c>
      <c r="C701" s="4" t="str">
        <f>'Raw Data'!C701</f>
        <v>C36813</v>
      </c>
      <c r="D701" s="4" t="str">
        <f>'Raw Data'!D701</f>
        <v>Laptop</v>
      </c>
      <c r="E701" s="4">
        <f>'Raw Data'!E701</f>
        <v>3</v>
      </c>
      <c r="F701" s="4">
        <f>'Raw Data'!F701</f>
        <v>614.15</v>
      </c>
      <c r="G701" s="4" t="str">
        <f>'Raw Data'!G701</f>
        <v>897 Main St</v>
      </c>
      <c r="H701" s="4" t="str">
        <f>'Raw Data'!H701</f>
        <v>Gift Card</v>
      </c>
      <c r="I701" s="4" t="str">
        <f>'Raw Data'!I701</f>
        <v>Cancelled</v>
      </c>
      <c r="J701" s="4" t="str">
        <f>'Raw Data'!J701</f>
        <v>TRK84088900</v>
      </c>
      <c r="K701" s="4">
        <f>'Raw Data'!K701</f>
        <v>3</v>
      </c>
      <c r="L701" s="4" t="str">
        <f>IF('Raw Data'!L701="","No Coupon",'Raw Data'!L701)</f>
        <v>No Coupon</v>
      </c>
      <c r="M701" s="4" t="str">
        <f>'Raw Data'!M701</f>
        <v>Facebook</v>
      </c>
      <c r="N701" s="4">
        <f>'Raw Data'!N701</f>
        <v>1842.45</v>
      </c>
    </row>
    <row r="702" spans="1:14" ht="15" customHeight="1" x14ac:dyDescent="0.2">
      <c r="A702" s="4" t="str">
        <f>'Raw Data'!A702</f>
        <v>ORD200700</v>
      </c>
      <c r="B702" s="6">
        <f>'Raw Data'!B702</f>
        <v>45560</v>
      </c>
      <c r="C702" s="4" t="str">
        <f>'Raw Data'!C702</f>
        <v>C40201</v>
      </c>
      <c r="D702" s="4" t="str">
        <f>'Raw Data'!D702</f>
        <v>Laptop</v>
      </c>
      <c r="E702" s="4">
        <f>'Raw Data'!E702</f>
        <v>2</v>
      </c>
      <c r="F702" s="4">
        <f>'Raw Data'!F702</f>
        <v>92.91</v>
      </c>
      <c r="G702" s="4" t="str">
        <f>'Raw Data'!G702</f>
        <v>555 Main St</v>
      </c>
      <c r="H702" s="4" t="str">
        <f>'Raw Data'!H702</f>
        <v>Cash</v>
      </c>
      <c r="I702" s="4" t="str">
        <f>'Raw Data'!I702</f>
        <v>Returned</v>
      </c>
      <c r="J702" s="4" t="str">
        <f>'Raw Data'!J702</f>
        <v>TRK30198779</v>
      </c>
      <c r="K702" s="4">
        <f>'Raw Data'!K702</f>
        <v>3</v>
      </c>
      <c r="L702" s="4" t="str">
        <f>IF('Raw Data'!L702="","No Coupon",'Raw Data'!L702)</f>
        <v>WINTER15</v>
      </c>
      <c r="M702" s="4" t="str">
        <f>'Raw Data'!M702</f>
        <v>Instagram</v>
      </c>
      <c r="N702" s="4">
        <f>'Raw Data'!N702</f>
        <v>185.82</v>
      </c>
    </row>
    <row r="703" spans="1:14" ht="15" customHeight="1" x14ac:dyDescent="0.2">
      <c r="A703" s="4" t="str">
        <f>'Raw Data'!A703</f>
        <v>ORD200701</v>
      </c>
      <c r="B703" s="6">
        <f>'Raw Data'!B703</f>
        <v>45466</v>
      </c>
      <c r="C703" s="4" t="str">
        <f>'Raw Data'!C703</f>
        <v>C75456</v>
      </c>
      <c r="D703" s="4" t="str">
        <f>'Raw Data'!D703</f>
        <v>Monitor</v>
      </c>
      <c r="E703" s="4">
        <f>'Raw Data'!E703</f>
        <v>3</v>
      </c>
      <c r="F703" s="4">
        <f>'Raw Data'!F703</f>
        <v>92.22</v>
      </c>
      <c r="G703" s="4" t="str">
        <f>'Raw Data'!G703</f>
        <v>115 Main St</v>
      </c>
      <c r="H703" s="4" t="str">
        <f>'Raw Data'!H703</f>
        <v>Credit Card</v>
      </c>
      <c r="I703" s="4" t="str">
        <f>'Raw Data'!I703</f>
        <v>Delivered</v>
      </c>
      <c r="J703" s="4" t="str">
        <f>'Raw Data'!J703</f>
        <v>TRK90519490</v>
      </c>
      <c r="K703" s="4">
        <f>'Raw Data'!K703</f>
        <v>5</v>
      </c>
      <c r="L703" s="4" t="str">
        <f>IF('Raw Data'!L703="","No Coupon",'Raw Data'!L703)</f>
        <v>FREESHIP</v>
      </c>
      <c r="M703" s="4" t="str">
        <f>'Raw Data'!M703</f>
        <v>Email</v>
      </c>
      <c r="N703" s="4">
        <f>'Raw Data'!N703</f>
        <v>276.66000000000003</v>
      </c>
    </row>
    <row r="704" spans="1:14" ht="15" customHeight="1" x14ac:dyDescent="0.2">
      <c r="A704" s="4" t="str">
        <f>'Raw Data'!A704</f>
        <v>ORD200702</v>
      </c>
      <c r="B704" s="6">
        <f>'Raw Data'!B704</f>
        <v>45452</v>
      </c>
      <c r="C704" s="4" t="str">
        <f>'Raw Data'!C704</f>
        <v>C33315</v>
      </c>
      <c r="D704" s="4" t="str">
        <f>'Raw Data'!D704</f>
        <v>Printer</v>
      </c>
      <c r="E704" s="4">
        <f>'Raw Data'!E704</f>
        <v>3</v>
      </c>
      <c r="F704" s="4">
        <f>'Raw Data'!F704</f>
        <v>562.54999999999995</v>
      </c>
      <c r="G704" s="4" t="str">
        <f>'Raw Data'!G704</f>
        <v>154 Main St</v>
      </c>
      <c r="H704" s="4" t="str">
        <f>'Raw Data'!H704</f>
        <v>Debit Card</v>
      </c>
      <c r="I704" s="4" t="str">
        <f>'Raw Data'!I704</f>
        <v>Returned</v>
      </c>
      <c r="J704" s="4" t="str">
        <f>'Raw Data'!J704</f>
        <v>TRK43589369</v>
      </c>
      <c r="K704" s="4">
        <f>'Raw Data'!K704</f>
        <v>6</v>
      </c>
      <c r="L704" s="4" t="str">
        <f>IF('Raw Data'!L704="","No Coupon",'Raw Data'!L704)</f>
        <v>No Coupon</v>
      </c>
      <c r="M704" s="4" t="str">
        <f>'Raw Data'!M704</f>
        <v>Email</v>
      </c>
      <c r="N704" s="4">
        <f>'Raw Data'!N704</f>
        <v>1687.65</v>
      </c>
    </row>
    <row r="705" spans="1:14" ht="15" customHeight="1" x14ac:dyDescent="0.2">
      <c r="A705" s="4" t="str">
        <f>'Raw Data'!A705</f>
        <v>ORD200703</v>
      </c>
      <c r="B705" s="6">
        <f>'Raw Data'!B705</f>
        <v>45007</v>
      </c>
      <c r="C705" s="4" t="str">
        <f>'Raw Data'!C705</f>
        <v>C89336</v>
      </c>
      <c r="D705" s="4" t="str">
        <f>'Raw Data'!D705</f>
        <v>Desk</v>
      </c>
      <c r="E705" s="4">
        <f>'Raw Data'!E705</f>
        <v>1</v>
      </c>
      <c r="F705" s="4">
        <f>'Raw Data'!F705</f>
        <v>92.79</v>
      </c>
      <c r="G705" s="4" t="str">
        <f>'Raw Data'!G705</f>
        <v>799 Main St</v>
      </c>
      <c r="H705" s="4" t="str">
        <f>'Raw Data'!H705</f>
        <v>Cash</v>
      </c>
      <c r="I705" s="4" t="str">
        <f>'Raw Data'!I705</f>
        <v>Pending</v>
      </c>
      <c r="J705" s="4" t="str">
        <f>'Raw Data'!J705</f>
        <v>TRK47665103</v>
      </c>
      <c r="K705" s="4">
        <f>'Raw Data'!K705</f>
        <v>3</v>
      </c>
      <c r="L705" s="4" t="str">
        <f>IF('Raw Data'!L705="","No Coupon",'Raw Data'!L705)</f>
        <v>WINTER15</v>
      </c>
      <c r="M705" s="4" t="str">
        <f>'Raw Data'!M705</f>
        <v>Email</v>
      </c>
      <c r="N705" s="4">
        <f>'Raw Data'!N705</f>
        <v>92.79</v>
      </c>
    </row>
    <row r="706" spans="1:14" ht="15" customHeight="1" x14ac:dyDescent="0.2">
      <c r="A706" s="4" t="str">
        <f>'Raw Data'!A706</f>
        <v>ORD200704</v>
      </c>
      <c r="B706" s="6">
        <f>'Raw Data'!B706</f>
        <v>45080</v>
      </c>
      <c r="C706" s="4" t="str">
        <f>'Raw Data'!C706</f>
        <v>C96034</v>
      </c>
      <c r="D706" s="4" t="str">
        <f>'Raw Data'!D706</f>
        <v>Desk</v>
      </c>
      <c r="E706" s="4">
        <f>'Raw Data'!E706</f>
        <v>4</v>
      </c>
      <c r="F706" s="4">
        <f>'Raw Data'!F706</f>
        <v>30.27</v>
      </c>
      <c r="G706" s="4" t="str">
        <f>'Raw Data'!G706</f>
        <v>819 Main St</v>
      </c>
      <c r="H706" s="4" t="str">
        <f>'Raw Data'!H706</f>
        <v>Online</v>
      </c>
      <c r="I706" s="4" t="str">
        <f>'Raw Data'!I706</f>
        <v>Delivered</v>
      </c>
      <c r="J706" s="4" t="str">
        <f>'Raw Data'!J706</f>
        <v>TRK87261034</v>
      </c>
      <c r="K706" s="4">
        <f>'Raw Data'!K706</f>
        <v>9</v>
      </c>
      <c r="L706" s="4" t="str">
        <f>IF('Raw Data'!L706="","No Coupon",'Raw Data'!L706)</f>
        <v>FREESHIP</v>
      </c>
      <c r="M706" s="4" t="str">
        <f>'Raw Data'!M706</f>
        <v>Google</v>
      </c>
      <c r="N706" s="4">
        <f>'Raw Data'!N706</f>
        <v>121.08</v>
      </c>
    </row>
    <row r="707" spans="1:14" ht="15" customHeight="1" x14ac:dyDescent="0.2">
      <c r="A707" s="4" t="str">
        <f>'Raw Data'!A707</f>
        <v>ORD200705</v>
      </c>
      <c r="B707" s="6">
        <f>'Raw Data'!B707</f>
        <v>45746</v>
      </c>
      <c r="C707" s="4" t="str">
        <f>'Raw Data'!C707</f>
        <v>C50114</v>
      </c>
      <c r="D707" s="4" t="str">
        <f>'Raw Data'!D707</f>
        <v>Monitor</v>
      </c>
      <c r="E707" s="4">
        <f>'Raw Data'!E707</f>
        <v>2</v>
      </c>
      <c r="F707" s="4">
        <f>'Raw Data'!F707</f>
        <v>49.08</v>
      </c>
      <c r="G707" s="4" t="str">
        <f>'Raw Data'!G707</f>
        <v>420 Main St</v>
      </c>
      <c r="H707" s="4" t="str">
        <f>'Raw Data'!H707</f>
        <v>Debit Card</v>
      </c>
      <c r="I707" s="4" t="str">
        <f>'Raw Data'!I707</f>
        <v>Returned</v>
      </c>
      <c r="J707" s="4" t="str">
        <f>'Raw Data'!J707</f>
        <v>TRK20214786</v>
      </c>
      <c r="K707" s="4">
        <f>'Raw Data'!K707</f>
        <v>7</v>
      </c>
      <c r="L707" s="4" t="str">
        <f>IF('Raw Data'!L707="","No Coupon",'Raw Data'!L707)</f>
        <v>FREESHIP</v>
      </c>
      <c r="M707" s="4" t="str">
        <f>'Raw Data'!M707</f>
        <v>Instagram</v>
      </c>
      <c r="N707" s="4">
        <f>'Raw Data'!N707</f>
        <v>98.16</v>
      </c>
    </row>
    <row r="708" spans="1:14" ht="15" customHeight="1" x14ac:dyDescent="0.2">
      <c r="A708" s="4" t="str">
        <f>'Raw Data'!A708</f>
        <v>ORD200706</v>
      </c>
      <c r="B708" s="6">
        <f>'Raw Data'!B708</f>
        <v>45718</v>
      </c>
      <c r="C708" s="4" t="str">
        <f>'Raw Data'!C708</f>
        <v>C85330</v>
      </c>
      <c r="D708" s="4" t="str">
        <f>'Raw Data'!D708</f>
        <v>Desk</v>
      </c>
      <c r="E708" s="4">
        <f>'Raw Data'!E708</f>
        <v>5</v>
      </c>
      <c r="F708" s="4">
        <f>'Raw Data'!F708</f>
        <v>228.09</v>
      </c>
      <c r="G708" s="4" t="str">
        <f>'Raw Data'!G708</f>
        <v>969 Main St</v>
      </c>
      <c r="H708" s="4" t="str">
        <f>'Raw Data'!H708</f>
        <v>Gift Card</v>
      </c>
      <c r="I708" s="4" t="str">
        <f>'Raw Data'!I708</f>
        <v>Returned</v>
      </c>
      <c r="J708" s="4" t="str">
        <f>'Raw Data'!J708</f>
        <v>TRK97693301</v>
      </c>
      <c r="K708" s="4">
        <f>'Raw Data'!K708</f>
        <v>9</v>
      </c>
      <c r="L708" s="4" t="str">
        <f>IF('Raw Data'!L708="","No Coupon",'Raw Data'!L708)</f>
        <v>FREESHIP</v>
      </c>
      <c r="M708" s="4" t="str">
        <f>'Raw Data'!M708</f>
        <v>Facebook</v>
      </c>
      <c r="N708" s="4">
        <f>'Raw Data'!N708</f>
        <v>1140.45</v>
      </c>
    </row>
    <row r="709" spans="1:14" ht="15" customHeight="1" x14ac:dyDescent="0.2">
      <c r="A709" s="4" t="str">
        <f>'Raw Data'!A709</f>
        <v>ORD200707</v>
      </c>
      <c r="B709" s="6">
        <f>'Raw Data'!B709</f>
        <v>45597</v>
      </c>
      <c r="C709" s="4" t="str">
        <f>'Raw Data'!C709</f>
        <v>C31761</v>
      </c>
      <c r="D709" s="4" t="str">
        <f>'Raw Data'!D709</f>
        <v>Chair</v>
      </c>
      <c r="E709" s="4">
        <f>'Raw Data'!E709</f>
        <v>4</v>
      </c>
      <c r="F709" s="4">
        <f>'Raw Data'!F709</f>
        <v>650.04</v>
      </c>
      <c r="G709" s="4" t="str">
        <f>'Raw Data'!G709</f>
        <v>989 Main St</v>
      </c>
      <c r="H709" s="4" t="str">
        <f>'Raw Data'!H709</f>
        <v>Gift Card</v>
      </c>
      <c r="I709" s="4" t="str">
        <f>'Raw Data'!I709</f>
        <v>Cancelled</v>
      </c>
      <c r="J709" s="4" t="str">
        <f>'Raw Data'!J709</f>
        <v>TRK17628852</v>
      </c>
      <c r="K709" s="4">
        <f>'Raw Data'!K709</f>
        <v>6</v>
      </c>
      <c r="L709" s="4" t="str">
        <f>IF('Raw Data'!L709="","No Coupon",'Raw Data'!L709)</f>
        <v>SAVE10</v>
      </c>
      <c r="M709" s="4" t="str">
        <f>'Raw Data'!M709</f>
        <v>Facebook</v>
      </c>
      <c r="N709" s="4">
        <f>'Raw Data'!N709</f>
        <v>2600.16</v>
      </c>
    </row>
    <row r="710" spans="1:14" ht="15" customHeight="1" x14ac:dyDescent="0.2">
      <c r="A710" s="4" t="str">
        <f>'Raw Data'!A710</f>
        <v>ORD200708</v>
      </c>
      <c r="B710" s="6">
        <f>'Raw Data'!B710</f>
        <v>45720</v>
      </c>
      <c r="C710" s="4" t="str">
        <f>'Raw Data'!C710</f>
        <v>C25268</v>
      </c>
      <c r="D710" s="4" t="str">
        <f>'Raw Data'!D710</f>
        <v>Printer</v>
      </c>
      <c r="E710" s="4">
        <f>'Raw Data'!E710</f>
        <v>1</v>
      </c>
      <c r="F710" s="4">
        <f>'Raw Data'!F710</f>
        <v>665.11</v>
      </c>
      <c r="G710" s="4" t="str">
        <f>'Raw Data'!G710</f>
        <v>788 Main St</v>
      </c>
      <c r="H710" s="4" t="str">
        <f>'Raw Data'!H710</f>
        <v>Cash</v>
      </c>
      <c r="I710" s="4" t="str">
        <f>'Raw Data'!I710</f>
        <v>Pending</v>
      </c>
      <c r="J710" s="4" t="str">
        <f>'Raw Data'!J710</f>
        <v>TRK20481215</v>
      </c>
      <c r="K710" s="4">
        <f>'Raw Data'!K710</f>
        <v>3</v>
      </c>
      <c r="L710" s="4" t="str">
        <f>IF('Raw Data'!L710="","No Coupon",'Raw Data'!L710)</f>
        <v>FREESHIP</v>
      </c>
      <c r="M710" s="4" t="str">
        <f>'Raw Data'!M710</f>
        <v>Instagram</v>
      </c>
      <c r="N710" s="4">
        <f>'Raw Data'!N710</f>
        <v>665.11</v>
      </c>
    </row>
    <row r="711" spans="1:14" ht="15" customHeight="1" x14ac:dyDescent="0.2">
      <c r="A711" s="4" t="str">
        <f>'Raw Data'!A711</f>
        <v>ORD200709</v>
      </c>
      <c r="B711" s="6">
        <f>'Raw Data'!B711</f>
        <v>45633</v>
      </c>
      <c r="C711" s="4" t="str">
        <f>'Raw Data'!C711</f>
        <v>C17132</v>
      </c>
      <c r="D711" s="4" t="str">
        <f>'Raw Data'!D711</f>
        <v>Desk</v>
      </c>
      <c r="E711" s="4">
        <f>'Raw Data'!E711</f>
        <v>1</v>
      </c>
      <c r="F711" s="4">
        <f>'Raw Data'!F711</f>
        <v>386.03</v>
      </c>
      <c r="G711" s="4" t="str">
        <f>'Raw Data'!G711</f>
        <v>855 Main St</v>
      </c>
      <c r="H711" s="4" t="str">
        <f>'Raw Data'!H711</f>
        <v>Online</v>
      </c>
      <c r="I711" s="4" t="str">
        <f>'Raw Data'!I711</f>
        <v>Pending</v>
      </c>
      <c r="J711" s="4" t="str">
        <f>'Raw Data'!J711</f>
        <v>TRK37504692</v>
      </c>
      <c r="K711" s="4">
        <f>'Raw Data'!K711</f>
        <v>4</v>
      </c>
      <c r="L711" s="4" t="str">
        <f>IF('Raw Data'!L711="","No Coupon",'Raw Data'!L711)</f>
        <v>FREESHIP</v>
      </c>
      <c r="M711" s="4" t="str">
        <f>'Raw Data'!M711</f>
        <v>Google</v>
      </c>
      <c r="N711" s="4">
        <f>'Raw Data'!N711</f>
        <v>386.03</v>
      </c>
    </row>
    <row r="712" spans="1:14" ht="15" customHeight="1" x14ac:dyDescent="0.2">
      <c r="A712" s="4" t="str">
        <f>'Raw Data'!A712</f>
        <v>ORD200710</v>
      </c>
      <c r="B712" s="6">
        <f>'Raw Data'!B712</f>
        <v>45495</v>
      </c>
      <c r="C712" s="4" t="str">
        <f>'Raw Data'!C712</f>
        <v>C48790</v>
      </c>
      <c r="D712" s="4" t="str">
        <f>'Raw Data'!D712</f>
        <v>Laptop</v>
      </c>
      <c r="E712" s="4">
        <f>'Raw Data'!E712</f>
        <v>5</v>
      </c>
      <c r="F712" s="4">
        <f>'Raw Data'!F712</f>
        <v>21.54</v>
      </c>
      <c r="G712" s="4" t="str">
        <f>'Raw Data'!G712</f>
        <v>113 Main St</v>
      </c>
      <c r="H712" s="4" t="str">
        <f>'Raw Data'!H712</f>
        <v>Gift Card</v>
      </c>
      <c r="I712" s="4" t="str">
        <f>'Raw Data'!I712</f>
        <v>Returned</v>
      </c>
      <c r="J712" s="4" t="str">
        <f>'Raw Data'!J712</f>
        <v>TRK19086608</v>
      </c>
      <c r="K712" s="4">
        <f>'Raw Data'!K712</f>
        <v>10</v>
      </c>
      <c r="L712" s="4" t="str">
        <f>IF('Raw Data'!L712="","No Coupon",'Raw Data'!L712)</f>
        <v>No Coupon</v>
      </c>
      <c r="M712" s="4" t="str">
        <f>'Raw Data'!M712</f>
        <v>Google</v>
      </c>
      <c r="N712" s="4">
        <f>'Raw Data'!N712</f>
        <v>107.7</v>
      </c>
    </row>
    <row r="713" spans="1:14" ht="15" customHeight="1" x14ac:dyDescent="0.2">
      <c r="A713" s="4" t="str">
        <f>'Raw Data'!A713</f>
        <v>ORD200711</v>
      </c>
      <c r="B713" s="6">
        <f>'Raw Data'!B713</f>
        <v>45477</v>
      </c>
      <c r="C713" s="4" t="str">
        <f>'Raw Data'!C713</f>
        <v>C61070</v>
      </c>
      <c r="D713" s="4" t="str">
        <f>'Raw Data'!D713</f>
        <v>Tablet</v>
      </c>
      <c r="E713" s="4">
        <f>'Raw Data'!E713</f>
        <v>2</v>
      </c>
      <c r="F713" s="4">
        <f>'Raw Data'!F713</f>
        <v>475.78</v>
      </c>
      <c r="G713" s="4" t="str">
        <f>'Raw Data'!G713</f>
        <v>632 Main St</v>
      </c>
      <c r="H713" s="4" t="str">
        <f>'Raw Data'!H713</f>
        <v>Online</v>
      </c>
      <c r="I713" s="4" t="str">
        <f>'Raw Data'!I713</f>
        <v>Shipped</v>
      </c>
      <c r="J713" s="4" t="str">
        <f>'Raw Data'!J713</f>
        <v>TRK90764894</v>
      </c>
      <c r="K713" s="4">
        <f>'Raw Data'!K713</f>
        <v>2</v>
      </c>
      <c r="L713" s="4" t="str">
        <f>IF('Raw Data'!L713="","No Coupon",'Raw Data'!L713)</f>
        <v>WINTER15</v>
      </c>
      <c r="M713" s="4" t="str">
        <f>'Raw Data'!M713</f>
        <v>Google</v>
      </c>
      <c r="N713" s="4">
        <f>'Raw Data'!N713</f>
        <v>951.56</v>
      </c>
    </row>
    <row r="714" spans="1:14" ht="15" customHeight="1" x14ac:dyDescent="0.2">
      <c r="A714" s="4" t="str">
        <f>'Raw Data'!A714</f>
        <v>ORD200712</v>
      </c>
      <c r="B714" s="6">
        <f>'Raw Data'!B714</f>
        <v>45300</v>
      </c>
      <c r="C714" s="4" t="str">
        <f>'Raw Data'!C714</f>
        <v>C56969</v>
      </c>
      <c r="D714" s="4" t="str">
        <f>'Raw Data'!D714</f>
        <v>Tablet</v>
      </c>
      <c r="E714" s="4">
        <f>'Raw Data'!E714</f>
        <v>2</v>
      </c>
      <c r="F714" s="4">
        <f>'Raw Data'!F714</f>
        <v>68.400000000000006</v>
      </c>
      <c r="G714" s="4" t="str">
        <f>'Raw Data'!G714</f>
        <v>993 Main St</v>
      </c>
      <c r="H714" s="4" t="str">
        <f>'Raw Data'!H714</f>
        <v>Gift Card</v>
      </c>
      <c r="I714" s="4" t="str">
        <f>'Raw Data'!I714</f>
        <v>Pending</v>
      </c>
      <c r="J714" s="4" t="str">
        <f>'Raw Data'!J714</f>
        <v>TRK10513339</v>
      </c>
      <c r="K714" s="4">
        <f>'Raw Data'!K714</f>
        <v>7</v>
      </c>
      <c r="L714" s="4" t="str">
        <f>IF('Raw Data'!L714="","No Coupon",'Raw Data'!L714)</f>
        <v>FREESHIP</v>
      </c>
      <c r="M714" s="4" t="str">
        <f>'Raw Data'!M714</f>
        <v>Email</v>
      </c>
      <c r="N714" s="4">
        <f>'Raw Data'!N714</f>
        <v>136.80000000000001</v>
      </c>
    </row>
    <row r="715" spans="1:14" ht="15" customHeight="1" x14ac:dyDescent="0.2">
      <c r="A715" s="4" t="str">
        <f>'Raw Data'!A715</f>
        <v>ORD200713</v>
      </c>
      <c r="B715" s="6">
        <f>'Raw Data'!B715</f>
        <v>45829</v>
      </c>
      <c r="C715" s="4" t="str">
        <f>'Raw Data'!C715</f>
        <v>C65056</v>
      </c>
      <c r="D715" s="4" t="str">
        <f>'Raw Data'!D715</f>
        <v>Tablet</v>
      </c>
      <c r="E715" s="4">
        <f>'Raw Data'!E715</f>
        <v>4</v>
      </c>
      <c r="F715" s="4">
        <f>'Raw Data'!F715</f>
        <v>532.49</v>
      </c>
      <c r="G715" s="4" t="str">
        <f>'Raw Data'!G715</f>
        <v>638 Main St</v>
      </c>
      <c r="H715" s="4" t="str">
        <f>'Raw Data'!H715</f>
        <v>Online</v>
      </c>
      <c r="I715" s="4" t="str">
        <f>'Raw Data'!I715</f>
        <v>Cancelled</v>
      </c>
      <c r="J715" s="4" t="str">
        <f>'Raw Data'!J715</f>
        <v>TRK31705278</v>
      </c>
      <c r="K715" s="4">
        <f>'Raw Data'!K715</f>
        <v>6</v>
      </c>
      <c r="L715" s="4" t="str">
        <f>IF('Raw Data'!L715="","No Coupon",'Raw Data'!L715)</f>
        <v>SAVE10</v>
      </c>
      <c r="M715" s="4" t="str">
        <f>'Raw Data'!M715</f>
        <v>Facebook</v>
      </c>
      <c r="N715" s="4">
        <f>'Raw Data'!N715</f>
        <v>2129.96</v>
      </c>
    </row>
    <row r="716" spans="1:14" ht="15" customHeight="1" x14ac:dyDescent="0.2">
      <c r="A716" s="4" t="str">
        <f>'Raw Data'!A716</f>
        <v>ORD200714</v>
      </c>
      <c r="B716" s="6">
        <f>'Raw Data'!B716</f>
        <v>45037</v>
      </c>
      <c r="C716" s="4" t="str">
        <f>'Raw Data'!C716</f>
        <v>C84888</v>
      </c>
      <c r="D716" s="4" t="str">
        <f>'Raw Data'!D716</f>
        <v>Laptop</v>
      </c>
      <c r="E716" s="4">
        <f>'Raw Data'!E716</f>
        <v>1</v>
      </c>
      <c r="F716" s="4">
        <f>'Raw Data'!F716</f>
        <v>51.73</v>
      </c>
      <c r="G716" s="4" t="str">
        <f>'Raw Data'!G716</f>
        <v>278 Main St</v>
      </c>
      <c r="H716" s="4" t="str">
        <f>'Raw Data'!H716</f>
        <v>Debit Card</v>
      </c>
      <c r="I716" s="4" t="str">
        <f>'Raw Data'!I716</f>
        <v>Pending</v>
      </c>
      <c r="J716" s="4" t="str">
        <f>'Raw Data'!J716</f>
        <v>TRK23612847</v>
      </c>
      <c r="K716" s="4">
        <f>'Raw Data'!K716</f>
        <v>1</v>
      </c>
      <c r="L716" s="4" t="str">
        <f>IF('Raw Data'!L716="","No Coupon",'Raw Data'!L716)</f>
        <v>FREESHIP</v>
      </c>
      <c r="M716" s="4" t="str">
        <f>'Raw Data'!M716</f>
        <v>Facebook</v>
      </c>
      <c r="N716" s="4">
        <f>'Raw Data'!N716</f>
        <v>51.73</v>
      </c>
    </row>
    <row r="717" spans="1:14" ht="15" customHeight="1" x14ac:dyDescent="0.2">
      <c r="A717" s="4" t="str">
        <f>'Raw Data'!A717</f>
        <v>ORD200715</v>
      </c>
      <c r="B717" s="6">
        <f>'Raw Data'!B717</f>
        <v>45499</v>
      </c>
      <c r="C717" s="4" t="str">
        <f>'Raw Data'!C717</f>
        <v>C68266</v>
      </c>
      <c r="D717" s="4" t="str">
        <f>'Raw Data'!D717</f>
        <v>Printer</v>
      </c>
      <c r="E717" s="4">
        <f>'Raw Data'!E717</f>
        <v>3</v>
      </c>
      <c r="F717" s="4">
        <f>'Raw Data'!F717</f>
        <v>653.63</v>
      </c>
      <c r="G717" s="4" t="str">
        <f>'Raw Data'!G717</f>
        <v>281 Main St</v>
      </c>
      <c r="H717" s="4" t="str">
        <f>'Raw Data'!H717</f>
        <v>Online</v>
      </c>
      <c r="I717" s="4" t="str">
        <f>'Raw Data'!I717</f>
        <v>Delivered</v>
      </c>
      <c r="J717" s="4" t="str">
        <f>'Raw Data'!J717</f>
        <v>TRK96161062</v>
      </c>
      <c r="K717" s="4">
        <f>'Raw Data'!K717</f>
        <v>7</v>
      </c>
      <c r="L717" s="4" t="str">
        <f>IF('Raw Data'!L717="","No Coupon",'Raw Data'!L717)</f>
        <v>FREESHIP</v>
      </c>
      <c r="M717" s="4" t="str">
        <f>'Raw Data'!M717</f>
        <v>Email</v>
      </c>
      <c r="N717" s="4">
        <f>'Raw Data'!N717</f>
        <v>1960.89</v>
      </c>
    </row>
    <row r="718" spans="1:14" ht="15" customHeight="1" x14ac:dyDescent="0.2">
      <c r="A718" s="4" t="str">
        <f>'Raw Data'!A718</f>
        <v>ORD200716</v>
      </c>
      <c r="B718" s="6">
        <f>'Raw Data'!B718</f>
        <v>45456</v>
      </c>
      <c r="C718" s="4" t="str">
        <f>'Raw Data'!C718</f>
        <v>C84115</v>
      </c>
      <c r="D718" s="4" t="str">
        <f>'Raw Data'!D718</f>
        <v>Chair</v>
      </c>
      <c r="E718" s="4">
        <f>'Raw Data'!E718</f>
        <v>3</v>
      </c>
      <c r="F718" s="4">
        <f>'Raw Data'!F718</f>
        <v>454.29</v>
      </c>
      <c r="G718" s="4" t="str">
        <f>'Raw Data'!G718</f>
        <v>891 Main St</v>
      </c>
      <c r="H718" s="4" t="str">
        <f>'Raw Data'!H718</f>
        <v>Credit Card</v>
      </c>
      <c r="I718" s="4" t="str">
        <f>'Raw Data'!I718</f>
        <v>Pending</v>
      </c>
      <c r="J718" s="4" t="str">
        <f>'Raw Data'!J718</f>
        <v>TRK25466842</v>
      </c>
      <c r="K718" s="4">
        <f>'Raw Data'!K718</f>
        <v>4</v>
      </c>
      <c r="L718" s="4" t="str">
        <f>IF('Raw Data'!L718="","No Coupon",'Raw Data'!L718)</f>
        <v>WINTER15</v>
      </c>
      <c r="M718" s="4" t="str">
        <f>'Raw Data'!M718</f>
        <v>Google</v>
      </c>
      <c r="N718" s="4">
        <f>'Raw Data'!N718</f>
        <v>1362.87</v>
      </c>
    </row>
    <row r="719" spans="1:14" ht="15" customHeight="1" x14ac:dyDescent="0.2">
      <c r="A719" s="4" t="str">
        <f>'Raw Data'!A719</f>
        <v>ORD200717</v>
      </c>
      <c r="B719" s="6">
        <f>'Raw Data'!B719</f>
        <v>45215</v>
      </c>
      <c r="C719" s="4" t="str">
        <f>'Raw Data'!C719</f>
        <v>C50087</v>
      </c>
      <c r="D719" s="4" t="str">
        <f>'Raw Data'!D719</f>
        <v>Chair</v>
      </c>
      <c r="E719" s="4">
        <f>'Raw Data'!E719</f>
        <v>3</v>
      </c>
      <c r="F719" s="4">
        <f>'Raw Data'!F719</f>
        <v>122.11</v>
      </c>
      <c r="G719" s="4" t="str">
        <f>'Raw Data'!G719</f>
        <v>707 Main St</v>
      </c>
      <c r="H719" s="4" t="str">
        <f>'Raw Data'!H719</f>
        <v>Online</v>
      </c>
      <c r="I719" s="4" t="str">
        <f>'Raw Data'!I719</f>
        <v>Delivered</v>
      </c>
      <c r="J719" s="4" t="str">
        <f>'Raw Data'!J719</f>
        <v>TRK31143760</v>
      </c>
      <c r="K719" s="4">
        <f>'Raw Data'!K719</f>
        <v>4</v>
      </c>
      <c r="L719" s="4" t="str">
        <f>IF('Raw Data'!L719="","No Coupon",'Raw Data'!L719)</f>
        <v>WINTER15</v>
      </c>
      <c r="M719" s="4" t="str">
        <f>'Raw Data'!M719</f>
        <v>Email</v>
      </c>
      <c r="N719" s="4">
        <f>'Raw Data'!N719</f>
        <v>366.33</v>
      </c>
    </row>
    <row r="720" spans="1:14" ht="15" customHeight="1" x14ac:dyDescent="0.2">
      <c r="A720" s="4" t="str">
        <f>'Raw Data'!A720</f>
        <v>ORD200718</v>
      </c>
      <c r="B720" s="6">
        <f>'Raw Data'!B720</f>
        <v>45024</v>
      </c>
      <c r="C720" s="4" t="str">
        <f>'Raw Data'!C720</f>
        <v>C16790</v>
      </c>
      <c r="D720" s="4" t="str">
        <f>'Raw Data'!D720</f>
        <v>Laptop</v>
      </c>
      <c r="E720" s="4">
        <f>'Raw Data'!E720</f>
        <v>4</v>
      </c>
      <c r="F720" s="4">
        <f>'Raw Data'!F720</f>
        <v>64.739999999999995</v>
      </c>
      <c r="G720" s="4" t="str">
        <f>'Raw Data'!G720</f>
        <v>718 Main St</v>
      </c>
      <c r="H720" s="4" t="str">
        <f>'Raw Data'!H720</f>
        <v>Gift Card</v>
      </c>
      <c r="I720" s="4" t="str">
        <f>'Raw Data'!I720</f>
        <v>Cancelled</v>
      </c>
      <c r="J720" s="4" t="str">
        <f>'Raw Data'!J720</f>
        <v>TRK91791367</v>
      </c>
      <c r="K720" s="4">
        <f>'Raw Data'!K720</f>
        <v>8</v>
      </c>
      <c r="L720" s="4" t="str">
        <f>IF('Raw Data'!L720="","No Coupon",'Raw Data'!L720)</f>
        <v>SAVE10</v>
      </c>
      <c r="M720" s="4" t="str">
        <f>'Raw Data'!M720</f>
        <v>Google</v>
      </c>
      <c r="N720" s="4">
        <f>'Raw Data'!N720</f>
        <v>258.95999999999998</v>
      </c>
    </row>
    <row r="721" spans="1:14" ht="15" customHeight="1" x14ac:dyDescent="0.2">
      <c r="A721" s="4" t="str">
        <f>'Raw Data'!A721</f>
        <v>ORD200719</v>
      </c>
      <c r="B721" s="6">
        <f>'Raw Data'!B721</f>
        <v>45312</v>
      </c>
      <c r="C721" s="4" t="str">
        <f>'Raw Data'!C721</f>
        <v>C46920</v>
      </c>
      <c r="D721" s="4" t="str">
        <f>'Raw Data'!D721</f>
        <v>Laptop</v>
      </c>
      <c r="E721" s="4">
        <f>'Raw Data'!E721</f>
        <v>2</v>
      </c>
      <c r="F721" s="4">
        <f>'Raw Data'!F721</f>
        <v>681.06</v>
      </c>
      <c r="G721" s="4" t="str">
        <f>'Raw Data'!G721</f>
        <v>703 Main St</v>
      </c>
      <c r="H721" s="4" t="str">
        <f>'Raw Data'!H721</f>
        <v>Debit Card</v>
      </c>
      <c r="I721" s="4" t="str">
        <f>'Raw Data'!I721</f>
        <v>Shipped</v>
      </c>
      <c r="J721" s="4" t="str">
        <f>'Raw Data'!J721</f>
        <v>TRK86403837</v>
      </c>
      <c r="K721" s="4">
        <f>'Raw Data'!K721</f>
        <v>3</v>
      </c>
      <c r="L721" s="4" t="str">
        <f>IF('Raw Data'!L721="","No Coupon",'Raw Data'!L721)</f>
        <v>FREESHIP</v>
      </c>
      <c r="M721" s="4" t="str">
        <f>'Raw Data'!M721</f>
        <v>Facebook</v>
      </c>
      <c r="N721" s="4">
        <f>'Raw Data'!N721</f>
        <v>1362.12</v>
      </c>
    </row>
    <row r="722" spans="1:14" ht="15" customHeight="1" x14ac:dyDescent="0.2">
      <c r="A722" s="4" t="str">
        <f>'Raw Data'!A722</f>
        <v>ORD200720</v>
      </c>
      <c r="B722" s="6">
        <f>'Raw Data'!B722</f>
        <v>45190</v>
      </c>
      <c r="C722" s="4" t="str">
        <f>'Raw Data'!C722</f>
        <v>C12740</v>
      </c>
      <c r="D722" s="4" t="str">
        <f>'Raw Data'!D722</f>
        <v>Desk</v>
      </c>
      <c r="E722" s="4">
        <f>'Raw Data'!E722</f>
        <v>5</v>
      </c>
      <c r="F722" s="4">
        <f>'Raw Data'!F722</f>
        <v>128.94999999999999</v>
      </c>
      <c r="G722" s="4" t="str">
        <f>'Raw Data'!G722</f>
        <v>305 Main St</v>
      </c>
      <c r="H722" s="4" t="str">
        <f>'Raw Data'!H722</f>
        <v>Cash</v>
      </c>
      <c r="I722" s="4" t="str">
        <f>'Raw Data'!I722</f>
        <v>Pending</v>
      </c>
      <c r="J722" s="4" t="str">
        <f>'Raw Data'!J722</f>
        <v>TRK98506513</v>
      </c>
      <c r="K722" s="4">
        <f>'Raw Data'!K722</f>
        <v>10</v>
      </c>
      <c r="L722" s="4" t="str">
        <f>IF('Raw Data'!L722="","No Coupon",'Raw Data'!L722)</f>
        <v>FREESHIP</v>
      </c>
      <c r="M722" s="4" t="str">
        <f>'Raw Data'!M722</f>
        <v>Instagram</v>
      </c>
      <c r="N722" s="4">
        <f>'Raw Data'!N722</f>
        <v>644.75</v>
      </c>
    </row>
    <row r="723" spans="1:14" ht="15" customHeight="1" x14ac:dyDescent="0.2">
      <c r="A723" s="4" t="str">
        <f>'Raw Data'!A723</f>
        <v>ORD200721</v>
      </c>
      <c r="B723" s="6">
        <f>'Raw Data'!B723</f>
        <v>45369</v>
      </c>
      <c r="C723" s="4" t="str">
        <f>'Raw Data'!C723</f>
        <v>C46557</v>
      </c>
      <c r="D723" s="4" t="str">
        <f>'Raw Data'!D723</f>
        <v>Desk</v>
      </c>
      <c r="E723" s="4">
        <f>'Raw Data'!E723</f>
        <v>2</v>
      </c>
      <c r="F723" s="4">
        <f>'Raw Data'!F723</f>
        <v>118.59</v>
      </c>
      <c r="G723" s="4" t="str">
        <f>'Raw Data'!G723</f>
        <v>890 Main St</v>
      </c>
      <c r="H723" s="4" t="str">
        <f>'Raw Data'!H723</f>
        <v>Credit Card</v>
      </c>
      <c r="I723" s="4" t="str">
        <f>'Raw Data'!I723</f>
        <v>Delivered</v>
      </c>
      <c r="J723" s="4" t="str">
        <f>'Raw Data'!J723</f>
        <v>TRK56110689</v>
      </c>
      <c r="K723" s="4">
        <f>'Raw Data'!K723</f>
        <v>2</v>
      </c>
      <c r="L723" s="4" t="str">
        <f>IF('Raw Data'!L723="","No Coupon",'Raw Data'!L723)</f>
        <v>No Coupon</v>
      </c>
      <c r="M723" s="4" t="str">
        <f>'Raw Data'!M723</f>
        <v>Email</v>
      </c>
      <c r="N723" s="4">
        <f>'Raw Data'!N723</f>
        <v>237.18</v>
      </c>
    </row>
    <row r="724" spans="1:14" ht="15" customHeight="1" x14ac:dyDescent="0.2">
      <c r="A724" s="4" t="str">
        <f>'Raw Data'!A724</f>
        <v>ORD200722</v>
      </c>
      <c r="B724" s="6">
        <f>'Raw Data'!B724</f>
        <v>45611</v>
      </c>
      <c r="C724" s="4" t="str">
        <f>'Raw Data'!C724</f>
        <v>C58156</v>
      </c>
      <c r="D724" s="4" t="str">
        <f>'Raw Data'!D724</f>
        <v>Printer</v>
      </c>
      <c r="E724" s="4">
        <f>'Raw Data'!E724</f>
        <v>1</v>
      </c>
      <c r="F724" s="4">
        <f>'Raw Data'!F724</f>
        <v>95.1</v>
      </c>
      <c r="G724" s="4" t="str">
        <f>'Raw Data'!G724</f>
        <v>516 Main St</v>
      </c>
      <c r="H724" s="4" t="str">
        <f>'Raw Data'!H724</f>
        <v>Gift Card</v>
      </c>
      <c r="I724" s="4" t="str">
        <f>'Raw Data'!I724</f>
        <v>Pending</v>
      </c>
      <c r="J724" s="4" t="str">
        <f>'Raw Data'!J724</f>
        <v>TRK49719458</v>
      </c>
      <c r="K724" s="4">
        <f>'Raw Data'!K724</f>
        <v>1</v>
      </c>
      <c r="L724" s="4" t="str">
        <f>IF('Raw Data'!L724="","No Coupon",'Raw Data'!L724)</f>
        <v>WINTER15</v>
      </c>
      <c r="M724" s="4" t="str">
        <f>'Raw Data'!M724</f>
        <v>Instagram</v>
      </c>
      <c r="N724" s="4">
        <f>'Raw Data'!N724</f>
        <v>95.1</v>
      </c>
    </row>
    <row r="725" spans="1:14" ht="15" customHeight="1" x14ac:dyDescent="0.2">
      <c r="A725" s="4" t="str">
        <f>'Raw Data'!A725</f>
        <v>ORD200723</v>
      </c>
      <c r="B725" s="6">
        <f>'Raw Data'!B725</f>
        <v>45269</v>
      </c>
      <c r="C725" s="4" t="str">
        <f>'Raw Data'!C725</f>
        <v>C14455</v>
      </c>
      <c r="D725" s="4" t="str">
        <f>'Raw Data'!D725</f>
        <v>Desk</v>
      </c>
      <c r="E725" s="4">
        <f>'Raw Data'!E725</f>
        <v>3</v>
      </c>
      <c r="F725" s="4">
        <f>'Raw Data'!F725</f>
        <v>54.95</v>
      </c>
      <c r="G725" s="4" t="str">
        <f>'Raw Data'!G725</f>
        <v>385 Main St</v>
      </c>
      <c r="H725" s="4" t="str">
        <f>'Raw Data'!H725</f>
        <v>Cash</v>
      </c>
      <c r="I725" s="4" t="str">
        <f>'Raw Data'!I725</f>
        <v>Returned</v>
      </c>
      <c r="J725" s="4" t="str">
        <f>'Raw Data'!J725</f>
        <v>TRK50933724</v>
      </c>
      <c r="K725" s="4">
        <f>'Raw Data'!K725</f>
        <v>8</v>
      </c>
      <c r="L725" s="4" t="str">
        <f>IF('Raw Data'!L725="","No Coupon",'Raw Data'!L725)</f>
        <v>SAVE10</v>
      </c>
      <c r="M725" s="4" t="str">
        <f>'Raw Data'!M725</f>
        <v>Referral</v>
      </c>
      <c r="N725" s="4">
        <f>'Raw Data'!N725</f>
        <v>164.85</v>
      </c>
    </row>
    <row r="726" spans="1:14" ht="15" customHeight="1" x14ac:dyDescent="0.2">
      <c r="A726" s="4" t="str">
        <f>'Raw Data'!A726</f>
        <v>ORD200724</v>
      </c>
      <c r="B726" s="6">
        <f>'Raw Data'!B726</f>
        <v>45583</v>
      </c>
      <c r="C726" s="4" t="str">
        <f>'Raw Data'!C726</f>
        <v>C63150</v>
      </c>
      <c r="D726" s="4" t="str">
        <f>'Raw Data'!D726</f>
        <v>Printer</v>
      </c>
      <c r="E726" s="4">
        <f>'Raw Data'!E726</f>
        <v>3</v>
      </c>
      <c r="F726" s="4">
        <f>'Raw Data'!F726</f>
        <v>136.97</v>
      </c>
      <c r="G726" s="4" t="str">
        <f>'Raw Data'!G726</f>
        <v>326 Main St</v>
      </c>
      <c r="H726" s="4" t="str">
        <f>'Raw Data'!H726</f>
        <v>Credit Card</v>
      </c>
      <c r="I726" s="4" t="str">
        <f>'Raw Data'!I726</f>
        <v>Returned</v>
      </c>
      <c r="J726" s="4" t="str">
        <f>'Raw Data'!J726</f>
        <v>TRK19348078</v>
      </c>
      <c r="K726" s="4">
        <f>'Raw Data'!K726</f>
        <v>4</v>
      </c>
      <c r="L726" s="4" t="str">
        <f>IF('Raw Data'!L726="","No Coupon",'Raw Data'!L726)</f>
        <v>FREESHIP</v>
      </c>
      <c r="M726" s="4" t="str">
        <f>'Raw Data'!M726</f>
        <v>Referral</v>
      </c>
      <c r="N726" s="4">
        <f>'Raw Data'!N726</f>
        <v>410.91</v>
      </c>
    </row>
    <row r="727" spans="1:14" ht="15" customHeight="1" x14ac:dyDescent="0.2">
      <c r="A727" s="4" t="str">
        <f>'Raw Data'!A727</f>
        <v>ORD200725</v>
      </c>
      <c r="B727" s="6">
        <f>'Raw Data'!B727</f>
        <v>44997</v>
      </c>
      <c r="C727" s="4" t="str">
        <f>'Raw Data'!C727</f>
        <v>C95269</v>
      </c>
      <c r="D727" s="4" t="str">
        <f>'Raw Data'!D727</f>
        <v>Chair</v>
      </c>
      <c r="E727" s="4">
        <f>'Raw Data'!E727</f>
        <v>2</v>
      </c>
      <c r="F727" s="4">
        <f>'Raw Data'!F727</f>
        <v>194.85</v>
      </c>
      <c r="G727" s="4" t="str">
        <f>'Raw Data'!G727</f>
        <v>372 Main St</v>
      </c>
      <c r="H727" s="4" t="str">
        <f>'Raw Data'!H727</f>
        <v>Gift Card</v>
      </c>
      <c r="I727" s="4" t="str">
        <f>'Raw Data'!I727</f>
        <v>Returned</v>
      </c>
      <c r="J727" s="4" t="str">
        <f>'Raw Data'!J727</f>
        <v>TRK45670926</v>
      </c>
      <c r="K727" s="4">
        <f>'Raw Data'!K727</f>
        <v>5</v>
      </c>
      <c r="L727" s="4" t="str">
        <f>IF('Raw Data'!L727="","No Coupon",'Raw Data'!L727)</f>
        <v>No Coupon</v>
      </c>
      <c r="M727" s="4" t="str">
        <f>'Raw Data'!M727</f>
        <v>Referral</v>
      </c>
      <c r="N727" s="4">
        <f>'Raw Data'!N727</f>
        <v>389.7</v>
      </c>
    </row>
    <row r="728" spans="1:14" ht="15" customHeight="1" x14ac:dyDescent="0.2">
      <c r="A728" s="4" t="str">
        <f>'Raw Data'!A728</f>
        <v>ORD200726</v>
      </c>
      <c r="B728" s="6">
        <f>'Raw Data'!B728</f>
        <v>45590</v>
      </c>
      <c r="C728" s="4" t="str">
        <f>'Raw Data'!C728</f>
        <v>C18105</v>
      </c>
      <c r="D728" s="4" t="str">
        <f>'Raw Data'!D728</f>
        <v>Laptop</v>
      </c>
      <c r="E728" s="4">
        <f>'Raw Data'!E728</f>
        <v>4</v>
      </c>
      <c r="F728" s="4">
        <f>'Raw Data'!F728</f>
        <v>583.02</v>
      </c>
      <c r="G728" s="4" t="str">
        <f>'Raw Data'!G728</f>
        <v>338 Main St</v>
      </c>
      <c r="H728" s="4" t="str">
        <f>'Raw Data'!H728</f>
        <v>Online</v>
      </c>
      <c r="I728" s="4" t="str">
        <f>'Raw Data'!I728</f>
        <v>Delivered</v>
      </c>
      <c r="J728" s="4" t="str">
        <f>'Raw Data'!J728</f>
        <v>TRK94006117</v>
      </c>
      <c r="K728" s="4">
        <f>'Raw Data'!K728</f>
        <v>4</v>
      </c>
      <c r="L728" s="4" t="str">
        <f>IF('Raw Data'!L728="","No Coupon",'Raw Data'!L728)</f>
        <v>FREESHIP</v>
      </c>
      <c r="M728" s="4" t="str">
        <f>'Raw Data'!M728</f>
        <v>Facebook</v>
      </c>
      <c r="N728" s="4">
        <f>'Raw Data'!N728</f>
        <v>2332.08</v>
      </c>
    </row>
    <row r="729" spans="1:14" ht="15" customHeight="1" x14ac:dyDescent="0.2">
      <c r="A729" s="4" t="str">
        <f>'Raw Data'!A729</f>
        <v>ORD200727</v>
      </c>
      <c r="B729" s="6">
        <f>'Raw Data'!B729</f>
        <v>45564</v>
      </c>
      <c r="C729" s="4" t="str">
        <f>'Raw Data'!C729</f>
        <v>C29063</v>
      </c>
      <c r="D729" s="4" t="str">
        <f>'Raw Data'!D729</f>
        <v>Chair</v>
      </c>
      <c r="E729" s="4">
        <f>'Raw Data'!E729</f>
        <v>5</v>
      </c>
      <c r="F729" s="4">
        <f>'Raw Data'!F729</f>
        <v>95.75</v>
      </c>
      <c r="G729" s="4" t="str">
        <f>'Raw Data'!G729</f>
        <v>379 Main St</v>
      </c>
      <c r="H729" s="4" t="str">
        <f>'Raw Data'!H729</f>
        <v>Online</v>
      </c>
      <c r="I729" s="4" t="str">
        <f>'Raw Data'!I729</f>
        <v>Shipped</v>
      </c>
      <c r="J729" s="4" t="str">
        <f>'Raw Data'!J729</f>
        <v>TRK92745947</v>
      </c>
      <c r="K729" s="4">
        <f>'Raw Data'!K729</f>
        <v>8</v>
      </c>
      <c r="L729" s="4" t="str">
        <f>IF('Raw Data'!L729="","No Coupon",'Raw Data'!L729)</f>
        <v>SAVE10</v>
      </c>
      <c r="M729" s="4" t="str">
        <f>'Raw Data'!M729</f>
        <v>Instagram</v>
      </c>
      <c r="N729" s="4">
        <f>'Raw Data'!N729</f>
        <v>478.75</v>
      </c>
    </row>
    <row r="730" spans="1:14" ht="15" customHeight="1" x14ac:dyDescent="0.2">
      <c r="A730" s="4" t="str">
        <f>'Raw Data'!A730</f>
        <v>ORD200728</v>
      </c>
      <c r="B730" s="6">
        <f>'Raw Data'!B730</f>
        <v>45502</v>
      </c>
      <c r="C730" s="4" t="str">
        <f>'Raw Data'!C730</f>
        <v>C10154</v>
      </c>
      <c r="D730" s="4" t="str">
        <f>'Raw Data'!D730</f>
        <v>Desk</v>
      </c>
      <c r="E730" s="4">
        <f>'Raw Data'!E730</f>
        <v>4</v>
      </c>
      <c r="F730" s="4">
        <f>'Raw Data'!F730</f>
        <v>325.76</v>
      </c>
      <c r="G730" s="4" t="str">
        <f>'Raw Data'!G730</f>
        <v>827 Main St</v>
      </c>
      <c r="H730" s="4" t="str">
        <f>'Raw Data'!H730</f>
        <v>Gift Card</v>
      </c>
      <c r="I730" s="4" t="str">
        <f>'Raw Data'!I730</f>
        <v>Shipped</v>
      </c>
      <c r="J730" s="4" t="str">
        <f>'Raw Data'!J730</f>
        <v>TRK79793300</v>
      </c>
      <c r="K730" s="4">
        <f>'Raw Data'!K730</f>
        <v>8</v>
      </c>
      <c r="L730" s="4" t="str">
        <f>IF('Raw Data'!L730="","No Coupon",'Raw Data'!L730)</f>
        <v>WINTER15</v>
      </c>
      <c r="M730" s="4" t="str">
        <f>'Raw Data'!M730</f>
        <v>Email</v>
      </c>
      <c r="N730" s="4">
        <f>'Raw Data'!N730</f>
        <v>1303.04</v>
      </c>
    </row>
    <row r="731" spans="1:14" ht="15" customHeight="1" x14ac:dyDescent="0.2">
      <c r="A731" s="4" t="str">
        <f>'Raw Data'!A731</f>
        <v>ORD200729</v>
      </c>
      <c r="B731" s="6">
        <f>'Raw Data'!B731</f>
        <v>45177</v>
      </c>
      <c r="C731" s="4" t="str">
        <f>'Raw Data'!C731</f>
        <v>C36997</v>
      </c>
      <c r="D731" s="4" t="str">
        <f>'Raw Data'!D731</f>
        <v>Phone</v>
      </c>
      <c r="E731" s="4">
        <f>'Raw Data'!E731</f>
        <v>4</v>
      </c>
      <c r="F731" s="4">
        <f>'Raw Data'!F731</f>
        <v>186.41</v>
      </c>
      <c r="G731" s="4" t="str">
        <f>'Raw Data'!G731</f>
        <v>819 Main St</v>
      </c>
      <c r="H731" s="4" t="str">
        <f>'Raw Data'!H731</f>
        <v>Gift Card</v>
      </c>
      <c r="I731" s="4" t="str">
        <f>'Raw Data'!I731</f>
        <v>Pending</v>
      </c>
      <c r="J731" s="4" t="str">
        <f>'Raw Data'!J731</f>
        <v>TRK92794872</v>
      </c>
      <c r="K731" s="4">
        <f>'Raw Data'!K731</f>
        <v>6</v>
      </c>
      <c r="L731" s="4" t="str">
        <f>IF('Raw Data'!L731="","No Coupon",'Raw Data'!L731)</f>
        <v>SAVE10</v>
      </c>
      <c r="M731" s="4" t="str">
        <f>'Raw Data'!M731</f>
        <v>Google</v>
      </c>
      <c r="N731" s="4">
        <f>'Raw Data'!N731</f>
        <v>745.64</v>
      </c>
    </row>
    <row r="732" spans="1:14" ht="15" customHeight="1" x14ac:dyDescent="0.2">
      <c r="A732" s="4" t="str">
        <f>'Raw Data'!A732</f>
        <v>ORD200730</v>
      </c>
      <c r="B732" s="6">
        <f>'Raw Data'!B732</f>
        <v>45710</v>
      </c>
      <c r="C732" s="4" t="str">
        <f>'Raw Data'!C732</f>
        <v>C77357</v>
      </c>
      <c r="D732" s="4" t="str">
        <f>'Raw Data'!D732</f>
        <v>Phone</v>
      </c>
      <c r="E732" s="4">
        <f>'Raw Data'!E732</f>
        <v>1</v>
      </c>
      <c r="F732" s="4">
        <f>'Raw Data'!F732</f>
        <v>474.6</v>
      </c>
      <c r="G732" s="4" t="str">
        <f>'Raw Data'!G732</f>
        <v>407 Main St</v>
      </c>
      <c r="H732" s="4" t="str">
        <f>'Raw Data'!H732</f>
        <v>Debit Card</v>
      </c>
      <c r="I732" s="4" t="str">
        <f>'Raw Data'!I732</f>
        <v>Delivered</v>
      </c>
      <c r="J732" s="4" t="str">
        <f>'Raw Data'!J732</f>
        <v>TRK91943923</v>
      </c>
      <c r="K732" s="4">
        <f>'Raw Data'!K732</f>
        <v>4</v>
      </c>
      <c r="L732" s="4" t="str">
        <f>IF('Raw Data'!L732="","No Coupon",'Raw Data'!L732)</f>
        <v>SAVE10</v>
      </c>
      <c r="M732" s="4" t="str">
        <f>'Raw Data'!M732</f>
        <v>Email</v>
      </c>
      <c r="N732" s="4">
        <f>'Raw Data'!N732</f>
        <v>474.6</v>
      </c>
    </row>
    <row r="733" spans="1:14" ht="15" customHeight="1" x14ac:dyDescent="0.2">
      <c r="A733" s="4" t="str">
        <f>'Raw Data'!A733</f>
        <v>ORD200731</v>
      </c>
      <c r="B733" s="6">
        <f>'Raw Data'!B733</f>
        <v>45450</v>
      </c>
      <c r="C733" s="4" t="str">
        <f>'Raw Data'!C733</f>
        <v>C71310</v>
      </c>
      <c r="D733" s="4" t="str">
        <f>'Raw Data'!D733</f>
        <v>Printer</v>
      </c>
      <c r="E733" s="4">
        <f>'Raw Data'!E733</f>
        <v>5</v>
      </c>
      <c r="F733" s="4">
        <f>'Raw Data'!F733</f>
        <v>584.46</v>
      </c>
      <c r="G733" s="4" t="str">
        <f>'Raw Data'!G733</f>
        <v>308 Main St</v>
      </c>
      <c r="H733" s="4" t="str">
        <f>'Raw Data'!H733</f>
        <v>Credit Card</v>
      </c>
      <c r="I733" s="4" t="str">
        <f>'Raw Data'!I733</f>
        <v>Returned</v>
      </c>
      <c r="J733" s="4" t="str">
        <f>'Raw Data'!J733</f>
        <v>TRK48292586</v>
      </c>
      <c r="K733" s="4">
        <f>'Raw Data'!K733</f>
        <v>8</v>
      </c>
      <c r="L733" s="4" t="str">
        <f>IF('Raw Data'!L733="","No Coupon",'Raw Data'!L733)</f>
        <v>No Coupon</v>
      </c>
      <c r="M733" s="4" t="str">
        <f>'Raw Data'!M733</f>
        <v>Email</v>
      </c>
      <c r="N733" s="4">
        <f>'Raw Data'!N733</f>
        <v>2922.3</v>
      </c>
    </row>
    <row r="734" spans="1:14" ht="15" customHeight="1" x14ac:dyDescent="0.2">
      <c r="A734" s="4" t="str">
        <f>'Raw Data'!A734</f>
        <v>ORD200732</v>
      </c>
      <c r="B734" s="6">
        <f>'Raw Data'!B734</f>
        <v>45723</v>
      </c>
      <c r="C734" s="4" t="str">
        <f>'Raw Data'!C734</f>
        <v>C80987</v>
      </c>
      <c r="D734" s="4" t="str">
        <f>'Raw Data'!D734</f>
        <v>Laptop</v>
      </c>
      <c r="E734" s="4">
        <f>'Raw Data'!E734</f>
        <v>1</v>
      </c>
      <c r="F734" s="4">
        <f>'Raw Data'!F734</f>
        <v>132.05000000000001</v>
      </c>
      <c r="G734" s="4" t="str">
        <f>'Raw Data'!G734</f>
        <v>787 Main St</v>
      </c>
      <c r="H734" s="4" t="str">
        <f>'Raw Data'!H734</f>
        <v>Online</v>
      </c>
      <c r="I734" s="4" t="str">
        <f>'Raw Data'!I734</f>
        <v>Delivered</v>
      </c>
      <c r="J734" s="4" t="str">
        <f>'Raw Data'!J734</f>
        <v>TRK42187776</v>
      </c>
      <c r="K734" s="4">
        <f>'Raw Data'!K734</f>
        <v>2</v>
      </c>
      <c r="L734" s="4" t="str">
        <f>IF('Raw Data'!L734="","No Coupon",'Raw Data'!L734)</f>
        <v>No Coupon</v>
      </c>
      <c r="M734" s="4" t="str">
        <f>'Raw Data'!M734</f>
        <v>Google</v>
      </c>
      <c r="N734" s="4">
        <f>'Raw Data'!N734</f>
        <v>132.05000000000001</v>
      </c>
    </row>
    <row r="735" spans="1:14" ht="15" customHeight="1" x14ac:dyDescent="0.2">
      <c r="A735" s="4" t="str">
        <f>'Raw Data'!A735</f>
        <v>ORD200733</v>
      </c>
      <c r="B735" s="6">
        <f>'Raw Data'!B735</f>
        <v>45264</v>
      </c>
      <c r="C735" s="4" t="str">
        <f>'Raw Data'!C735</f>
        <v>C90757</v>
      </c>
      <c r="D735" s="4" t="str">
        <f>'Raw Data'!D735</f>
        <v>Tablet</v>
      </c>
      <c r="E735" s="4">
        <f>'Raw Data'!E735</f>
        <v>4</v>
      </c>
      <c r="F735" s="4">
        <f>'Raw Data'!F735</f>
        <v>494.84</v>
      </c>
      <c r="G735" s="4" t="str">
        <f>'Raw Data'!G735</f>
        <v>694 Main St</v>
      </c>
      <c r="H735" s="4" t="str">
        <f>'Raw Data'!H735</f>
        <v>Cash</v>
      </c>
      <c r="I735" s="4" t="str">
        <f>'Raw Data'!I735</f>
        <v>Returned</v>
      </c>
      <c r="J735" s="4" t="str">
        <f>'Raw Data'!J735</f>
        <v>TRK87991608</v>
      </c>
      <c r="K735" s="4">
        <f>'Raw Data'!K735</f>
        <v>8</v>
      </c>
      <c r="L735" s="4" t="str">
        <f>IF('Raw Data'!L735="","No Coupon",'Raw Data'!L735)</f>
        <v>SAVE10</v>
      </c>
      <c r="M735" s="4" t="str">
        <f>'Raw Data'!M735</f>
        <v>Email</v>
      </c>
      <c r="N735" s="4">
        <f>'Raw Data'!N735</f>
        <v>1979.36</v>
      </c>
    </row>
    <row r="736" spans="1:14" ht="15" customHeight="1" x14ac:dyDescent="0.2">
      <c r="A736" s="4" t="str">
        <f>'Raw Data'!A736</f>
        <v>ORD200734</v>
      </c>
      <c r="B736" s="6">
        <f>'Raw Data'!B736</f>
        <v>45314</v>
      </c>
      <c r="C736" s="4" t="str">
        <f>'Raw Data'!C736</f>
        <v>C51898</v>
      </c>
      <c r="D736" s="4" t="str">
        <f>'Raw Data'!D736</f>
        <v>Printer</v>
      </c>
      <c r="E736" s="4">
        <f>'Raw Data'!E736</f>
        <v>4</v>
      </c>
      <c r="F736" s="4">
        <f>'Raw Data'!F736</f>
        <v>224.61</v>
      </c>
      <c r="G736" s="4" t="str">
        <f>'Raw Data'!G736</f>
        <v>630 Main St</v>
      </c>
      <c r="H736" s="4" t="str">
        <f>'Raw Data'!H736</f>
        <v>Credit Card</v>
      </c>
      <c r="I736" s="4" t="str">
        <f>'Raw Data'!I736</f>
        <v>Returned</v>
      </c>
      <c r="J736" s="4" t="str">
        <f>'Raw Data'!J736</f>
        <v>TRK19767885</v>
      </c>
      <c r="K736" s="4">
        <f>'Raw Data'!K736</f>
        <v>6</v>
      </c>
      <c r="L736" s="4" t="str">
        <f>IF('Raw Data'!L736="","No Coupon",'Raw Data'!L736)</f>
        <v>WINTER15</v>
      </c>
      <c r="M736" s="4" t="str">
        <f>'Raw Data'!M736</f>
        <v>Facebook</v>
      </c>
      <c r="N736" s="4">
        <f>'Raw Data'!N736</f>
        <v>898.44</v>
      </c>
    </row>
    <row r="737" spans="1:14" ht="15" customHeight="1" x14ac:dyDescent="0.2">
      <c r="A737" s="4" t="str">
        <f>'Raw Data'!A737</f>
        <v>ORD200735</v>
      </c>
      <c r="B737" s="6">
        <f>'Raw Data'!B737</f>
        <v>45471</v>
      </c>
      <c r="C737" s="4" t="str">
        <f>'Raw Data'!C737</f>
        <v>C94508</v>
      </c>
      <c r="D737" s="4" t="str">
        <f>'Raw Data'!D737</f>
        <v>Monitor</v>
      </c>
      <c r="E737" s="4">
        <f>'Raw Data'!E737</f>
        <v>4</v>
      </c>
      <c r="F737" s="4">
        <f>'Raw Data'!F737</f>
        <v>44.07</v>
      </c>
      <c r="G737" s="4" t="str">
        <f>'Raw Data'!G737</f>
        <v>359 Main St</v>
      </c>
      <c r="H737" s="4" t="str">
        <f>'Raw Data'!H737</f>
        <v>Debit Card</v>
      </c>
      <c r="I737" s="4" t="str">
        <f>'Raw Data'!I737</f>
        <v>Pending</v>
      </c>
      <c r="J737" s="4" t="str">
        <f>'Raw Data'!J737</f>
        <v>TRK13443264</v>
      </c>
      <c r="K737" s="4">
        <f>'Raw Data'!K737</f>
        <v>6</v>
      </c>
      <c r="L737" s="4" t="str">
        <f>IF('Raw Data'!L737="","No Coupon",'Raw Data'!L737)</f>
        <v>No Coupon</v>
      </c>
      <c r="M737" s="4" t="str">
        <f>'Raw Data'!M737</f>
        <v>Email</v>
      </c>
      <c r="N737" s="4">
        <f>'Raw Data'!N737</f>
        <v>176.28</v>
      </c>
    </row>
    <row r="738" spans="1:14" ht="15" customHeight="1" x14ac:dyDescent="0.2">
      <c r="A738" s="4" t="str">
        <f>'Raw Data'!A738</f>
        <v>ORD200736</v>
      </c>
      <c r="B738" s="6">
        <f>'Raw Data'!B738</f>
        <v>45331</v>
      </c>
      <c r="C738" s="4" t="str">
        <f>'Raw Data'!C738</f>
        <v>C59441</v>
      </c>
      <c r="D738" s="4" t="str">
        <f>'Raw Data'!D738</f>
        <v>Monitor</v>
      </c>
      <c r="E738" s="4">
        <f>'Raw Data'!E738</f>
        <v>5</v>
      </c>
      <c r="F738" s="4">
        <f>'Raw Data'!F738</f>
        <v>418.53</v>
      </c>
      <c r="G738" s="4" t="str">
        <f>'Raw Data'!G738</f>
        <v>696 Main St</v>
      </c>
      <c r="H738" s="4" t="str">
        <f>'Raw Data'!H738</f>
        <v>Credit Card</v>
      </c>
      <c r="I738" s="4" t="str">
        <f>'Raw Data'!I738</f>
        <v>Pending</v>
      </c>
      <c r="J738" s="4" t="str">
        <f>'Raw Data'!J738</f>
        <v>TRK66186874</v>
      </c>
      <c r="K738" s="4">
        <f>'Raw Data'!K738</f>
        <v>6</v>
      </c>
      <c r="L738" s="4" t="str">
        <f>IF('Raw Data'!L738="","No Coupon",'Raw Data'!L738)</f>
        <v>FREESHIP</v>
      </c>
      <c r="M738" s="4" t="str">
        <f>'Raw Data'!M738</f>
        <v>Google</v>
      </c>
      <c r="N738" s="4">
        <f>'Raw Data'!N738</f>
        <v>2092.65</v>
      </c>
    </row>
    <row r="739" spans="1:14" ht="15" customHeight="1" x14ac:dyDescent="0.2">
      <c r="A739" s="4" t="str">
        <f>'Raw Data'!A739</f>
        <v>ORD200737</v>
      </c>
      <c r="B739" s="6">
        <f>'Raw Data'!B739</f>
        <v>45294</v>
      </c>
      <c r="C739" s="4" t="str">
        <f>'Raw Data'!C739</f>
        <v>C91029</v>
      </c>
      <c r="D739" s="4" t="str">
        <f>'Raw Data'!D739</f>
        <v>Phone</v>
      </c>
      <c r="E739" s="4">
        <f>'Raw Data'!E739</f>
        <v>4</v>
      </c>
      <c r="F739" s="4">
        <f>'Raw Data'!F739</f>
        <v>532.87</v>
      </c>
      <c r="G739" s="4" t="str">
        <f>'Raw Data'!G739</f>
        <v>972 Main St</v>
      </c>
      <c r="H739" s="4" t="str">
        <f>'Raw Data'!H739</f>
        <v>Cash</v>
      </c>
      <c r="I739" s="4" t="str">
        <f>'Raw Data'!I739</f>
        <v>Pending</v>
      </c>
      <c r="J739" s="4" t="str">
        <f>'Raw Data'!J739</f>
        <v>TRK25501930</v>
      </c>
      <c r="K739" s="4">
        <f>'Raw Data'!K739</f>
        <v>9</v>
      </c>
      <c r="L739" s="4" t="str">
        <f>IF('Raw Data'!L739="","No Coupon",'Raw Data'!L739)</f>
        <v>FREESHIP</v>
      </c>
      <c r="M739" s="4" t="str">
        <f>'Raw Data'!M739</f>
        <v>Instagram</v>
      </c>
      <c r="N739" s="4">
        <f>'Raw Data'!N739</f>
        <v>2131.48</v>
      </c>
    </row>
    <row r="740" spans="1:14" ht="15" customHeight="1" x14ac:dyDescent="0.2">
      <c r="A740" s="4" t="str">
        <f>'Raw Data'!A740</f>
        <v>ORD200738</v>
      </c>
      <c r="B740" s="6">
        <f>'Raw Data'!B740</f>
        <v>45812</v>
      </c>
      <c r="C740" s="4" t="str">
        <f>'Raw Data'!C740</f>
        <v>C96261</v>
      </c>
      <c r="D740" s="4" t="str">
        <f>'Raw Data'!D740</f>
        <v>Phone</v>
      </c>
      <c r="E740" s="4">
        <f>'Raw Data'!E740</f>
        <v>2</v>
      </c>
      <c r="F740" s="4">
        <f>'Raw Data'!F740</f>
        <v>485.37</v>
      </c>
      <c r="G740" s="4" t="str">
        <f>'Raw Data'!G740</f>
        <v>264 Main St</v>
      </c>
      <c r="H740" s="4" t="str">
        <f>'Raw Data'!H740</f>
        <v>Credit Card</v>
      </c>
      <c r="I740" s="4" t="str">
        <f>'Raw Data'!I740</f>
        <v>Shipped</v>
      </c>
      <c r="J740" s="4" t="str">
        <f>'Raw Data'!J740</f>
        <v>TRK44998396</v>
      </c>
      <c r="K740" s="4">
        <f>'Raw Data'!K740</f>
        <v>5</v>
      </c>
      <c r="L740" s="4" t="str">
        <f>IF('Raw Data'!L740="","No Coupon",'Raw Data'!L740)</f>
        <v>SAVE10</v>
      </c>
      <c r="M740" s="4" t="str">
        <f>'Raw Data'!M740</f>
        <v>Email</v>
      </c>
      <c r="N740" s="4">
        <f>'Raw Data'!N740</f>
        <v>970.74</v>
      </c>
    </row>
    <row r="741" spans="1:14" ht="15" customHeight="1" x14ac:dyDescent="0.2">
      <c r="A741" s="4" t="str">
        <f>'Raw Data'!A741</f>
        <v>ORD200739</v>
      </c>
      <c r="B741" s="6">
        <f>'Raw Data'!B741</f>
        <v>45456</v>
      </c>
      <c r="C741" s="4" t="str">
        <f>'Raw Data'!C741</f>
        <v>C35123</v>
      </c>
      <c r="D741" s="4" t="str">
        <f>'Raw Data'!D741</f>
        <v>Phone</v>
      </c>
      <c r="E741" s="4">
        <f>'Raw Data'!E741</f>
        <v>4</v>
      </c>
      <c r="F741" s="4">
        <f>'Raw Data'!F741</f>
        <v>386.73</v>
      </c>
      <c r="G741" s="4" t="str">
        <f>'Raw Data'!G741</f>
        <v>513 Main St</v>
      </c>
      <c r="H741" s="4" t="str">
        <f>'Raw Data'!H741</f>
        <v>Cash</v>
      </c>
      <c r="I741" s="4" t="str">
        <f>'Raw Data'!I741</f>
        <v>Delivered</v>
      </c>
      <c r="J741" s="4" t="str">
        <f>'Raw Data'!J741</f>
        <v>TRK58979275</v>
      </c>
      <c r="K741" s="4">
        <f>'Raw Data'!K741</f>
        <v>4</v>
      </c>
      <c r="L741" s="4" t="str">
        <f>IF('Raw Data'!L741="","No Coupon",'Raw Data'!L741)</f>
        <v>SAVE10</v>
      </c>
      <c r="M741" s="4" t="str">
        <f>'Raw Data'!M741</f>
        <v>Facebook</v>
      </c>
      <c r="N741" s="4">
        <f>'Raw Data'!N741</f>
        <v>1546.92</v>
      </c>
    </row>
    <row r="742" spans="1:14" ht="15" customHeight="1" x14ac:dyDescent="0.2">
      <c r="A742" s="4" t="str">
        <f>'Raw Data'!A742</f>
        <v>ORD200740</v>
      </c>
      <c r="B742" s="6">
        <f>'Raw Data'!B742</f>
        <v>45493</v>
      </c>
      <c r="C742" s="4" t="str">
        <f>'Raw Data'!C742</f>
        <v>C10892</v>
      </c>
      <c r="D742" s="4" t="str">
        <f>'Raw Data'!D742</f>
        <v>Desk</v>
      </c>
      <c r="E742" s="4">
        <f>'Raw Data'!E742</f>
        <v>2</v>
      </c>
      <c r="F742" s="4">
        <f>'Raw Data'!F742</f>
        <v>377.47</v>
      </c>
      <c r="G742" s="4" t="str">
        <f>'Raw Data'!G742</f>
        <v>433 Main St</v>
      </c>
      <c r="H742" s="4" t="str">
        <f>'Raw Data'!H742</f>
        <v>Cash</v>
      </c>
      <c r="I742" s="4" t="str">
        <f>'Raw Data'!I742</f>
        <v>Pending</v>
      </c>
      <c r="J742" s="4" t="str">
        <f>'Raw Data'!J742</f>
        <v>TRK76154554</v>
      </c>
      <c r="K742" s="4">
        <f>'Raw Data'!K742</f>
        <v>7</v>
      </c>
      <c r="L742" s="4" t="str">
        <f>IF('Raw Data'!L742="","No Coupon",'Raw Data'!L742)</f>
        <v>No Coupon</v>
      </c>
      <c r="M742" s="4" t="str">
        <f>'Raw Data'!M742</f>
        <v>Google</v>
      </c>
      <c r="N742" s="4">
        <f>'Raw Data'!N742</f>
        <v>754.94</v>
      </c>
    </row>
    <row r="743" spans="1:14" ht="15" customHeight="1" x14ac:dyDescent="0.2">
      <c r="A743" s="4" t="str">
        <f>'Raw Data'!A743</f>
        <v>ORD200741</v>
      </c>
      <c r="B743" s="6">
        <f>'Raw Data'!B743</f>
        <v>45680</v>
      </c>
      <c r="C743" s="4" t="str">
        <f>'Raw Data'!C743</f>
        <v>C99683</v>
      </c>
      <c r="D743" s="4" t="str">
        <f>'Raw Data'!D743</f>
        <v>Monitor</v>
      </c>
      <c r="E743" s="4">
        <f>'Raw Data'!E743</f>
        <v>5</v>
      </c>
      <c r="F743" s="4">
        <f>'Raw Data'!F743</f>
        <v>332.64</v>
      </c>
      <c r="G743" s="4" t="str">
        <f>'Raw Data'!G743</f>
        <v>945 Main St</v>
      </c>
      <c r="H743" s="4" t="str">
        <f>'Raw Data'!H743</f>
        <v>Gift Card</v>
      </c>
      <c r="I743" s="4" t="str">
        <f>'Raw Data'!I743</f>
        <v>Delivered</v>
      </c>
      <c r="J743" s="4" t="str">
        <f>'Raw Data'!J743</f>
        <v>TRK87305883</v>
      </c>
      <c r="K743" s="4">
        <f>'Raw Data'!K743</f>
        <v>10</v>
      </c>
      <c r="L743" s="4" t="str">
        <f>IF('Raw Data'!L743="","No Coupon",'Raw Data'!L743)</f>
        <v>No Coupon</v>
      </c>
      <c r="M743" s="4" t="str">
        <f>'Raw Data'!M743</f>
        <v>Referral</v>
      </c>
      <c r="N743" s="4">
        <f>'Raw Data'!N743</f>
        <v>1663.2</v>
      </c>
    </row>
    <row r="744" spans="1:14" ht="15" customHeight="1" x14ac:dyDescent="0.2">
      <c r="A744" s="4" t="str">
        <f>'Raw Data'!A744</f>
        <v>ORD200742</v>
      </c>
      <c r="B744" s="6">
        <f>'Raw Data'!B744</f>
        <v>45626</v>
      </c>
      <c r="C744" s="4" t="str">
        <f>'Raw Data'!C744</f>
        <v>C41974</v>
      </c>
      <c r="D744" s="4" t="str">
        <f>'Raw Data'!D744</f>
        <v>Laptop</v>
      </c>
      <c r="E744" s="4">
        <f>'Raw Data'!E744</f>
        <v>3</v>
      </c>
      <c r="F744" s="4">
        <f>'Raw Data'!F744</f>
        <v>699.93</v>
      </c>
      <c r="G744" s="4" t="str">
        <f>'Raw Data'!G744</f>
        <v>726 Main St</v>
      </c>
      <c r="H744" s="4" t="str">
        <f>'Raw Data'!H744</f>
        <v>Cash</v>
      </c>
      <c r="I744" s="4" t="str">
        <f>'Raw Data'!I744</f>
        <v>Returned</v>
      </c>
      <c r="J744" s="4" t="str">
        <f>'Raw Data'!J744</f>
        <v>TRK48051468</v>
      </c>
      <c r="K744" s="4">
        <f>'Raw Data'!K744</f>
        <v>7</v>
      </c>
      <c r="L744" s="4" t="str">
        <f>IF('Raw Data'!L744="","No Coupon",'Raw Data'!L744)</f>
        <v>SAVE10</v>
      </c>
      <c r="M744" s="4" t="str">
        <f>'Raw Data'!M744</f>
        <v>Google</v>
      </c>
      <c r="N744" s="4">
        <f>'Raw Data'!N744</f>
        <v>2099.79</v>
      </c>
    </row>
    <row r="745" spans="1:14" ht="15" customHeight="1" x14ac:dyDescent="0.2">
      <c r="A745" s="4" t="str">
        <f>'Raw Data'!A745</f>
        <v>ORD200743</v>
      </c>
      <c r="B745" s="6">
        <f>'Raw Data'!B745</f>
        <v>45565</v>
      </c>
      <c r="C745" s="4" t="str">
        <f>'Raw Data'!C745</f>
        <v>C23978</v>
      </c>
      <c r="D745" s="4" t="str">
        <f>'Raw Data'!D745</f>
        <v>Monitor</v>
      </c>
      <c r="E745" s="4">
        <f>'Raw Data'!E745</f>
        <v>1</v>
      </c>
      <c r="F745" s="4">
        <f>'Raw Data'!F745</f>
        <v>576.35</v>
      </c>
      <c r="G745" s="4" t="str">
        <f>'Raw Data'!G745</f>
        <v>549 Main St</v>
      </c>
      <c r="H745" s="4" t="str">
        <f>'Raw Data'!H745</f>
        <v>Gift Card</v>
      </c>
      <c r="I745" s="4" t="str">
        <f>'Raw Data'!I745</f>
        <v>Returned</v>
      </c>
      <c r="J745" s="4" t="str">
        <f>'Raw Data'!J745</f>
        <v>TRK87090813</v>
      </c>
      <c r="K745" s="4">
        <f>'Raw Data'!K745</f>
        <v>1</v>
      </c>
      <c r="L745" s="4" t="str">
        <f>IF('Raw Data'!L745="","No Coupon",'Raw Data'!L745)</f>
        <v>WINTER15</v>
      </c>
      <c r="M745" s="4" t="str">
        <f>'Raw Data'!M745</f>
        <v>Instagram</v>
      </c>
      <c r="N745" s="4">
        <f>'Raw Data'!N745</f>
        <v>576.35</v>
      </c>
    </row>
    <row r="746" spans="1:14" ht="15" customHeight="1" x14ac:dyDescent="0.2">
      <c r="A746" s="4" t="str">
        <f>'Raw Data'!A746</f>
        <v>ORD200744</v>
      </c>
      <c r="B746" s="6">
        <f>'Raw Data'!B746</f>
        <v>45455</v>
      </c>
      <c r="C746" s="4" t="str">
        <f>'Raw Data'!C746</f>
        <v>C10642</v>
      </c>
      <c r="D746" s="4" t="str">
        <f>'Raw Data'!D746</f>
        <v>Tablet</v>
      </c>
      <c r="E746" s="4">
        <f>'Raw Data'!E746</f>
        <v>2</v>
      </c>
      <c r="F746" s="4">
        <f>'Raw Data'!F746</f>
        <v>461.37</v>
      </c>
      <c r="G746" s="4" t="str">
        <f>'Raw Data'!G746</f>
        <v>200 Main St</v>
      </c>
      <c r="H746" s="4" t="str">
        <f>'Raw Data'!H746</f>
        <v>Cash</v>
      </c>
      <c r="I746" s="4" t="str">
        <f>'Raw Data'!I746</f>
        <v>Delivered</v>
      </c>
      <c r="J746" s="4" t="str">
        <f>'Raw Data'!J746</f>
        <v>TRK98725693</v>
      </c>
      <c r="K746" s="4">
        <f>'Raw Data'!K746</f>
        <v>5</v>
      </c>
      <c r="L746" s="4" t="str">
        <f>IF('Raw Data'!L746="","No Coupon",'Raw Data'!L746)</f>
        <v>SAVE10</v>
      </c>
      <c r="M746" s="4" t="str">
        <f>'Raw Data'!M746</f>
        <v>Google</v>
      </c>
      <c r="N746" s="4">
        <f>'Raw Data'!N746</f>
        <v>922.74</v>
      </c>
    </row>
    <row r="747" spans="1:14" ht="15" customHeight="1" x14ac:dyDescent="0.2">
      <c r="A747" s="4" t="str">
        <f>'Raw Data'!A747</f>
        <v>ORD200745</v>
      </c>
      <c r="B747" s="6">
        <f>'Raw Data'!B747</f>
        <v>44987</v>
      </c>
      <c r="C747" s="4" t="str">
        <f>'Raw Data'!C747</f>
        <v>C73813</v>
      </c>
      <c r="D747" s="4" t="str">
        <f>'Raw Data'!D747</f>
        <v>Printer</v>
      </c>
      <c r="E747" s="4">
        <f>'Raw Data'!E747</f>
        <v>4</v>
      </c>
      <c r="F747" s="4">
        <f>'Raw Data'!F747</f>
        <v>111.3</v>
      </c>
      <c r="G747" s="4" t="str">
        <f>'Raw Data'!G747</f>
        <v>364 Main St</v>
      </c>
      <c r="H747" s="4" t="str">
        <f>'Raw Data'!H747</f>
        <v>Debit Card</v>
      </c>
      <c r="I747" s="4" t="str">
        <f>'Raw Data'!I747</f>
        <v>Pending</v>
      </c>
      <c r="J747" s="4" t="str">
        <f>'Raw Data'!J747</f>
        <v>TRK89906749</v>
      </c>
      <c r="K747" s="4">
        <f>'Raw Data'!K747</f>
        <v>7</v>
      </c>
      <c r="L747" s="4" t="str">
        <f>IF('Raw Data'!L747="","No Coupon",'Raw Data'!L747)</f>
        <v>FREESHIP</v>
      </c>
      <c r="M747" s="4" t="str">
        <f>'Raw Data'!M747</f>
        <v>Email</v>
      </c>
      <c r="N747" s="4">
        <f>'Raw Data'!N747</f>
        <v>445.2</v>
      </c>
    </row>
    <row r="748" spans="1:14" ht="15" customHeight="1" x14ac:dyDescent="0.2">
      <c r="A748" s="4" t="str">
        <f>'Raw Data'!A748</f>
        <v>ORD200746</v>
      </c>
      <c r="B748" s="6">
        <f>'Raw Data'!B748</f>
        <v>45712</v>
      </c>
      <c r="C748" s="4" t="str">
        <f>'Raw Data'!C748</f>
        <v>C32183</v>
      </c>
      <c r="D748" s="4" t="str">
        <f>'Raw Data'!D748</f>
        <v>Desk</v>
      </c>
      <c r="E748" s="4">
        <f>'Raw Data'!E748</f>
        <v>3</v>
      </c>
      <c r="F748" s="4">
        <f>'Raw Data'!F748</f>
        <v>661.89</v>
      </c>
      <c r="G748" s="4" t="str">
        <f>'Raw Data'!G748</f>
        <v>551 Main St</v>
      </c>
      <c r="H748" s="4" t="str">
        <f>'Raw Data'!H748</f>
        <v>Online</v>
      </c>
      <c r="I748" s="4" t="str">
        <f>'Raw Data'!I748</f>
        <v>Cancelled</v>
      </c>
      <c r="J748" s="4" t="str">
        <f>'Raw Data'!J748</f>
        <v>TRK76287027</v>
      </c>
      <c r="K748" s="4">
        <f>'Raw Data'!K748</f>
        <v>6</v>
      </c>
      <c r="L748" s="4" t="str">
        <f>IF('Raw Data'!L748="","No Coupon",'Raw Data'!L748)</f>
        <v>WINTER15</v>
      </c>
      <c r="M748" s="4" t="str">
        <f>'Raw Data'!M748</f>
        <v>Referral</v>
      </c>
      <c r="N748" s="4">
        <f>'Raw Data'!N748</f>
        <v>1985.67</v>
      </c>
    </row>
    <row r="749" spans="1:14" ht="15" customHeight="1" x14ac:dyDescent="0.2">
      <c r="A749" s="4" t="str">
        <f>'Raw Data'!A749</f>
        <v>ORD200747</v>
      </c>
      <c r="B749" s="6">
        <f>'Raw Data'!B749</f>
        <v>45728</v>
      </c>
      <c r="C749" s="4" t="str">
        <f>'Raw Data'!C749</f>
        <v>C54277</v>
      </c>
      <c r="D749" s="4" t="str">
        <f>'Raw Data'!D749</f>
        <v>Tablet</v>
      </c>
      <c r="E749" s="4">
        <f>'Raw Data'!E749</f>
        <v>2</v>
      </c>
      <c r="F749" s="4">
        <f>'Raw Data'!F749</f>
        <v>259.58</v>
      </c>
      <c r="G749" s="4" t="str">
        <f>'Raw Data'!G749</f>
        <v>940 Main St</v>
      </c>
      <c r="H749" s="4" t="str">
        <f>'Raw Data'!H749</f>
        <v>Debit Card</v>
      </c>
      <c r="I749" s="4" t="str">
        <f>'Raw Data'!I749</f>
        <v>Delivered</v>
      </c>
      <c r="J749" s="4" t="str">
        <f>'Raw Data'!J749</f>
        <v>TRK26500181</v>
      </c>
      <c r="K749" s="4">
        <f>'Raw Data'!K749</f>
        <v>7</v>
      </c>
      <c r="L749" s="4" t="str">
        <f>IF('Raw Data'!L749="","No Coupon",'Raw Data'!L749)</f>
        <v>FREESHIP</v>
      </c>
      <c r="M749" s="4" t="str">
        <f>'Raw Data'!M749</f>
        <v>Instagram</v>
      </c>
      <c r="N749" s="4">
        <f>'Raw Data'!N749</f>
        <v>519.16</v>
      </c>
    </row>
    <row r="750" spans="1:14" ht="15" customHeight="1" x14ac:dyDescent="0.2">
      <c r="A750" s="4" t="str">
        <f>'Raw Data'!A750</f>
        <v>ORD200748</v>
      </c>
      <c r="B750" s="6">
        <f>'Raw Data'!B750</f>
        <v>45488</v>
      </c>
      <c r="C750" s="4" t="str">
        <f>'Raw Data'!C750</f>
        <v>C56553</v>
      </c>
      <c r="D750" s="4" t="str">
        <f>'Raw Data'!D750</f>
        <v>Tablet</v>
      </c>
      <c r="E750" s="4">
        <f>'Raw Data'!E750</f>
        <v>3</v>
      </c>
      <c r="F750" s="4">
        <f>'Raw Data'!F750</f>
        <v>70.81</v>
      </c>
      <c r="G750" s="4" t="str">
        <f>'Raw Data'!G750</f>
        <v>249 Main St</v>
      </c>
      <c r="H750" s="4" t="str">
        <f>'Raw Data'!H750</f>
        <v>Credit Card</v>
      </c>
      <c r="I750" s="4" t="str">
        <f>'Raw Data'!I750</f>
        <v>Shipped</v>
      </c>
      <c r="J750" s="4" t="str">
        <f>'Raw Data'!J750</f>
        <v>TRK37667360</v>
      </c>
      <c r="K750" s="4">
        <f>'Raw Data'!K750</f>
        <v>8</v>
      </c>
      <c r="L750" s="4" t="str">
        <f>IF('Raw Data'!L750="","No Coupon",'Raw Data'!L750)</f>
        <v>FREESHIP</v>
      </c>
      <c r="M750" s="4" t="str">
        <f>'Raw Data'!M750</f>
        <v>Referral</v>
      </c>
      <c r="N750" s="4">
        <f>'Raw Data'!N750</f>
        <v>212.43</v>
      </c>
    </row>
    <row r="751" spans="1:14" ht="15" customHeight="1" x14ac:dyDescent="0.2">
      <c r="A751" s="4" t="str">
        <f>'Raw Data'!A751</f>
        <v>ORD200749</v>
      </c>
      <c r="B751" s="6">
        <f>'Raw Data'!B751</f>
        <v>45760</v>
      </c>
      <c r="C751" s="4" t="str">
        <f>'Raw Data'!C751</f>
        <v>C17551</v>
      </c>
      <c r="D751" s="4" t="str">
        <f>'Raw Data'!D751</f>
        <v>Laptop</v>
      </c>
      <c r="E751" s="4">
        <f>'Raw Data'!E751</f>
        <v>1</v>
      </c>
      <c r="F751" s="4">
        <f>'Raw Data'!F751</f>
        <v>518.39</v>
      </c>
      <c r="G751" s="4" t="str">
        <f>'Raw Data'!G751</f>
        <v>997 Main St</v>
      </c>
      <c r="H751" s="4" t="str">
        <f>'Raw Data'!H751</f>
        <v>Debit Card</v>
      </c>
      <c r="I751" s="4" t="str">
        <f>'Raw Data'!I751</f>
        <v>Pending</v>
      </c>
      <c r="J751" s="4" t="str">
        <f>'Raw Data'!J751</f>
        <v>TRK88797170</v>
      </c>
      <c r="K751" s="4">
        <f>'Raw Data'!K751</f>
        <v>4</v>
      </c>
      <c r="L751" s="4" t="str">
        <f>IF('Raw Data'!L751="","No Coupon",'Raw Data'!L751)</f>
        <v>FREESHIP</v>
      </c>
      <c r="M751" s="4" t="str">
        <f>'Raw Data'!M751</f>
        <v>Instagram</v>
      </c>
      <c r="N751" s="4">
        <f>'Raw Data'!N751</f>
        <v>518.39</v>
      </c>
    </row>
    <row r="752" spans="1:14" ht="15" customHeight="1" x14ac:dyDescent="0.2">
      <c r="A752" s="4" t="str">
        <f>'Raw Data'!A752</f>
        <v>ORD200750</v>
      </c>
      <c r="B752" s="6">
        <f>'Raw Data'!B752</f>
        <v>44940</v>
      </c>
      <c r="C752" s="4" t="str">
        <f>'Raw Data'!C752</f>
        <v>C14737</v>
      </c>
      <c r="D752" s="4" t="str">
        <f>'Raw Data'!D752</f>
        <v>Tablet</v>
      </c>
      <c r="E752" s="4">
        <f>'Raw Data'!E752</f>
        <v>4</v>
      </c>
      <c r="F752" s="4">
        <f>'Raw Data'!F752</f>
        <v>145.41</v>
      </c>
      <c r="G752" s="4" t="str">
        <f>'Raw Data'!G752</f>
        <v>637 Main St</v>
      </c>
      <c r="H752" s="4" t="str">
        <f>'Raw Data'!H752</f>
        <v>Credit Card</v>
      </c>
      <c r="I752" s="4" t="str">
        <f>'Raw Data'!I752</f>
        <v>Returned</v>
      </c>
      <c r="J752" s="4" t="str">
        <f>'Raw Data'!J752</f>
        <v>TRK10295115</v>
      </c>
      <c r="K752" s="4">
        <f>'Raw Data'!K752</f>
        <v>7</v>
      </c>
      <c r="L752" s="4" t="str">
        <f>IF('Raw Data'!L752="","No Coupon",'Raw Data'!L752)</f>
        <v>FREESHIP</v>
      </c>
      <c r="M752" s="4" t="str">
        <f>'Raw Data'!M752</f>
        <v>Email</v>
      </c>
      <c r="N752" s="4">
        <f>'Raw Data'!N752</f>
        <v>581.64</v>
      </c>
    </row>
    <row r="753" spans="1:14" ht="15" customHeight="1" x14ac:dyDescent="0.2">
      <c r="A753" s="4" t="str">
        <f>'Raw Data'!A753</f>
        <v>ORD200751</v>
      </c>
      <c r="B753" s="6">
        <f>'Raw Data'!B753</f>
        <v>44950</v>
      </c>
      <c r="C753" s="4" t="str">
        <f>'Raw Data'!C753</f>
        <v>C35168</v>
      </c>
      <c r="D753" s="4" t="str">
        <f>'Raw Data'!D753</f>
        <v>Tablet</v>
      </c>
      <c r="E753" s="4">
        <f>'Raw Data'!E753</f>
        <v>2</v>
      </c>
      <c r="F753" s="4">
        <f>'Raw Data'!F753</f>
        <v>599.86</v>
      </c>
      <c r="G753" s="4" t="str">
        <f>'Raw Data'!G753</f>
        <v>455 Main St</v>
      </c>
      <c r="H753" s="4" t="str">
        <f>'Raw Data'!H753</f>
        <v>Gift Card</v>
      </c>
      <c r="I753" s="4" t="str">
        <f>'Raw Data'!I753</f>
        <v>Pending</v>
      </c>
      <c r="J753" s="4" t="str">
        <f>'Raw Data'!J753</f>
        <v>TRK76960854</v>
      </c>
      <c r="K753" s="4">
        <f>'Raw Data'!K753</f>
        <v>7</v>
      </c>
      <c r="L753" s="4" t="str">
        <f>IF('Raw Data'!L753="","No Coupon",'Raw Data'!L753)</f>
        <v>FREESHIP</v>
      </c>
      <c r="M753" s="4" t="str">
        <f>'Raw Data'!M753</f>
        <v>Facebook</v>
      </c>
      <c r="N753" s="4">
        <f>'Raw Data'!N753</f>
        <v>1199.72</v>
      </c>
    </row>
    <row r="754" spans="1:14" ht="15" customHeight="1" x14ac:dyDescent="0.2">
      <c r="A754" s="4" t="str">
        <f>'Raw Data'!A754</f>
        <v>ORD200752</v>
      </c>
      <c r="B754" s="6">
        <f>'Raw Data'!B754</f>
        <v>45568</v>
      </c>
      <c r="C754" s="4" t="str">
        <f>'Raw Data'!C754</f>
        <v>C82217</v>
      </c>
      <c r="D754" s="4" t="str">
        <f>'Raw Data'!D754</f>
        <v>Phone</v>
      </c>
      <c r="E754" s="4">
        <f>'Raw Data'!E754</f>
        <v>4</v>
      </c>
      <c r="F754" s="4">
        <f>'Raw Data'!F754</f>
        <v>429.37</v>
      </c>
      <c r="G754" s="4" t="str">
        <f>'Raw Data'!G754</f>
        <v>299 Main St</v>
      </c>
      <c r="H754" s="4" t="str">
        <f>'Raw Data'!H754</f>
        <v>Credit Card</v>
      </c>
      <c r="I754" s="4" t="str">
        <f>'Raw Data'!I754</f>
        <v>Delivered</v>
      </c>
      <c r="J754" s="4" t="str">
        <f>'Raw Data'!J754</f>
        <v>TRK33305694</v>
      </c>
      <c r="K754" s="4">
        <f>'Raw Data'!K754</f>
        <v>8</v>
      </c>
      <c r="L754" s="4" t="str">
        <f>IF('Raw Data'!L754="","No Coupon",'Raw Data'!L754)</f>
        <v>FREESHIP</v>
      </c>
      <c r="M754" s="4" t="str">
        <f>'Raw Data'!M754</f>
        <v>Google</v>
      </c>
      <c r="N754" s="4">
        <f>'Raw Data'!N754</f>
        <v>1717.48</v>
      </c>
    </row>
    <row r="755" spans="1:14" ht="15" customHeight="1" x14ac:dyDescent="0.2">
      <c r="A755" s="4" t="str">
        <f>'Raw Data'!A755</f>
        <v>ORD200753</v>
      </c>
      <c r="B755" s="6">
        <f>'Raw Data'!B755</f>
        <v>45406</v>
      </c>
      <c r="C755" s="4" t="str">
        <f>'Raw Data'!C755</f>
        <v>C42270</v>
      </c>
      <c r="D755" s="4" t="str">
        <f>'Raw Data'!D755</f>
        <v>Phone</v>
      </c>
      <c r="E755" s="4">
        <f>'Raw Data'!E755</f>
        <v>2</v>
      </c>
      <c r="F755" s="4">
        <f>'Raw Data'!F755</f>
        <v>241.49</v>
      </c>
      <c r="G755" s="4" t="str">
        <f>'Raw Data'!G755</f>
        <v>864 Main St</v>
      </c>
      <c r="H755" s="4" t="str">
        <f>'Raw Data'!H755</f>
        <v>Debit Card</v>
      </c>
      <c r="I755" s="4" t="str">
        <f>'Raw Data'!I755</f>
        <v>Returned</v>
      </c>
      <c r="J755" s="4" t="str">
        <f>'Raw Data'!J755</f>
        <v>TRK72697796</v>
      </c>
      <c r="K755" s="4">
        <f>'Raw Data'!K755</f>
        <v>7</v>
      </c>
      <c r="L755" s="4" t="str">
        <f>IF('Raw Data'!L755="","No Coupon",'Raw Data'!L755)</f>
        <v>FREESHIP</v>
      </c>
      <c r="M755" s="4" t="str">
        <f>'Raw Data'!M755</f>
        <v>Instagram</v>
      </c>
      <c r="N755" s="4">
        <f>'Raw Data'!N755</f>
        <v>482.98</v>
      </c>
    </row>
    <row r="756" spans="1:14" ht="15" customHeight="1" x14ac:dyDescent="0.2">
      <c r="A756" s="4" t="str">
        <f>'Raw Data'!A756</f>
        <v>ORD200754</v>
      </c>
      <c r="B756" s="6">
        <f>'Raw Data'!B756</f>
        <v>45808</v>
      </c>
      <c r="C756" s="4" t="str">
        <f>'Raw Data'!C756</f>
        <v>C48846</v>
      </c>
      <c r="D756" s="4" t="str">
        <f>'Raw Data'!D756</f>
        <v>Printer</v>
      </c>
      <c r="E756" s="4">
        <f>'Raw Data'!E756</f>
        <v>2</v>
      </c>
      <c r="F756" s="4">
        <f>'Raw Data'!F756</f>
        <v>452.05</v>
      </c>
      <c r="G756" s="4" t="str">
        <f>'Raw Data'!G756</f>
        <v>983 Main St</v>
      </c>
      <c r="H756" s="4" t="str">
        <f>'Raw Data'!H756</f>
        <v>Credit Card</v>
      </c>
      <c r="I756" s="4" t="str">
        <f>'Raw Data'!I756</f>
        <v>Returned</v>
      </c>
      <c r="J756" s="4" t="str">
        <f>'Raw Data'!J756</f>
        <v>TRK52804097</v>
      </c>
      <c r="K756" s="4">
        <f>'Raw Data'!K756</f>
        <v>3</v>
      </c>
      <c r="L756" s="4" t="str">
        <f>IF('Raw Data'!L756="","No Coupon",'Raw Data'!L756)</f>
        <v>WINTER15</v>
      </c>
      <c r="M756" s="4" t="str">
        <f>'Raw Data'!M756</f>
        <v>Email</v>
      </c>
      <c r="N756" s="4">
        <f>'Raw Data'!N756</f>
        <v>904.1</v>
      </c>
    </row>
    <row r="757" spans="1:14" ht="15" customHeight="1" x14ac:dyDescent="0.2">
      <c r="A757" s="4" t="str">
        <f>'Raw Data'!A757</f>
        <v>ORD200755</v>
      </c>
      <c r="B757" s="6">
        <f>'Raw Data'!B757</f>
        <v>45090</v>
      </c>
      <c r="C757" s="4" t="str">
        <f>'Raw Data'!C757</f>
        <v>C54160</v>
      </c>
      <c r="D757" s="4" t="str">
        <f>'Raw Data'!D757</f>
        <v>Desk</v>
      </c>
      <c r="E757" s="4">
        <f>'Raw Data'!E757</f>
        <v>3</v>
      </c>
      <c r="F757" s="4">
        <f>'Raw Data'!F757</f>
        <v>336.71</v>
      </c>
      <c r="G757" s="4" t="str">
        <f>'Raw Data'!G757</f>
        <v>658 Main St</v>
      </c>
      <c r="H757" s="4" t="str">
        <f>'Raw Data'!H757</f>
        <v>Credit Card</v>
      </c>
      <c r="I757" s="4" t="str">
        <f>'Raw Data'!I757</f>
        <v>Pending</v>
      </c>
      <c r="J757" s="4" t="str">
        <f>'Raw Data'!J757</f>
        <v>TRK60515972</v>
      </c>
      <c r="K757" s="4">
        <f>'Raw Data'!K757</f>
        <v>4</v>
      </c>
      <c r="L757" s="4" t="str">
        <f>IF('Raw Data'!L757="","No Coupon",'Raw Data'!L757)</f>
        <v>No Coupon</v>
      </c>
      <c r="M757" s="4" t="str">
        <f>'Raw Data'!M757</f>
        <v>Email</v>
      </c>
      <c r="N757" s="4">
        <f>'Raw Data'!N757</f>
        <v>1010.13</v>
      </c>
    </row>
    <row r="758" spans="1:14" ht="15" customHeight="1" x14ac:dyDescent="0.2">
      <c r="A758" s="4" t="str">
        <f>'Raw Data'!A758</f>
        <v>ORD200756</v>
      </c>
      <c r="B758" s="6">
        <f>'Raw Data'!B758</f>
        <v>45470</v>
      </c>
      <c r="C758" s="4" t="str">
        <f>'Raw Data'!C758</f>
        <v>C14080</v>
      </c>
      <c r="D758" s="4" t="str">
        <f>'Raw Data'!D758</f>
        <v>Phone</v>
      </c>
      <c r="E758" s="4">
        <f>'Raw Data'!E758</f>
        <v>1</v>
      </c>
      <c r="F758" s="4">
        <f>'Raw Data'!F758</f>
        <v>283.69</v>
      </c>
      <c r="G758" s="4" t="str">
        <f>'Raw Data'!G758</f>
        <v>202 Main St</v>
      </c>
      <c r="H758" s="4" t="str">
        <f>'Raw Data'!H758</f>
        <v>Gift Card</v>
      </c>
      <c r="I758" s="4" t="str">
        <f>'Raw Data'!I758</f>
        <v>Shipped</v>
      </c>
      <c r="J758" s="4" t="str">
        <f>'Raw Data'!J758</f>
        <v>TRK93163682</v>
      </c>
      <c r="K758" s="4">
        <f>'Raw Data'!K758</f>
        <v>6</v>
      </c>
      <c r="L758" s="4" t="str">
        <f>IF('Raw Data'!L758="","No Coupon",'Raw Data'!L758)</f>
        <v>No Coupon</v>
      </c>
      <c r="M758" s="4" t="str">
        <f>'Raw Data'!M758</f>
        <v>Google</v>
      </c>
      <c r="N758" s="4">
        <f>'Raw Data'!N758</f>
        <v>283.69</v>
      </c>
    </row>
    <row r="759" spans="1:14" ht="15" customHeight="1" x14ac:dyDescent="0.2">
      <c r="A759" s="4" t="str">
        <f>'Raw Data'!A759</f>
        <v>ORD200757</v>
      </c>
      <c r="B759" s="6">
        <f>'Raw Data'!B759</f>
        <v>45344</v>
      </c>
      <c r="C759" s="4" t="str">
        <f>'Raw Data'!C759</f>
        <v>C81074</v>
      </c>
      <c r="D759" s="4" t="str">
        <f>'Raw Data'!D759</f>
        <v>Desk</v>
      </c>
      <c r="E759" s="4">
        <f>'Raw Data'!E759</f>
        <v>1</v>
      </c>
      <c r="F759" s="4">
        <f>'Raw Data'!F759</f>
        <v>157.72</v>
      </c>
      <c r="G759" s="4" t="str">
        <f>'Raw Data'!G759</f>
        <v>597 Main St</v>
      </c>
      <c r="H759" s="4" t="str">
        <f>'Raw Data'!H759</f>
        <v>Debit Card</v>
      </c>
      <c r="I759" s="4" t="str">
        <f>'Raw Data'!I759</f>
        <v>Delivered</v>
      </c>
      <c r="J759" s="4" t="str">
        <f>'Raw Data'!J759</f>
        <v>TRK91105190</v>
      </c>
      <c r="K759" s="4">
        <f>'Raw Data'!K759</f>
        <v>2</v>
      </c>
      <c r="L759" s="4" t="str">
        <f>IF('Raw Data'!L759="","No Coupon",'Raw Data'!L759)</f>
        <v>FREESHIP</v>
      </c>
      <c r="M759" s="4" t="str">
        <f>'Raw Data'!M759</f>
        <v>Google</v>
      </c>
      <c r="N759" s="4">
        <f>'Raw Data'!N759</f>
        <v>157.72</v>
      </c>
    </row>
    <row r="760" spans="1:14" ht="15" customHeight="1" x14ac:dyDescent="0.2">
      <c r="A760" s="4" t="str">
        <f>'Raw Data'!A760</f>
        <v>ORD200758</v>
      </c>
      <c r="B760" s="6">
        <f>'Raw Data'!B760</f>
        <v>45011</v>
      </c>
      <c r="C760" s="4" t="str">
        <f>'Raw Data'!C760</f>
        <v>C69021</v>
      </c>
      <c r="D760" s="4" t="str">
        <f>'Raw Data'!D760</f>
        <v>Tablet</v>
      </c>
      <c r="E760" s="4">
        <f>'Raw Data'!E760</f>
        <v>3</v>
      </c>
      <c r="F760" s="4">
        <f>'Raw Data'!F760</f>
        <v>624.84</v>
      </c>
      <c r="G760" s="4" t="str">
        <f>'Raw Data'!G760</f>
        <v>917 Main St</v>
      </c>
      <c r="H760" s="4" t="str">
        <f>'Raw Data'!H760</f>
        <v>Credit Card</v>
      </c>
      <c r="I760" s="4" t="str">
        <f>'Raw Data'!I760</f>
        <v>Cancelled</v>
      </c>
      <c r="J760" s="4" t="str">
        <f>'Raw Data'!J760</f>
        <v>TRK57148510</v>
      </c>
      <c r="K760" s="4">
        <f>'Raw Data'!K760</f>
        <v>8</v>
      </c>
      <c r="L760" s="4" t="str">
        <f>IF('Raw Data'!L760="","No Coupon",'Raw Data'!L760)</f>
        <v>WINTER15</v>
      </c>
      <c r="M760" s="4" t="str">
        <f>'Raw Data'!M760</f>
        <v>Facebook</v>
      </c>
      <c r="N760" s="4">
        <f>'Raw Data'!N760</f>
        <v>1874.52</v>
      </c>
    </row>
    <row r="761" spans="1:14" ht="15" customHeight="1" x14ac:dyDescent="0.2">
      <c r="A761" s="4" t="str">
        <f>'Raw Data'!A761</f>
        <v>ORD200759</v>
      </c>
      <c r="B761" s="6">
        <f>'Raw Data'!B761</f>
        <v>45131</v>
      </c>
      <c r="C761" s="4" t="str">
        <f>'Raw Data'!C761</f>
        <v>C96283</v>
      </c>
      <c r="D761" s="4" t="str">
        <f>'Raw Data'!D761</f>
        <v>Desk</v>
      </c>
      <c r="E761" s="4">
        <f>'Raw Data'!E761</f>
        <v>3</v>
      </c>
      <c r="F761" s="4">
        <f>'Raw Data'!F761</f>
        <v>308.01</v>
      </c>
      <c r="G761" s="4" t="str">
        <f>'Raw Data'!G761</f>
        <v>366 Main St</v>
      </c>
      <c r="H761" s="4" t="str">
        <f>'Raw Data'!H761</f>
        <v>Cash</v>
      </c>
      <c r="I761" s="4" t="str">
        <f>'Raw Data'!I761</f>
        <v>Pending</v>
      </c>
      <c r="J761" s="4" t="str">
        <f>'Raw Data'!J761</f>
        <v>TRK91784124</v>
      </c>
      <c r="K761" s="4">
        <f>'Raw Data'!K761</f>
        <v>3</v>
      </c>
      <c r="L761" s="4" t="str">
        <f>IF('Raw Data'!L761="","No Coupon",'Raw Data'!L761)</f>
        <v>FREESHIP</v>
      </c>
      <c r="M761" s="4" t="str">
        <f>'Raw Data'!M761</f>
        <v>Facebook</v>
      </c>
      <c r="N761" s="4">
        <f>'Raw Data'!N761</f>
        <v>924.03</v>
      </c>
    </row>
    <row r="762" spans="1:14" ht="15" customHeight="1" x14ac:dyDescent="0.2">
      <c r="A762" s="4" t="str">
        <f>'Raw Data'!A762</f>
        <v>ORD200760</v>
      </c>
      <c r="B762" s="6">
        <f>'Raw Data'!B762</f>
        <v>45706</v>
      </c>
      <c r="C762" s="4" t="str">
        <f>'Raw Data'!C762</f>
        <v>C96636</v>
      </c>
      <c r="D762" s="4" t="str">
        <f>'Raw Data'!D762</f>
        <v>Desk</v>
      </c>
      <c r="E762" s="4">
        <f>'Raw Data'!E762</f>
        <v>1</v>
      </c>
      <c r="F762" s="4">
        <f>'Raw Data'!F762</f>
        <v>39.56</v>
      </c>
      <c r="G762" s="4" t="str">
        <f>'Raw Data'!G762</f>
        <v>283 Main St</v>
      </c>
      <c r="H762" s="4" t="str">
        <f>'Raw Data'!H762</f>
        <v>Debit Card</v>
      </c>
      <c r="I762" s="4" t="str">
        <f>'Raw Data'!I762</f>
        <v>Cancelled</v>
      </c>
      <c r="J762" s="4" t="str">
        <f>'Raw Data'!J762</f>
        <v>TRK73324346</v>
      </c>
      <c r="K762" s="4">
        <f>'Raw Data'!K762</f>
        <v>5</v>
      </c>
      <c r="L762" s="4" t="str">
        <f>IF('Raw Data'!L762="","No Coupon",'Raw Data'!L762)</f>
        <v>No Coupon</v>
      </c>
      <c r="M762" s="4" t="str">
        <f>'Raw Data'!M762</f>
        <v>Google</v>
      </c>
      <c r="N762" s="4">
        <f>'Raw Data'!N762</f>
        <v>39.56</v>
      </c>
    </row>
    <row r="763" spans="1:14" ht="15" customHeight="1" x14ac:dyDescent="0.2">
      <c r="A763" s="4" t="str">
        <f>'Raw Data'!A763</f>
        <v>ORD200761</v>
      </c>
      <c r="B763" s="6">
        <f>'Raw Data'!B763</f>
        <v>45079</v>
      </c>
      <c r="C763" s="4" t="str">
        <f>'Raw Data'!C763</f>
        <v>C37235</v>
      </c>
      <c r="D763" s="4" t="str">
        <f>'Raw Data'!D763</f>
        <v>Desk</v>
      </c>
      <c r="E763" s="4">
        <f>'Raw Data'!E763</f>
        <v>4</v>
      </c>
      <c r="F763" s="4">
        <f>'Raw Data'!F763</f>
        <v>37.76</v>
      </c>
      <c r="G763" s="4" t="str">
        <f>'Raw Data'!G763</f>
        <v>217 Main St</v>
      </c>
      <c r="H763" s="4" t="str">
        <f>'Raw Data'!H763</f>
        <v>Debit Card</v>
      </c>
      <c r="I763" s="4" t="str">
        <f>'Raw Data'!I763</f>
        <v>Delivered</v>
      </c>
      <c r="J763" s="4" t="str">
        <f>'Raw Data'!J763</f>
        <v>TRK67789367</v>
      </c>
      <c r="K763" s="4">
        <f>'Raw Data'!K763</f>
        <v>7</v>
      </c>
      <c r="L763" s="4" t="str">
        <f>IF('Raw Data'!L763="","No Coupon",'Raw Data'!L763)</f>
        <v>No Coupon</v>
      </c>
      <c r="M763" s="4" t="str">
        <f>'Raw Data'!M763</f>
        <v>Google</v>
      </c>
      <c r="N763" s="4">
        <f>'Raw Data'!N763</f>
        <v>151.04</v>
      </c>
    </row>
    <row r="764" spans="1:14" ht="15" customHeight="1" x14ac:dyDescent="0.2">
      <c r="A764" s="4" t="str">
        <f>'Raw Data'!A764</f>
        <v>ORD200762</v>
      </c>
      <c r="B764" s="6">
        <f>'Raw Data'!B764</f>
        <v>45552</v>
      </c>
      <c r="C764" s="4" t="str">
        <f>'Raw Data'!C764</f>
        <v>C12444</v>
      </c>
      <c r="D764" s="4" t="str">
        <f>'Raw Data'!D764</f>
        <v>Phone</v>
      </c>
      <c r="E764" s="4">
        <f>'Raw Data'!E764</f>
        <v>3</v>
      </c>
      <c r="F764" s="4">
        <f>'Raw Data'!F764</f>
        <v>76.959999999999994</v>
      </c>
      <c r="G764" s="4" t="str">
        <f>'Raw Data'!G764</f>
        <v>611 Main St</v>
      </c>
      <c r="H764" s="4" t="str">
        <f>'Raw Data'!H764</f>
        <v>Cash</v>
      </c>
      <c r="I764" s="4" t="str">
        <f>'Raw Data'!I764</f>
        <v>Returned</v>
      </c>
      <c r="J764" s="4" t="str">
        <f>'Raw Data'!J764</f>
        <v>TRK97621403</v>
      </c>
      <c r="K764" s="4">
        <f>'Raw Data'!K764</f>
        <v>8</v>
      </c>
      <c r="L764" s="4" t="str">
        <f>IF('Raw Data'!L764="","No Coupon",'Raw Data'!L764)</f>
        <v>FREESHIP</v>
      </c>
      <c r="M764" s="4" t="str">
        <f>'Raw Data'!M764</f>
        <v>Email</v>
      </c>
      <c r="N764" s="4">
        <f>'Raw Data'!N764</f>
        <v>230.88</v>
      </c>
    </row>
    <row r="765" spans="1:14" ht="15" customHeight="1" x14ac:dyDescent="0.2">
      <c r="A765" s="4" t="str">
        <f>'Raw Data'!A765</f>
        <v>ORD200763</v>
      </c>
      <c r="B765" s="6">
        <f>'Raw Data'!B765</f>
        <v>45022</v>
      </c>
      <c r="C765" s="4" t="str">
        <f>'Raw Data'!C765</f>
        <v>C79142</v>
      </c>
      <c r="D765" s="4" t="str">
        <f>'Raw Data'!D765</f>
        <v>Laptop</v>
      </c>
      <c r="E765" s="4">
        <f>'Raw Data'!E765</f>
        <v>1</v>
      </c>
      <c r="F765" s="4">
        <f>'Raw Data'!F765</f>
        <v>569.96</v>
      </c>
      <c r="G765" s="4" t="str">
        <f>'Raw Data'!G765</f>
        <v>533 Main St</v>
      </c>
      <c r="H765" s="4" t="str">
        <f>'Raw Data'!H765</f>
        <v>Online</v>
      </c>
      <c r="I765" s="4" t="str">
        <f>'Raw Data'!I765</f>
        <v>Delivered</v>
      </c>
      <c r="J765" s="4" t="str">
        <f>'Raw Data'!J765</f>
        <v>TRK30915955</v>
      </c>
      <c r="K765" s="4">
        <f>'Raw Data'!K765</f>
        <v>4</v>
      </c>
      <c r="L765" s="4" t="str">
        <f>IF('Raw Data'!L765="","No Coupon",'Raw Data'!L765)</f>
        <v>FREESHIP</v>
      </c>
      <c r="M765" s="4" t="str">
        <f>'Raw Data'!M765</f>
        <v>Email</v>
      </c>
      <c r="N765" s="4">
        <f>'Raw Data'!N765</f>
        <v>569.96</v>
      </c>
    </row>
    <row r="766" spans="1:14" ht="15" customHeight="1" x14ac:dyDescent="0.2">
      <c r="A766" s="4" t="str">
        <f>'Raw Data'!A766</f>
        <v>ORD200764</v>
      </c>
      <c r="B766" s="6">
        <f>'Raw Data'!B766</f>
        <v>45361</v>
      </c>
      <c r="C766" s="4" t="str">
        <f>'Raw Data'!C766</f>
        <v>C35983</v>
      </c>
      <c r="D766" s="4" t="str">
        <f>'Raw Data'!D766</f>
        <v>Laptop</v>
      </c>
      <c r="E766" s="4">
        <f>'Raw Data'!E766</f>
        <v>5</v>
      </c>
      <c r="F766" s="4">
        <f>'Raw Data'!F766</f>
        <v>627.42999999999995</v>
      </c>
      <c r="G766" s="4" t="str">
        <f>'Raw Data'!G766</f>
        <v>806 Main St</v>
      </c>
      <c r="H766" s="4" t="str">
        <f>'Raw Data'!H766</f>
        <v>Credit Card</v>
      </c>
      <c r="I766" s="4" t="str">
        <f>'Raw Data'!I766</f>
        <v>Cancelled</v>
      </c>
      <c r="J766" s="4" t="str">
        <f>'Raw Data'!J766</f>
        <v>TRK14016163</v>
      </c>
      <c r="K766" s="4">
        <f>'Raw Data'!K766</f>
        <v>10</v>
      </c>
      <c r="L766" s="4" t="str">
        <f>IF('Raw Data'!L766="","No Coupon",'Raw Data'!L766)</f>
        <v>FREESHIP</v>
      </c>
      <c r="M766" s="4" t="str">
        <f>'Raw Data'!M766</f>
        <v>Email</v>
      </c>
      <c r="N766" s="4">
        <f>'Raw Data'!N766</f>
        <v>3137.15</v>
      </c>
    </row>
    <row r="767" spans="1:14" ht="15" customHeight="1" x14ac:dyDescent="0.2">
      <c r="A767" s="4" t="str">
        <f>'Raw Data'!A767</f>
        <v>ORD200765</v>
      </c>
      <c r="B767" s="6">
        <f>'Raw Data'!B767</f>
        <v>45205</v>
      </c>
      <c r="C767" s="4" t="str">
        <f>'Raw Data'!C767</f>
        <v>C36150</v>
      </c>
      <c r="D767" s="4" t="str">
        <f>'Raw Data'!D767</f>
        <v>Laptop</v>
      </c>
      <c r="E767" s="4">
        <f>'Raw Data'!E767</f>
        <v>2</v>
      </c>
      <c r="F767" s="4">
        <f>'Raw Data'!F767</f>
        <v>534.91</v>
      </c>
      <c r="G767" s="4" t="str">
        <f>'Raw Data'!G767</f>
        <v>281 Main St</v>
      </c>
      <c r="H767" s="4" t="str">
        <f>'Raw Data'!H767</f>
        <v>Debit Card</v>
      </c>
      <c r="I767" s="4" t="str">
        <f>'Raw Data'!I767</f>
        <v>Returned</v>
      </c>
      <c r="J767" s="4" t="str">
        <f>'Raw Data'!J767</f>
        <v>TRK96249043</v>
      </c>
      <c r="K767" s="4">
        <f>'Raw Data'!K767</f>
        <v>5</v>
      </c>
      <c r="L767" s="4" t="str">
        <f>IF('Raw Data'!L767="","No Coupon",'Raw Data'!L767)</f>
        <v>SAVE10</v>
      </c>
      <c r="M767" s="4" t="str">
        <f>'Raw Data'!M767</f>
        <v>Google</v>
      </c>
      <c r="N767" s="4">
        <f>'Raw Data'!N767</f>
        <v>1069.82</v>
      </c>
    </row>
    <row r="768" spans="1:14" ht="15" customHeight="1" x14ac:dyDescent="0.2">
      <c r="A768" s="4" t="str">
        <f>'Raw Data'!A768</f>
        <v>ORD200766</v>
      </c>
      <c r="B768" s="6">
        <f>'Raw Data'!B768</f>
        <v>44948</v>
      </c>
      <c r="C768" s="4" t="str">
        <f>'Raw Data'!C768</f>
        <v>C91454</v>
      </c>
      <c r="D768" s="4" t="str">
        <f>'Raw Data'!D768</f>
        <v>Printer</v>
      </c>
      <c r="E768" s="4">
        <f>'Raw Data'!E768</f>
        <v>2</v>
      </c>
      <c r="F768" s="4">
        <f>'Raw Data'!F768</f>
        <v>278.88</v>
      </c>
      <c r="G768" s="4" t="str">
        <f>'Raw Data'!G768</f>
        <v>494 Main St</v>
      </c>
      <c r="H768" s="4" t="str">
        <f>'Raw Data'!H768</f>
        <v>Debit Card</v>
      </c>
      <c r="I768" s="4" t="str">
        <f>'Raw Data'!I768</f>
        <v>Pending</v>
      </c>
      <c r="J768" s="4" t="str">
        <f>'Raw Data'!J768</f>
        <v>TRK99985340</v>
      </c>
      <c r="K768" s="4">
        <f>'Raw Data'!K768</f>
        <v>3</v>
      </c>
      <c r="L768" s="4" t="str">
        <f>IF('Raw Data'!L768="","No Coupon",'Raw Data'!L768)</f>
        <v>FREESHIP</v>
      </c>
      <c r="M768" s="4" t="str">
        <f>'Raw Data'!M768</f>
        <v>Referral</v>
      </c>
      <c r="N768" s="4">
        <f>'Raw Data'!N768</f>
        <v>557.76</v>
      </c>
    </row>
    <row r="769" spans="1:14" ht="15" customHeight="1" x14ac:dyDescent="0.2">
      <c r="A769" s="4" t="str">
        <f>'Raw Data'!A769</f>
        <v>ORD200767</v>
      </c>
      <c r="B769" s="6">
        <f>'Raw Data'!B769</f>
        <v>45765</v>
      </c>
      <c r="C769" s="4" t="str">
        <f>'Raw Data'!C769</f>
        <v>C19368</v>
      </c>
      <c r="D769" s="4" t="str">
        <f>'Raw Data'!D769</f>
        <v>Tablet</v>
      </c>
      <c r="E769" s="4">
        <f>'Raw Data'!E769</f>
        <v>2</v>
      </c>
      <c r="F769" s="4">
        <f>'Raw Data'!F769</f>
        <v>323.22000000000003</v>
      </c>
      <c r="G769" s="4" t="str">
        <f>'Raw Data'!G769</f>
        <v>517 Main St</v>
      </c>
      <c r="H769" s="4" t="str">
        <f>'Raw Data'!H769</f>
        <v>Credit Card</v>
      </c>
      <c r="I769" s="4" t="str">
        <f>'Raw Data'!I769</f>
        <v>Delivered</v>
      </c>
      <c r="J769" s="4" t="str">
        <f>'Raw Data'!J769</f>
        <v>TRK80436037</v>
      </c>
      <c r="K769" s="4">
        <f>'Raw Data'!K769</f>
        <v>7</v>
      </c>
      <c r="L769" s="4" t="str">
        <f>IF('Raw Data'!L769="","No Coupon",'Raw Data'!L769)</f>
        <v>No Coupon</v>
      </c>
      <c r="M769" s="4" t="str">
        <f>'Raw Data'!M769</f>
        <v>Instagram</v>
      </c>
      <c r="N769" s="4">
        <f>'Raw Data'!N769</f>
        <v>646.44000000000005</v>
      </c>
    </row>
    <row r="770" spans="1:14" ht="15" customHeight="1" x14ac:dyDescent="0.2">
      <c r="A770" s="4" t="str">
        <f>'Raw Data'!A770</f>
        <v>ORD200768</v>
      </c>
      <c r="B770" s="6">
        <f>'Raw Data'!B770</f>
        <v>45173</v>
      </c>
      <c r="C770" s="4" t="str">
        <f>'Raw Data'!C770</f>
        <v>C35987</v>
      </c>
      <c r="D770" s="4" t="str">
        <f>'Raw Data'!D770</f>
        <v>Tablet</v>
      </c>
      <c r="E770" s="4">
        <f>'Raw Data'!E770</f>
        <v>5</v>
      </c>
      <c r="F770" s="4">
        <f>'Raw Data'!F770</f>
        <v>653.46</v>
      </c>
      <c r="G770" s="4" t="str">
        <f>'Raw Data'!G770</f>
        <v>165 Main St</v>
      </c>
      <c r="H770" s="4" t="str">
        <f>'Raw Data'!H770</f>
        <v>Cash</v>
      </c>
      <c r="I770" s="4" t="str">
        <f>'Raw Data'!I770</f>
        <v>Cancelled</v>
      </c>
      <c r="J770" s="4" t="str">
        <f>'Raw Data'!J770</f>
        <v>TRK28918815</v>
      </c>
      <c r="K770" s="4">
        <f>'Raw Data'!K770</f>
        <v>9</v>
      </c>
      <c r="L770" s="4" t="str">
        <f>IF('Raw Data'!L770="","No Coupon",'Raw Data'!L770)</f>
        <v>WINTER15</v>
      </c>
      <c r="M770" s="4" t="str">
        <f>'Raw Data'!M770</f>
        <v>Email</v>
      </c>
      <c r="N770" s="4">
        <f>'Raw Data'!N770</f>
        <v>3267.3</v>
      </c>
    </row>
    <row r="771" spans="1:14" ht="15" customHeight="1" x14ac:dyDescent="0.2">
      <c r="A771" s="4" t="str">
        <f>'Raw Data'!A771</f>
        <v>ORD200769</v>
      </c>
      <c r="B771" s="6">
        <f>'Raw Data'!B771</f>
        <v>45113</v>
      </c>
      <c r="C771" s="4" t="str">
        <f>'Raw Data'!C771</f>
        <v>C13366</v>
      </c>
      <c r="D771" s="4" t="str">
        <f>'Raw Data'!D771</f>
        <v>Printer</v>
      </c>
      <c r="E771" s="4">
        <f>'Raw Data'!E771</f>
        <v>4</v>
      </c>
      <c r="F771" s="4">
        <f>'Raw Data'!F771</f>
        <v>678.55</v>
      </c>
      <c r="G771" s="4" t="str">
        <f>'Raw Data'!G771</f>
        <v>568 Main St</v>
      </c>
      <c r="H771" s="4" t="str">
        <f>'Raw Data'!H771</f>
        <v>Cash</v>
      </c>
      <c r="I771" s="4" t="str">
        <f>'Raw Data'!I771</f>
        <v>Delivered</v>
      </c>
      <c r="J771" s="4" t="str">
        <f>'Raw Data'!J771</f>
        <v>TRK98691410</v>
      </c>
      <c r="K771" s="4">
        <f>'Raw Data'!K771</f>
        <v>5</v>
      </c>
      <c r="L771" s="4" t="str">
        <f>IF('Raw Data'!L771="","No Coupon",'Raw Data'!L771)</f>
        <v>No Coupon</v>
      </c>
      <c r="M771" s="4" t="str">
        <f>'Raw Data'!M771</f>
        <v>Email</v>
      </c>
      <c r="N771" s="4">
        <f>'Raw Data'!N771</f>
        <v>2714.2</v>
      </c>
    </row>
    <row r="772" spans="1:14" ht="15" customHeight="1" x14ac:dyDescent="0.2">
      <c r="A772" s="4" t="str">
        <f>'Raw Data'!A772</f>
        <v>ORD200770</v>
      </c>
      <c r="B772" s="6">
        <f>'Raw Data'!B772</f>
        <v>45333</v>
      </c>
      <c r="C772" s="4" t="str">
        <f>'Raw Data'!C772</f>
        <v>C72166</v>
      </c>
      <c r="D772" s="4" t="str">
        <f>'Raw Data'!D772</f>
        <v>Desk</v>
      </c>
      <c r="E772" s="4">
        <f>'Raw Data'!E772</f>
        <v>1</v>
      </c>
      <c r="F772" s="4">
        <f>'Raw Data'!F772</f>
        <v>314.38</v>
      </c>
      <c r="G772" s="4" t="str">
        <f>'Raw Data'!G772</f>
        <v>227 Main St</v>
      </c>
      <c r="H772" s="4" t="str">
        <f>'Raw Data'!H772</f>
        <v>Online</v>
      </c>
      <c r="I772" s="4" t="str">
        <f>'Raw Data'!I772</f>
        <v>Returned</v>
      </c>
      <c r="J772" s="4" t="str">
        <f>'Raw Data'!J772</f>
        <v>TRK67733444</v>
      </c>
      <c r="K772" s="4">
        <f>'Raw Data'!K772</f>
        <v>6</v>
      </c>
      <c r="L772" s="4" t="str">
        <f>IF('Raw Data'!L772="","No Coupon",'Raw Data'!L772)</f>
        <v>No Coupon</v>
      </c>
      <c r="M772" s="4" t="str">
        <f>'Raw Data'!M772</f>
        <v>Google</v>
      </c>
      <c r="N772" s="4">
        <f>'Raw Data'!N772</f>
        <v>314.38</v>
      </c>
    </row>
    <row r="773" spans="1:14" ht="15" customHeight="1" x14ac:dyDescent="0.2">
      <c r="A773" s="4" t="str">
        <f>'Raw Data'!A773</f>
        <v>ORD200771</v>
      </c>
      <c r="B773" s="6">
        <f>'Raw Data'!B773</f>
        <v>45455</v>
      </c>
      <c r="C773" s="4" t="str">
        <f>'Raw Data'!C773</f>
        <v>C20357</v>
      </c>
      <c r="D773" s="4" t="str">
        <f>'Raw Data'!D773</f>
        <v>Phone</v>
      </c>
      <c r="E773" s="4">
        <f>'Raw Data'!E773</f>
        <v>3</v>
      </c>
      <c r="F773" s="4">
        <f>'Raw Data'!F773</f>
        <v>692.44</v>
      </c>
      <c r="G773" s="4" t="str">
        <f>'Raw Data'!G773</f>
        <v>272 Main St</v>
      </c>
      <c r="H773" s="4" t="str">
        <f>'Raw Data'!H773</f>
        <v>Debit Card</v>
      </c>
      <c r="I773" s="4" t="str">
        <f>'Raw Data'!I773</f>
        <v>Cancelled</v>
      </c>
      <c r="J773" s="4" t="str">
        <f>'Raw Data'!J773</f>
        <v>TRK82236408</v>
      </c>
      <c r="K773" s="4">
        <f>'Raw Data'!K773</f>
        <v>8</v>
      </c>
      <c r="L773" s="4" t="str">
        <f>IF('Raw Data'!L773="","No Coupon",'Raw Data'!L773)</f>
        <v>FREESHIP</v>
      </c>
      <c r="M773" s="4" t="str">
        <f>'Raw Data'!M773</f>
        <v>Google</v>
      </c>
      <c r="N773" s="4">
        <f>'Raw Data'!N773</f>
        <v>2077.3200000000002</v>
      </c>
    </row>
    <row r="774" spans="1:14" ht="15" customHeight="1" x14ac:dyDescent="0.2">
      <c r="A774" s="4" t="str">
        <f>'Raw Data'!A774</f>
        <v>ORD200772</v>
      </c>
      <c r="B774" s="6">
        <f>'Raw Data'!B774</f>
        <v>45501</v>
      </c>
      <c r="C774" s="4" t="str">
        <f>'Raw Data'!C774</f>
        <v>C33802</v>
      </c>
      <c r="D774" s="4" t="str">
        <f>'Raw Data'!D774</f>
        <v>Monitor</v>
      </c>
      <c r="E774" s="4">
        <f>'Raw Data'!E774</f>
        <v>1</v>
      </c>
      <c r="F774" s="4">
        <f>'Raw Data'!F774</f>
        <v>604.87</v>
      </c>
      <c r="G774" s="4" t="str">
        <f>'Raw Data'!G774</f>
        <v>461 Main St</v>
      </c>
      <c r="H774" s="4" t="str">
        <f>'Raw Data'!H774</f>
        <v>Online</v>
      </c>
      <c r="I774" s="4" t="str">
        <f>'Raw Data'!I774</f>
        <v>Delivered</v>
      </c>
      <c r="J774" s="4" t="str">
        <f>'Raw Data'!J774</f>
        <v>TRK25799478</v>
      </c>
      <c r="K774" s="4">
        <f>'Raw Data'!K774</f>
        <v>4</v>
      </c>
      <c r="L774" s="4" t="str">
        <f>IF('Raw Data'!L774="","No Coupon",'Raw Data'!L774)</f>
        <v>No Coupon</v>
      </c>
      <c r="M774" s="4" t="str">
        <f>'Raw Data'!M774</f>
        <v>Instagram</v>
      </c>
      <c r="N774" s="4">
        <f>'Raw Data'!N774</f>
        <v>604.87</v>
      </c>
    </row>
    <row r="775" spans="1:14" ht="15" customHeight="1" x14ac:dyDescent="0.2">
      <c r="A775" s="4" t="str">
        <f>'Raw Data'!A775</f>
        <v>ORD200773</v>
      </c>
      <c r="B775" s="6">
        <f>'Raw Data'!B775</f>
        <v>45836</v>
      </c>
      <c r="C775" s="4" t="str">
        <f>'Raw Data'!C775</f>
        <v>C99205</v>
      </c>
      <c r="D775" s="4" t="str">
        <f>'Raw Data'!D775</f>
        <v>Phone</v>
      </c>
      <c r="E775" s="4">
        <f>'Raw Data'!E775</f>
        <v>2</v>
      </c>
      <c r="F775" s="4">
        <f>'Raw Data'!F775</f>
        <v>512.33000000000004</v>
      </c>
      <c r="G775" s="4" t="str">
        <f>'Raw Data'!G775</f>
        <v>415 Main St</v>
      </c>
      <c r="H775" s="4" t="str">
        <f>'Raw Data'!H775</f>
        <v>Cash</v>
      </c>
      <c r="I775" s="4" t="str">
        <f>'Raw Data'!I775</f>
        <v>Cancelled</v>
      </c>
      <c r="J775" s="4" t="str">
        <f>'Raw Data'!J775</f>
        <v>TRK48904015</v>
      </c>
      <c r="K775" s="4">
        <f>'Raw Data'!K775</f>
        <v>7</v>
      </c>
      <c r="L775" s="4" t="str">
        <f>IF('Raw Data'!L775="","No Coupon",'Raw Data'!L775)</f>
        <v>No Coupon</v>
      </c>
      <c r="M775" s="4" t="str">
        <f>'Raw Data'!M775</f>
        <v>Facebook</v>
      </c>
      <c r="N775" s="4">
        <f>'Raw Data'!N775</f>
        <v>1024.6600000000001</v>
      </c>
    </row>
    <row r="776" spans="1:14" ht="15" customHeight="1" x14ac:dyDescent="0.2">
      <c r="A776" s="4" t="str">
        <f>'Raw Data'!A776</f>
        <v>ORD200774</v>
      </c>
      <c r="B776" s="6">
        <f>'Raw Data'!B776</f>
        <v>45762</v>
      </c>
      <c r="C776" s="4" t="str">
        <f>'Raw Data'!C776</f>
        <v>C29701</v>
      </c>
      <c r="D776" s="4" t="str">
        <f>'Raw Data'!D776</f>
        <v>Chair</v>
      </c>
      <c r="E776" s="4">
        <f>'Raw Data'!E776</f>
        <v>3</v>
      </c>
      <c r="F776" s="4">
        <f>'Raw Data'!F776</f>
        <v>20.54</v>
      </c>
      <c r="G776" s="4" t="str">
        <f>'Raw Data'!G776</f>
        <v>257 Main St</v>
      </c>
      <c r="H776" s="4" t="str">
        <f>'Raw Data'!H776</f>
        <v>Credit Card</v>
      </c>
      <c r="I776" s="4" t="str">
        <f>'Raw Data'!I776</f>
        <v>Cancelled</v>
      </c>
      <c r="J776" s="4" t="str">
        <f>'Raw Data'!J776</f>
        <v>TRK42266846</v>
      </c>
      <c r="K776" s="4">
        <f>'Raw Data'!K776</f>
        <v>3</v>
      </c>
      <c r="L776" s="4" t="str">
        <f>IF('Raw Data'!L776="","No Coupon",'Raw Data'!L776)</f>
        <v>FREESHIP</v>
      </c>
      <c r="M776" s="4" t="str">
        <f>'Raw Data'!M776</f>
        <v>Instagram</v>
      </c>
      <c r="N776" s="4">
        <f>'Raw Data'!N776</f>
        <v>61.62</v>
      </c>
    </row>
    <row r="777" spans="1:14" ht="15" customHeight="1" x14ac:dyDescent="0.2">
      <c r="A777" s="4" t="str">
        <f>'Raw Data'!A777</f>
        <v>ORD200775</v>
      </c>
      <c r="B777" s="6">
        <f>'Raw Data'!B777</f>
        <v>44989</v>
      </c>
      <c r="C777" s="4" t="str">
        <f>'Raw Data'!C777</f>
        <v>C73941</v>
      </c>
      <c r="D777" s="4" t="str">
        <f>'Raw Data'!D777</f>
        <v>Phone</v>
      </c>
      <c r="E777" s="4">
        <f>'Raw Data'!E777</f>
        <v>2</v>
      </c>
      <c r="F777" s="4">
        <f>'Raw Data'!F777</f>
        <v>625.22</v>
      </c>
      <c r="G777" s="4" t="str">
        <f>'Raw Data'!G777</f>
        <v>569 Main St</v>
      </c>
      <c r="H777" s="4" t="str">
        <f>'Raw Data'!H777</f>
        <v>Online</v>
      </c>
      <c r="I777" s="4" t="str">
        <f>'Raw Data'!I777</f>
        <v>Cancelled</v>
      </c>
      <c r="J777" s="4" t="str">
        <f>'Raw Data'!J777</f>
        <v>TRK22051900</v>
      </c>
      <c r="K777" s="4">
        <f>'Raw Data'!K777</f>
        <v>5</v>
      </c>
      <c r="L777" s="4" t="str">
        <f>IF('Raw Data'!L777="","No Coupon",'Raw Data'!L777)</f>
        <v>No Coupon</v>
      </c>
      <c r="M777" s="4" t="str">
        <f>'Raw Data'!M777</f>
        <v>Google</v>
      </c>
      <c r="N777" s="4">
        <f>'Raw Data'!N777</f>
        <v>1250.44</v>
      </c>
    </row>
    <row r="778" spans="1:14" ht="15" customHeight="1" x14ac:dyDescent="0.2">
      <c r="A778" s="4" t="str">
        <f>'Raw Data'!A778</f>
        <v>ORD200776</v>
      </c>
      <c r="B778" s="6">
        <f>'Raw Data'!B778</f>
        <v>45159</v>
      </c>
      <c r="C778" s="4" t="str">
        <f>'Raw Data'!C778</f>
        <v>C69168</v>
      </c>
      <c r="D778" s="4" t="str">
        <f>'Raw Data'!D778</f>
        <v>Tablet</v>
      </c>
      <c r="E778" s="4">
        <f>'Raw Data'!E778</f>
        <v>1</v>
      </c>
      <c r="F778" s="4">
        <f>'Raw Data'!F778</f>
        <v>21.19</v>
      </c>
      <c r="G778" s="4" t="str">
        <f>'Raw Data'!G778</f>
        <v>482 Main St</v>
      </c>
      <c r="H778" s="4" t="str">
        <f>'Raw Data'!H778</f>
        <v>Cash</v>
      </c>
      <c r="I778" s="4" t="str">
        <f>'Raw Data'!I778</f>
        <v>Returned</v>
      </c>
      <c r="J778" s="4" t="str">
        <f>'Raw Data'!J778</f>
        <v>TRK10446197</v>
      </c>
      <c r="K778" s="4">
        <f>'Raw Data'!K778</f>
        <v>5</v>
      </c>
      <c r="L778" s="4" t="str">
        <f>IF('Raw Data'!L778="","No Coupon",'Raw Data'!L778)</f>
        <v>WINTER15</v>
      </c>
      <c r="M778" s="4" t="str">
        <f>'Raw Data'!M778</f>
        <v>Google</v>
      </c>
      <c r="N778" s="4">
        <f>'Raw Data'!N778</f>
        <v>21.19</v>
      </c>
    </row>
    <row r="779" spans="1:14" ht="15" customHeight="1" x14ac:dyDescent="0.2">
      <c r="A779" s="4" t="str">
        <f>'Raw Data'!A779</f>
        <v>ORD200777</v>
      </c>
      <c r="B779" s="6">
        <f>'Raw Data'!B779</f>
        <v>45737</v>
      </c>
      <c r="C779" s="4" t="str">
        <f>'Raw Data'!C779</f>
        <v>C66116</v>
      </c>
      <c r="D779" s="4" t="str">
        <f>'Raw Data'!D779</f>
        <v>Chair</v>
      </c>
      <c r="E779" s="4">
        <f>'Raw Data'!E779</f>
        <v>5</v>
      </c>
      <c r="F779" s="4">
        <f>'Raw Data'!F779</f>
        <v>64.489999999999995</v>
      </c>
      <c r="G779" s="4" t="str">
        <f>'Raw Data'!G779</f>
        <v>633 Main St</v>
      </c>
      <c r="H779" s="4" t="str">
        <f>'Raw Data'!H779</f>
        <v>Online</v>
      </c>
      <c r="I779" s="4" t="str">
        <f>'Raw Data'!I779</f>
        <v>Cancelled</v>
      </c>
      <c r="J779" s="4" t="str">
        <f>'Raw Data'!J779</f>
        <v>TRK41967983</v>
      </c>
      <c r="K779" s="4">
        <f>'Raw Data'!K779</f>
        <v>7</v>
      </c>
      <c r="L779" s="4" t="str">
        <f>IF('Raw Data'!L779="","No Coupon",'Raw Data'!L779)</f>
        <v>No Coupon</v>
      </c>
      <c r="M779" s="4" t="str">
        <f>'Raw Data'!M779</f>
        <v>Facebook</v>
      </c>
      <c r="N779" s="4">
        <f>'Raw Data'!N779</f>
        <v>322.45</v>
      </c>
    </row>
    <row r="780" spans="1:14" ht="15" customHeight="1" x14ac:dyDescent="0.2">
      <c r="A780" s="4" t="str">
        <f>'Raw Data'!A780</f>
        <v>ORD200778</v>
      </c>
      <c r="B780" s="6">
        <f>'Raw Data'!B780</f>
        <v>45044</v>
      </c>
      <c r="C780" s="4" t="str">
        <f>'Raw Data'!C780</f>
        <v>C85059</v>
      </c>
      <c r="D780" s="4" t="str">
        <f>'Raw Data'!D780</f>
        <v>Laptop</v>
      </c>
      <c r="E780" s="4">
        <f>'Raw Data'!E780</f>
        <v>4</v>
      </c>
      <c r="F780" s="4">
        <f>'Raw Data'!F780</f>
        <v>246.85</v>
      </c>
      <c r="G780" s="4" t="str">
        <f>'Raw Data'!G780</f>
        <v>316 Main St</v>
      </c>
      <c r="H780" s="4" t="str">
        <f>'Raw Data'!H780</f>
        <v>Credit Card</v>
      </c>
      <c r="I780" s="4" t="str">
        <f>'Raw Data'!I780</f>
        <v>Shipped</v>
      </c>
      <c r="J780" s="4" t="str">
        <f>'Raw Data'!J780</f>
        <v>TRK56503740</v>
      </c>
      <c r="K780" s="4">
        <f>'Raw Data'!K780</f>
        <v>8</v>
      </c>
      <c r="L780" s="4" t="str">
        <f>IF('Raw Data'!L780="","No Coupon",'Raw Data'!L780)</f>
        <v>WINTER15</v>
      </c>
      <c r="M780" s="4" t="str">
        <f>'Raw Data'!M780</f>
        <v>Google</v>
      </c>
      <c r="N780" s="4">
        <f>'Raw Data'!N780</f>
        <v>987.4</v>
      </c>
    </row>
    <row r="781" spans="1:14" ht="15" customHeight="1" x14ac:dyDescent="0.2">
      <c r="A781" s="4" t="str">
        <f>'Raw Data'!A781</f>
        <v>ORD200779</v>
      </c>
      <c r="B781" s="6">
        <f>'Raw Data'!B781</f>
        <v>45261</v>
      </c>
      <c r="C781" s="4" t="str">
        <f>'Raw Data'!C781</f>
        <v>C18076</v>
      </c>
      <c r="D781" s="4" t="str">
        <f>'Raw Data'!D781</f>
        <v>Phone</v>
      </c>
      <c r="E781" s="4">
        <f>'Raw Data'!E781</f>
        <v>3</v>
      </c>
      <c r="F781" s="4">
        <f>'Raw Data'!F781</f>
        <v>588.74</v>
      </c>
      <c r="G781" s="4" t="str">
        <f>'Raw Data'!G781</f>
        <v>751 Main St</v>
      </c>
      <c r="H781" s="4" t="str">
        <f>'Raw Data'!H781</f>
        <v>Debit Card</v>
      </c>
      <c r="I781" s="4" t="str">
        <f>'Raw Data'!I781</f>
        <v>Pending</v>
      </c>
      <c r="J781" s="4" t="str">
        <f>'Raw Data'!J781</f>
        <v>TRK26661705</v>
      </c>
      <c r="K781" s="4">
        <f>'Raw Data'!K781</f>
        <v>8</v>
      </c>
      <c r="L781" s="4" t="str">
        <f>IF('Raw Data'!L781="","No Coupon",'Raw Data'!L781)</f>
        <v>FREESHIP</v>
      </c>
      <c r="M781" s="4" t="str">
        <f>'Raw Data'!M781</f>
        <v>Email</v>
      </c>
      <c r="N781" s="4">
        <f>'Raw Data'!N781</f>
        <v>1766.22</v>
      </c>
    </row>
    <row r="782" spans="1:14" ht="15" customHeight="1" x14ac:dyDescent="0.2">
      <c r="A782" s="4" t="str">
        <f>'Raw Data'!A782</f>
        <v>ORD200780</v>
      </c>
      <c r="B782" s="6">
        <f>'Raw Data'!B782</f>
        <v>45382</v>
      </c>
      <c r="C782" s="4" t="str">
        <f>'Raw Data'!C782</f>
        <v>C41284</v>
      </c>
      <c r="D782" s="4" t="str">
        <f>'Raw Data'!D782</f>
        <v>Laptop</v>
      </c>
      <c r="E782" s="4">
        <f>'Raw Data'!E782</f>
        <v>4</v>
      </c>
      <c r="F782" s="4">
        <f>'Raw Data'!F782</f>
        <v>184.48</v>
      </c>
      <c r="G782" s="4" t="str">
        <f>'Raw Data'!G782</f>
        <v>661 Main St</v>
      </c>
      <c r="H782" s="4" t="str">
        <f>'Raw Data'!H782</f>
        <v>Online</v>
      </c>
      <c r="I782" s="4" t="str">
        <f>'Raw Data'!I782</f>
        <v>Cancelled</v>
      </c>
      <c r="J782" s="4" t="str">
        <f>'Raw Data'!J782</f>
        <v>TRK73613128</v>
      </c>
      <c r="K782" s="4">
        <f>'Raw Data'!K782</f>
        <v>4</v>
      </c>
      <c r="L782" s="4" t="str">
        <f>IF('Raw Data'!L782="","No Coupon",'Raw Data'!L782)</f>
        <v>WINTER15</v>
      </c>
      <c r="M782" s="4" t="str">
        <f>'Raw Data'!M782</f>
        <v>Google</v>
      </c>
      <c r="N782" s="4">
        <f>'Raw Data'!N782</f>
        <v>737.92</v>
      </c>
    </row>
    <row r="783" spans="1:14" ht="15" customHeight="1" x14ac:dyDescent="0.2">
      <c r="A783" s="4" t="str">
        <f>'Raw Data'!A783</f>
        <v>ORD200781</v>
      </c>
      <c r="B783" s="6">
        <f>'Raw Data'!B783</f>
        <v>45301</v>
      </c>
      <c r="C783" s="4" t="str">
        <f>'Raw Data'!C783</f>
        <v>C43524</v>
      </c>
      <c r="D783" s="4" t="str">
        <f>'Raw Data'!D783</f>
        <v>Phone</v>
      </c>
      <c r="E783" s="4">
        <f>'Raw Data'!E783</f>
        <v>5</v>
      </c>
      <c r="F783" s="4">
        <f>'Raw Data'!F783</f>
        <v>524.26</v>
      </c>
      <c r="G783" s="4" t="str">
        <f>'Raw Data'!G783</f>
        <v>934 Main St</v>
      </c>
      <c r="H783" s="4" t="str">
        <f>'Raw Data'!H783</f>
        <v>Gift Card</v>
      </c>
      <c r="I783" s="4" t="str">
        <f>'Raw Data'!I783</f>
        <v>Delivered</v>
      </c>
      <c r="J783" s="4" t="str">
        <f>'Raw Data'!J783</f>
        <v>TRK51479426</v>
      </c>
      <c r="K783" s="4">
        <f>'Raw Data'!K783</f>
        <v>5</v>
      </c>
      <c r="L783" s="4" t="str">
        <f>IF('Raw Data'!L783="","No Coupon",'Raw Data'!L783)</f>
        <v>FREESHIP</v>
      </c>
      <c r="M783" s="4" t="str">
        <f>'Raw Data'!M783</f>
        <v>Referral</v>
      </c>
      <c r="N783" s="4">
        <f>'Raw Data'!N783</f>
        <v>2621.3000000000002</v>
      </c>
    </row>
    <row r="784" spans="1:14" ht="15" customHeight="1" x14ac:dyDescent="0.2">
      <c r="A784" s="4" t="str">
        <f>'Raw Data'!A784</f>
        <v>ORD200782</v>
      </c>
      <c r="B784" s="6">
        <f>'Raw Data'!B784</f>
        <v>45515</v>
      </c>
      <c r="C784" s="4" t="str">
        <f>'Raw Data'!C784</f>
        <v>C58063</v>
      </c>
      <c r="D784" s="4" t="str">
        <f>'Raw Data'!D784</f>
        <v>Monitor</v>
      </c>
      <c r="E784" s="4">
        <f>'Raw Data'!E784</f>
        <v>2</v>
      </c>
      <c r="F784" s="4">
        <f>'Raw Data'!F784</f>
        <v>493.63</v>
      </c>
      <c r="G784" s="4" t="str">
        <f>'Raw Data'!G784</f>
        <v>167 Main St</v>
      </c>
      <c r="H784" s="4" t="str">
        <f>'Raw Data'!H784</f>
        <v>Online</v>
      </c>
      <c r="I784" s="4" t="str">
        <f>'Raw Data'!I784</f>
        <v>Returned</v>
      </c>
      <c r="J784" s="4" t="str">
        <f>'Raw Data'!J784</f>
        <v>TRK50548869</v>
      </c>
      <c r="K784" s="4">
        <f>'Raw Data'!K784</f>
        <v>6</v>
      </c>
      <c r="L784" s="4" t="str">
        <f>IF('Raw Data'!L784="","No Coupon",'Raw Data'!L784)</f>
        <v>SAVE10</v>
      </c>
      <c r="M784" s="4" t="str">
        <f>'Raw Data'!M784</f>
        <v>Referral</v>
      </c>
      <c r="N784" s="4">
        <f>'Raw Data'!N784</f>
        <v>987.26</v>
      </c>
    </row>
    <row r="785" spans="1:14" ht="15" customHeight="1" x14ac:dyDescent="0.2">
      <c r="A785" s="4" t="str">
        <f>'Raw Data'!A785</f>
        <v>ORD200783</v>
      </c>
      <c r="B785" s="6">
        <f>'Raw Data'!B785</f>
        <v>45803</v>
      </c>
      <c r="C785" s="4" t="str">
        <f>'Raw Data'!C785</f>
        <v>C19937</v>
      </c>
      <c r="D785" s="4" t="str">
        <f>'Raw Data'!D785</f>
        <v>Printer</v>
      </c>
      <c r="E785" s="4">
        <f>'Raw Data'!E785</f>
        <v>1</v>
      </c>
      <c r="F785" s="4">
        <f>'Raw Data'!F785</f>
        <v>438.34</v>
      </c>
      <c r="G785" s="4" t="str">
        <f>'Raw Data'!G785</f>
        <v>281 Main St</v>
      </c>
      <c r="H785" s="4" t="str">
        <f>'Raw Data'!H785</f>
        <v>Gift Card</v>
      </c>
      <c r="I785" s="4" t="str">
        <f>'Raw Data'!I785</f>
        <v>Returned</v>
      </c>
      <c r="J785" s="4" t="str">
        <f>'Raw Data'!J785</f>
        <v>TRK46990083</v>
      </c>
      <c r="K785" s="4">
        <f>'Raw Data'!K785</f>
        <v>5</v>
      </c>
      <c r="L785" s="4" t="str">
        <f>IF('Raw Data'!L785="","No Coupon",'Raw Data'!L785)</f>
        <v>FREESHIP</v>
      </c>
      <c r="M785" s="4" t="str">
        <f>'Raw Data'!M785</f>
        <v>Facebook</v>
      </c>
      <c r="N785" s="4">
        <f>'Raw Data'!N785</f>
        <v>438.34</v>
      </c>
    </row>
    <row r="786" spans="1:14" ht="15" customHeight="1" x14ac:dyDescent="0.2">
      <c r="A786" s="4" t="str">
        <f>'Raw Data'!A786</f>
        <v>ORD200784</v>
      </c>
      <c r="B786" s="6">
        <f>'Raw Data'!B786</f>
        <v>45793</v>
      </c>
      <c r="C786" s="4" t="str">
        <f>'Raw Data'!C786</f>
        <v>C21191</v>
      </c>
      <c r="D786" s="4" t="str">
        <f>'Raw Data'!D786</f>
        <v>Laptop</v>
      </c>
      <c r="E786" s="4">
        <f>'Raw Data'!E786</f>
        <v>1</v>
      </c>
      <c r="F786" s="4">
        <f>'Raw Data'!F786</f>
        <v>325.81</v>
      </c>
      <c r="G786" s="4" t="str">
        <f>'Raw Data'!G786</f>
        <v>232 Main St</v>
      </c>
      <c r="H786" s="4" t="str">
        <f>'Raw Data'!H786</f>
        <v>Credit Card</v>
      </c>
      <c r="I786" s="4" t="str">
        <f>'Raw Data'!I786</f>
        <v>Pending</v>
      </c>
      <c r="J786" s="4" t="str">
        <f>'Raw Data'!J786</f>
        <v>TRK85771230</v>
      </c>
      <c r="K786" s="4">
        <f>'Raw Data'!K786</f>
        <v>1</v>
      </c>
      <c r="L786" s="4" t="str">
        <f>IF('Raw Data'!L786="","No Coupon",'Raw Data'!L786)</f>
        <v>WINTER15</v>
      </c>
      <c r="M786" s="4" t="str">
        <f>'Raw Data'!M786</f>
        <v>Referral</v>
      </c>
      <c r="N786" s="4">
        <f>'Raw Data'!N786</f>
        <v>325.81</v>
      </c>
    </row>
    <row r="787" spans="1:14" ht="15" customHeight="1" x14ac:dyDescent="0.2">
      <c r="A787" s="4" t="str">
        <f>'Raw Data'!A787</f>
        <v>ORD200785</v>
      </c>
      <c r="B787" s="6">
        <f>'Raw Data'!B787</f>
        <v>45136</v>
      </c>
      <c r="C787" s="4" t="str">
        <f>'Raw Data'!C787</f>
        <v>C45862</v>
      </c>
      <c r="D787" s="4" t="str">
        <f>'Raw Data'!D787</f>
        <v>Chair</v>
      </c>
      <c r="E787" s="4">
        <f>'Raw Data'!E787</f>
        <v>1</v>
      </c>
      <c r="F787" s="4">
        <f>'Raw Data'!F787</f>
        <v>176.1</v>
      </c>
      <c r="G787" s="4" t="str">
        <f>'Raw Data'!G787</f>
        <v>342 Main St</v>
      </c>
      <c r="H787" s="4" t="str">
        <f>'Raw Data'!H787</f>
        <v>Credit Card</v>
      </c>
      <c r="I787" s="4" t="str">
        <f>'Raw Data'!I787</f>
        <v>Pending</v>
      </c>
      <c r="J787" s="4" t="str">
        <f>'Raw Data'!J787</f>
        <v>TRK53089983</v>
      </c>
      <c r="K787" s="4">
        <f>'Raw Data'!K787</f>
        <v>1</v>
      </c>
      <c r="L787" s="4" t="str">
        <f>IF('Raw Data'!L787="","No Coupon",'Raw Data'!L787)</f>
        <v>SAVE10</v>
      </c>
      <c r="M787" s="4" t="str">
        <f>'Raw Data'!M787</f>
        <v>Instagram</v>
      </c>
      <c r="N787" s="4">
        <f>'Raw Data'!N787</f>
        <v>176.1</v>
      </c>
    </row>
    <row r="788" spans="1:14" ht="15" customHeight="1" x14ac:dyDescent="0.2">
      <c r="A788" s="4" t="str">
        <f>'Raw Data'!A788</f>
        <v>ORD200786</v>
      </c>
      <c r="B788" s="6">
        <f>'Raw Data'!B788</f>
        <v>45161</v>
      </c>
      <c r="C788" s="4" t="str">
        <f>'Raw Data'!C788</f>
        <v>C39130</v>
      </c>
      <c r="D788" s="4" t="str">
        <f>'Raw Data'!D788</f>
        <v>Chair</v>
      </c>
      <c r="E788" s="4">
        <f>'Raw Data'!E788</f>
        <v>5</v>
      </c>
      <c r="F788" s="4">
        <f>'Raw Data'!F788</f>
        <v>45.31</v>
      </c>
      <c r="G788" s="4" t="str">
        <f>'Raw Data'!G788</f>
        <v>774 Main St</v>
      </c>
      <c r="H788" s="4" t="str">
        <f>'Raw Data'!H788</f>
        <v>Online</v>
      </c>
      <c r="I788" s="4" t="str">
        <f>'Raw Data'!I788</f>
        <v>Cancelled</v>
      </c>
      <c r="J788" s="4" t="str">
        <f>'Raw Data'!J788</f>
        <v>TRK99583414</v>
      </c>
      <c r="K788" s="4">
        <f>'Raw Data'!K788</f>
        <v>8</v>
      </c>
      <c r="L788" s="4" t="str">
        <f>IF('Raw Data'!L788="","No Coupon",'Raw Data'!L788)</f>
        <v>No Coupon</v>
      </c>
      <c r="M788" s="4" t="str">
        <f>'Raw Data'!M788</f>
        <v>Referral</v>
      </c>
      <c r="N788" s="4">
        <f>'Raw Data'!N788</f>
        <v>226.55</v>
      </c>
    </row>
    <row r="789" spans="1:14" ht="15" customHeight="1" x14ac:dyDescent="0.2">
      <c r="A789" s="4" t="str">
        <f>'Raw Data'!A789</f>
        <v>ORD200787</v>
      </c>
      <c r="B789" s="6">
        <f>'Raw Data'!B789</f>
        <v>45368</v>
      </c>
      <c r="C789" s="4" t="str">
        <f>'Raw Data'!C789</f>
        <v>C18167</v>
      </c>
      <c r="D789" s="4" t="str">
        <f>'Raw Data'!D789</f>
        <v>Desk</v>
      </c>
      <c r="E789" s="4">
        <f>'Raw Data'!E789</f>
        <v>4</v>
      </c>
      <c r="F789" s="4">
        <f>'Raw Data'!F789</f>
        <v>221.96</v>
      </c>
      <c r="G789" s="4" t="str">
        <f>'Raw Data'!G789</f>
        <v>193 Main St</v>
      </c>
      <c r="H789" s="4" t="str">
        <f>'Raw Data'!H789</f>
        <v>Cash</v>
      </c>
      <c r="I789" s="4" t="str">
        <f>'Raw Data'!I789</f>
        <v>Delivered</v>
      </c>
      <c r="J789" s="4" t="str">
        <f>'Raw Data'!J789</f>
        <v>TRK36841089</v>
      </c>
      <c r="K789" s="4">
        <f>'Raw Data'!K789</f>
        <v>7</v>
      </c>
      <c r="L789" s="4" t="str">
        <f>IF('Raw Data'!L789="","No Coupon",'Raw Data'!L789)</f>
        <v>No Coupon</v>
      </c>
      <c r="M789" s="4" t="str">
        <f>'Raw Data'!M789</f>
        <v>Google</v>
      </c>
      <c r="N789" s="4">
        <f>'Raw Data'!N789</f>
        <v>887.84</v>
      </c>
    </row>
    <row r="790" spans="1:14" ht="15" customHeight="1" x14ac:dyDescent="0.2">
      <c r="A790" s="4" t="str">
        <f>'Raw Data'!A790</f>
        <v>ORD200788</v>
      </c>
      <c r="B790" s="6">
        <f>'Raw Data'!B790</f>
        <v>45232</v>
      </c>
      <c r="C790" s="4" t="str">
        <f>'Raw Data'!C790</f>
        <v>C47307</v>
      </c>
      <c r="D790" s="4" t="str">
        <f>'Raw Data'!D790</f>
        <v>Chair</v>
      </c>
      <c r="E790" s="4">
        <f>'Raw Data'!E790</f>
        <v>2</v>
      </c>
      <c r="F790" s="4">
        <f>'Raw Data'!F790</f>
        <v>601.42999999999995</v>
      </c>
      <c r="G790" s="4" t="str">
        <f>'Raw Data'!G790</f>
        <v>761 Main St</v>
      </c>
      <c r="H790" s="4" t="str">
        <f>'Raw Data'!H790</f>
        <v>Online</v>
      </c>
      <c r="I790" s="4" t="str">
        <f>'Raw Data'!I790</f>
        <v>Pending</v>
      </c>
      <c r="J790" s="4" t="str">
        <f>'Raw Data'!J790</f>
        <v>TRK43516112</v>
      </c>
      <c r="K790" s="4">
        <f>'Raw Data'!K790</f>
        <v>5</v>
      </c>
      <c r="L790" s="4" t="str">
        <f>IF('Raw Data'!L790="","No Coupon",'Raw Data'!L790)</f>
        <v>FREESHIP</v>
      </c>
      <c r="M790" s="4" t="str">
        <f>'Raw Data'!M790</f>
        <v>Instagram</v>
      </c>
      <c r="N790" s="4">
        <f>'Raw Data'!N790</f>
        <v>1202.8599999999999</v>
      </c>
    </row>
    <row r="791" spans="1:14" ht="15" customHeight="1" x14ac:dyDescent="0.2">
      <c r="A791" s="4" t="str">
        <f>'Raw Data'!A791</f>
        <v>ORD200789</v>
      </c>
      <c r="B791" s="6">
        <f>'Raw Data'!B791</f>
        <v>45155</v>
      </c>
      <c r="C791" s="4" t="str">
        <f>'Raw Data'!C791</f>
        <v>C57276</v>
      </c>
      <c r="D791" s="4" t="str">
        <f>'Raw Data'!D791</f>
        <v>Tablet</v>
      </c>
      <c r="E791" s="4">
        <f>'Raw Data'!E791</f>
        <v>5</v>
      </c>
      <c r="F791" s="4">
        <f>'Raw Data'!F791</f>
        <v>691.28</v>
      </c>
      <c r="G791" s="4" t="str">
        <f>'Raw Data'!G791</f>
        <v>183 Main St</v>
      </c>
      <c r="H791" s="4" t="str">
        <f>'Raw Data'!H791</f>
        <v>Online</v>
      </c>
      <c r="I791" s="4" t="str">
        <f>'Raw Data'!I791</f>
        <v>Delivered</v>
      </c>
      <c r="J791" s="4" t="str">
        <f>'Raw Data'!J791</f>
        <v>TRK75899752</v>
      </c>
      <c r="K791" s="4">
        <f>'Raw Data'!K791</f>
        <v>10</v>
      </c>
      <c r="L791" s="4" t="str">
        <f>IF('Raw Data'!L791="","No Coupon",'Raw Data'!L791)</f>
        <v>SAVE10</v>
      </c>
      <c r="M791" s="4" t="str">
        <f>'Raw Data'!M791</f>
        <v>Email</v>
      </c>
      <c r="N791" s="4">
        <f>'Raw Data'!N791</f>
        <v>3456.4</v>
      </c>
    </row>
    <row r="792" spans="1:14" ht="15" customHeight="1" x14ac:dyDescent="0.2">
      <c r="A792" s="4" t="str">
        <f>'Raw Data'!A792</f>
        <v>ORD200790</v>
      </c>
      <c r="B792" s="6">
        <f>'Raw Data'!B792</f>
        <v>45549</v>
      </c>
      <c r="C792" s="4" t="str">
        <f>'Raw Data'!C792</f>
        <v>C38928</v>
      </c>
      <c r="D792" s="4" t="str">
        <f>'Raw Data'!D792</f>
        <v>Laptop</v>
      </c>
      <c r="E792" s="4">
        <f>'Raw Data'!E792</f>
        <v>4</v>
      </c>
      <c r="F792" s="4">
        <f>'Raw Data'!F792</f>
        <v>417.89</v>
      </c>
      <c r="G792" s="4" t="str">
        <f>'Raw Data'!G792</f>
        <v>302 Main St</v>
      </c>
      <c r="H792" s="4" t="str">
        <f>'Raw Data'!H792</f>
        <v>Gift Card</v>
      </c>
      <c r="I792" s="4" t="str">
        <f>'Raw Data'!I792</f>
        <v>Pending</v>
      </c>
      <c r="J792" s="4" t="str">
        <f>'Raw Data'!J792</f>
        <v>TRK96636009</v>
      </c>
      <c r="K792" s="4">
        <f>'Raw Data'!K792</f>
        <v>4</v>
      </c>
      <c r="L792" s="4" t="str">
        <f>IF('Raw Data'!L792="","No Coupon",'Raw Data'!L792)</f>
        <v>No Coupon</v>
      </c>
      <c r="M792" s="4" t="str">
        <f>'Raw Data'!M792</f>
        <v>Google</v>
      </c>
      <c r="N792" s="4">
        <f>'Raw Data'!N792</f>
        <v>1671.56</v>
      </c>
    </row>
    <row r="793" spans="1:14" ht="15" customHeight="1" x14ac:dyDescent="0.2">
      <c r="A793" s="4" t="str">
        <f>'Raw Data'!A793</f>
        <v>ORD200791</v>
      </c>
      <c r="B793" s="6">
        <f>'Raw Data'!B793</f>
        <v>45304</v>
      </c>
      <c r="C793" s="4" t="str">
        <f>'Raw Data'!C793</f>
        <v>C49710</v>
      </c>
      <c r="D793" s="4" t="str">
        <f>'Raw Data'!D793</f>
        <v>Chair</v>
      </c>
      <c r="E793" s="4">
        <f>'Raw Data'!E793</f>
        <v>4</v>
      </c>
      <c r="F793" s="4">
        <f>'Raw Data'!F793</f>
        <v>409.28</v>
      </c>
      <c r="G793" s="4" t="str">
        <f>'Raw Data'!G793</f>
        <v>956 Main St</v>
      </c>
      <c r="H793" s="4" t="str">
        <f>'Raw Data'!H793</f>
        <v>Cash</v>
      </c>
      <c r="I793" s="4" t="str">
        <f>'Raw Data'!I793</f>
        <v>Pending</v>
      </c>
      <c r="J793" s="4" t="str">
        <f>'Raw Data'!J793</f>
        <v>TRK92591237</v>
      </c>
      <c r="K793" s="4">
        <f>'Raw Data'!K793</f>
        <v>8</v>
      </c>
      <c r="L793" s="4" t="str">
        <f>IF('Raw Data'!L793="","No Coupon",'Raw Data'!L793)</f>
        <v>No Coupon</v>
      </c>
      <c r="M793" s="4" t="str">
        <f>'Raw Data'!M793</f>
        <v>Email</v>
      </c>
      <c r="N793" s="4">
        <f>'Raw Data'!N793</f>
        <v>1637.12</v>
      </c>
    </row>
    <row r="794" spans="1:14" ht="15" customHeight="1" x14ac:dyDescent="0.2">
      <c r="A794" s="4" t="str">
        <f>'Raw Data'!A794</f>
        <v>ORD200792</v>
      </c>
      <c r="B794" s="6">
        <f>'Raw Data'!B794</f>
        <v>45093</v>
      </c>
      <c r="C794" s="4" t="str">
        <f>'Raw Data'!C794</f>
        <v>C41709</v>
      </c>
      <c r="D794" s="4" t="str">
        <f>'Raw Data'!D794</f>
        <v>Desk</v>
      </c>
      <c r="E794" s="4">
        <f>'Raw Data'!E794</f>
        <v>2</v>
      </c>
      <c r="F794" s="4">
        <f>'Raw Data'!F794</f>
        <v>356.35</v>
      </c>
      <c r="G794" s="4" t="str">
        <f>'Raw Data'!G794</f>
        <v>746 Main St</v>
      </c>
      <c r="H794" s="4" t="str">
        <f>'Raw Data'!H794</f>
        <v>Debit Card</v>
      </c>
      <c r="I794" s="4" t="str">
        <f>'Raw Data'!I794</f>
        <v>Returned</v>
      </c>
      <c r="J794" s="4" t="str">
        <f>'Raw Data'!J794</f>
        <v>TRK90995294</v>
      </c>
      <c r="K794" s="4">
        <f>'Raw Data'!K794</f>
        <v>6</v>
      </c>
      <c r="L794" s="4" t="str">
        <f>IF('Raw Data'!L794="","No Coupon",'Raw Data'!L794)</f>
        <v>WINTER15</v>
      </c>
      <c r="M794" s="4" t="str">
        <f>'Raw Data'!M794</f>
        <v>Facebook</v>
      </c>
      <c r="N794" s="4">
        <f>'Raw Data'!N794</f>
        <v>712.7</v>
      </c>
    </row>
    <row r="795" spans="1:14" ht="15" customHeight="1" x14ac:dyDescent="0.2">
      <c r="A795" s="4" t="str">
        <f>'Raw Data'!A795</f>
        <v>ORD200793</v>
      </c>
      <c r="B795" s="6">
        <f>'Raw Data'!B795</f>
        <v>45397</v>
      </c>
      <c r="C795" s="4" t="str">
        <f>'Raw Data'!C795</f>
        <v>C91255</v>
      </c>
      <c r="D795" s="4" t="str">
        <f>'Raw Data'!D795</f>
        <v>Chair</v>
      </c>
      <c r="E795" s="4">
        <f>'Raw Data'!E795</f>
        <v>5</v>
      </c>
      <c r="F795" s="4">
        <f>'Raw Data'!F795</f>
        <v>170.22</v>
      </c>
      <c r="G795" s="4" t="str">
        <f>'Raw Data'!G795</f>
        <v>769 Main St</v>
      </c>
      <c r="H795" s="4" t="str">
        <f>'Raw Data'!H795</f>
        <v>Debit Card</v>
      </c>
      <c r="I795" s="4" t="str">
        <f>'Raw Data'!I795</f>
        <v>Delivered</v>
      </c>
      <c r="J795" s="4" t="str">
        <f>'Raw Data'!J795</f>
        <v>TRK69599961</v>
      </c>
      <c r="K795" s="4">
        <f>'Raw Data'!K795</f>
        <v>8</v>
      </c>
      <c r="L795" s="4" t="str">
        <f>IF('Raw Data'!L795="","No Coupon",'Raw Data'!L795)</f>
        <v>No Coupon</v>
      </c>
      <c r="M795" s="4" t="str">
        <f>'Raw Data'!M795</f>
        <v>Referral</v>
      </c>
      <c r="N795" s="4">
        <f>'Raw Data'!N795</f>
        <v>851.1</v>
      </c>
    </row>
    <row r="796" spans="1:14" ht="15" customHeight="1" x14ac:dyDescent="0.2">
      <c r="A796" s="4" t="str">
        <f>'Raw Data'!A796</f>
        <v>ORD200794</v>
      </c>
      <c r="B796" s="6">
        <f>'Raw Data'!B796</f>
        <v>44994</v>
      </c>
      <c r="C796" s="4" t="str">
        <f>'Raw Data'!C796</f>
        <v>C76653</v>
      </c>
      <c r="D796" s="4" t="str">
        <f>'Raw Data'!D796</f>
        <v>Printer</v>
      </c>
      <c r="E796" s="4">
        <f>'Raw Data'!E796</f>
        <v>4</v>
      </c>
      <c r="F796" s="4">
        <f>'Raw Data'!F796</f>
        <v>384.85</v>
      </c>
      <c r="G796" s="4" t="str">
        <f>'Raw Data'!G796</f>
        <v>988 Main St</v>
      </c>
      <c r="H796" s="4" t="str">
        <f>'Raw Data'!H796</f>
        <v>Online</v>
      </c>
      <c r="I796" s="4" t="str">
        <f>'Raw Data'!I796</f>
        <v>Delivered</v>
      </c>
      <c r="J796" s="4" t="str">
        <f>'Raw Data'!J796</f>
        <v>TRK77052196</v>
      </c>
      <c r="K796" s="4">
        <f>'Raw Data'!K796</f>
        <v>9</v>
      </c>
      <c r="L796" s="4" t="str">
        <f>IF('Raw Data'!L796="","No Coupon",'Raw Data'!L796)</f>
        <v>FREESHIP</v>
      </c>
      <c r="M796" s="4" t="str">
        <f>'Raw Data'!M796</f>
        <v>Instagram</v>
      </c>
      <c r="N796" s="4">
        <f>'Raw Data'!N796</f>
        <v>1539.4</v>
      </c>
    </row>
    <row r="797" spans="1:14" ht="15" customHeight="1" x14ac:dyDescent="0.2">
      <c r="A797" s="4" t="str">
        <f>'Raw Data'!A797</f>
        <v>ORD200795</v>
      </c>
      <c r="B797" s="6">
        <f>'Raw Data'!B797</f>
        <v>45616</v>
      </c>
      <c r="C797" s="4" t="str">
        <f>'Raw Data'!C797</f>
        <v>C95667</v>
      </c>
      <c r="D797" s="4" t="str">
        <f>'Raw Data'!D797</f>
        <v>Laptop</v>
      </c>
      <c r="E797" s="4">
        <f>'Raw Data'!E797</f>
        <v>4</v>
      </c>
      <c r="F797" s="4">
        <f>'Raw Data'!F797</f>
        <v>115.77</v>
      </c>
      <c r="G797" s="4" t="str">
        <f>'Raw Data'!G797</f>
        <v>586 Main St</v>
      </c>
      <c r="H797" s="4" t="str">
        <f>'Raw Data'!H797</f>
        <v>Online</v>
      </c>
      <c r="I797" s="4" t="str">
        <f>'Raw Data'!I797</f>
        <v>Pending</v>
      </c>
      <c r="J797" s="4" t="str">
        <f>'Raw Data'!J797</f>
        <v>TRK41266666</v>
      </c>
      <c r="K797" s="4">
        <f>'Raw Data'!K797</f>
        <v>7</v>
      </c>
      <c r="L797" s="4" t="str">
        <f>IF('Raw Data'!L797="","No Coupon",'Raw Data'!L797)</f>
        <v>SAVE10</v>
      </c>
      <c r="M797" s="4" t="str">
        <f>'Raw Data'!M797</f>
        <v>Instagram</v>
      </c>
      <c r="N797" s="4">
        <f>'Raw Data'!N797</f>
        <v>463.08</v>
      </c>
    </row>
    <row r="798" spans="1:14" ht="15" customHeight="1" x14ac:dyDescent="0.2">
      <c r="A798" s="4" t="str">
        <f>'Raw Data'!A798</f>
        <v>ORD200796</v>
      </c>
      <c r="B798" s="6">
        <f>'Raw Data'!B798</f>
        <v>45776</v>
      </c>
      <c r="C798" s="4" t="str">
        <f>'Raw Data'!C798</f>
        <v>C33313</v>
      </c>
      <c r="D798" s="4" t="str">
        <f>'Raw Data'!D798</f>
        <v>Phone</v>
      </c>
      <c r="E798" s="4">
        <f>'Raw Data'!E798</f>
        <v>3</v>
      </c>
      <c r="F798" s="4">
        <f>'Raw Data'!F798</f>
        <v>579.54999999999995</v>
      </c>
      <c r="G798" s="4" t="str">
        <f>'Raw Data'!G798</f>
        <v>882 Main St</v>
      </c>
      <c r="H798" s="4" t="str">
        <f>'Raw Data'!H798</f>
        <v>Gift Card</v>
      </c>
      <c r="I798" s="4" t="str">
        <f>'Raw Data'!I798</f>
        <v>Returned</v>
      </c>
      <c r="J798" s="4" t="str">
        <f>'Raw Data'!J798</f>
        <v>TRK13349970</v>
      </c>
      <c r="K798" s="4">
        <f>'Raw Data'!K798</f>
        <v>8</v>
      </c>
      <c r="L798" s="4" t="str">
        <f>IF('Raw Data'!L798="","No Coupon",'Raw Data'!L798)</f>
        <v>WINTER15</v>
      </c>
      <c r="M798" s="4" t="str">
        <f>'Raw Data'!M798</f>
        <v>Facebook</v>
      </c>
      <c r="N798" s="4">
        <f>'Raw Data'!N798</f>
        <v>1738.65</v>
      </c>
    </row>
    <row r="799" spans="1:14" ht="15" customHeight="1" x14ac:dyDescent="0.2">
      <c r="A799" s="4" t="str">
        <f>'Raw Data'!A799</f>
        <v>ORD200797</v>
      </c>
      <c r="B799" s="6">
        <f>'Raw Data'!B799</f>
        <v>44984</v>
      </c>
      <c r="C799" s="4" t="str">
        <f>'Raw Data'!C799</f>
        <v>C36825</v>
      </c>
      <c r="D799" s="4" t="str">
        <f>'Raw Data'!D799</f>
        <v>Laptop</v>
      </c>
      <c r="E799" s="4">
        <f>'Raw Data'!E799</f>
        <v>2</v>
      </c>
      <c r="F799" s="4">
        <f>'Raw Data'!F799</f>
        <v>438.76</v>
      </c>
      <c r="G799" s="4" t="str">
        <f>'Raw Data'!G799</f>
        <v>426 Main St</v>
      </c>
      <c r="H799" s="4" t="str">
        <f>'Raw Data'!H799</f>
        <v>Debit Card</v>
      </c>
      <c r="I799" s="4" t="str">
        <f>'Raw Data'!I799</f>
        <v>Returned</v>
      </c>
      <c r="J799" s="4" t="str">
        <f>'Raw Data'!J799</f>
        <v>TRK72557318</v>
      </c>
      <c r="K799" s="4">
        <f>'Raw Data'!K799</f>
        <v>2</v>
      </c>
      <c r="L799" s="4" t="str">
        <f>IF('Raw Data'!L799="","No Coupon",'Raw Data'!L799)</f>
        <v>No Coupon</v>
      </c>
      <c r="M799" s="4" t="str">
        <f>'Raw Data'!M799</f>
        <v>Facebook</v>
      </c>
      <c r="N799" s="4">
        <f>'Raw Data'!N799</f>
        <v>877.52</v>
      </c>
    </row>
    <row r="800" spans="1:14" ht="15" customHeight="1" x14ac:dyDescent="0.2">
      <c r="A800" s="4" t="str">
        <f>'Raw Data'!A800</f>
        <v>ORD200798</v>
      </c>
      <c r="B800" s="6">
        <f>'Raw Data'!B800</f>
        <v>45796</v>
      </c>
      <c r="C800" s="4" t="str">
        <f>'Raw Data'!C800</f>
        <v>C20861</v>
      </c>
      <c r="D800" s="4" t="str">
        <f>'Raw Data'!D800</f>
        <v>Phone</v>
      </c>
      <c r="E800" s="4">
        <f>'Raw Data'!E800</f>
        <v>5</v>
      </c>
      <c r="F800" s="4">
        <f>'Raw Data'!F800</f>
        <v>488.35</v>
      </c>
      <c r="G800" s="4" t="str">
        <f>'Raw Data'!G800</f>
        <v>968 Main St</v>
      </c>
      <c r="H800" s="4" t="str">
        <f>'Raw Data'!H800</f>
        <v>Debit Card</v>
      </c>
      <c r="I800" s="4" t="str">
        <f>'Raw Data'!I800</f>
        <v>Returned</v>
      </c>
      <c r="J800" s="4" t="str">
        <f>'Raw Data'!J800</f>
        <v>TRK89372013</v>
      </c>
      <c r="K800" s="4">
        <f>'Raw Data'!K800</f>
        <v>9</v>
      </c>
      <c r="L800" s="4" t="str">
        <f>IF('Raw Data'!L800="","No Coupon",'Raw Data'!L800)</f>
        <v>FREESHIP</v>
      </c>
      <c r="M800" s="4" t="str">
        <f>'Raw Data'!M800</f>
        <v>Email</v>
      </c>
      <c r="N800" s="4">
        <f>'Raw Data'!N800</f>
        <v>2441.75</v>
      </c>
    </row>
    <row r="801" spans="1:14" ht="15" customHeight="1" x14ac:dyDescent="0.2">
      <c r="A801" s="4" t="str">
        <f>'Raw Data'!A801</f>
        <v>ORD200799</v>
      </c>
      <c r="B801" s="6">
        <f>'Raw Data'!B801</f>
        <v>45032</v>
      </c>
      <c r="C801" s="4" t="str">
        <f>'Raw Data'!C801</f>
        <v>C26364</v>
      </c>
      <c r="D801" s="4" t="str">
        <f>'Raw Data'!D801</f>
        <v>Laptop</v>
      </c>
      <c r="E801" s="4">
        <f>'Raw Data'!E801</f>
        <v>4</v>
      </c>
      <c r="F801" s="4">
        <f>'Raw Data'!F801</f>
        <v>328.56</v>
      </c>
      <c r="G801" s="4" t="str">
        <f>'Raw Data'!G801</f>
        <v>803 Main St</v>
      </c>
      <c r="H801" s="4" t="str">
        <f>'Raw Data'!H801</f>
        <v>Debit Card</v>
      </c>
      <c r="I801" s="4" t="str">
        <f>'Raw Data'!I801</f>
        <v>Returned</v>
      </c>
      <c r="J801" s="4" t="str">
        <f>'Raw Data'!J801</f>
        <v>TRK78924436</v>
      </c>
      <c r="K801" s="4">
        <f>'Raw Data'!K801</f>
        <v>4</v>
      </c>
      <c r="L801" s="4" t="str">
        <f>IF('Raw Data'!L801="","No Coupon",'Raw Data'!L801)</f>
        <v>FREESHIP</v>
      </c>
      <c r="M801" s="4" t="str">
        <f>'Raw Data'!M801</f>
        <v>Email</v>
      </c>
      <c r="N801" s="4">
        <f>'Raw Data'!N801</f>
        <v>1314.24</v>
      </c>
    </row>
    <row r="802" spans="1:14" ht="15" customHeight="1" x14ac:dyDescent="0.2">
      <c r="A802" s="4" t="str">
        <f>'Raw Data'!A802</f>
        <v>ORD200800</v>
      </c>
      <c r="B802" s="6">
        <f>'Raw Data'!B802</f>
        <v>45744</v>
      </c>
      <c r="C802" s="4" t="str">
        <f>'Raw Data'!C802</f>
        <v>C34686</v>
      </c>
      <c r="D802" s="4" t="str">
        <f>'Raw Data'!D802</f>
        <v>Tablet</v>
      </c>
      <c r="E802" s="4">
        <f>'Raw Data'!E802</f>
        <v>1</v>
      </c>
      <c r="F802" s="4">
        <f>'Raw Data'!F802</f>
        <v>68.39</v>
      </c>
      <c r="G802" s="4" t="str">
        <f>'Raw Data'!G802</f>
        <v>412 Main St</v>
      </c>
      <c r="H802" s="4" t="str">
        <f>'Raw Data'!H802</f>
        <v>Online</v>
      </c>
      <c r="I802" s="4" t="str">
        <f>'Raw Data'!I802</f>
        <v>Returned</v>
      </c>
      <c r="J802" s="4" t="str">
        <f>'Raw Data'!J802</f>
        <v>TRK99468332</v>
      </c>
      <c r="K802" s="4">
        <f>'Raw Data'!K802</f>
        <v>3</v>
      </c>
      <c r="L802" s="4" t="str">
        <f>IF('Raw Data'!L802="","No Coupon",'Raw Data'!L802)</f>
        <v>WINTER15</v>
      </c>
      <c r="M802" s="4" t="str">
        <f>'Raw Data'!M802</f>
        <v>Facebook</v>
      </c>
      <c r="N802" s="4">
        <f>'Raw Data'!N802</f>
        <v>68.39</v>
      </c>
    </row>
    <row r="803" spans="1:14" ht="15" customHeight="1" x14ac:dyDescent="0.2">
      <c r="A803" s="4" t="str">
        <f>'Raw Data'!A803</f>
        <v>ORD200801</v>
      </c>
      <c r="B803" s="6">
        <f>'Raw Data'!B803</f>
        <v>45049</v>
      </c>
      <c r="C803" s="4" t="str">
        <f>'Raw Data'!C803</f>
        <v>C97593</v>
      </c>
      <c r="D803" s="4" t="str">
        <f>'Raw Data'!D803</f>
        <v>Printer</v>
      </c>
      <c r="E803" s="4">
        <f>'Raw Data'!E803</f>
        <v>4</v>
      </c>
      <c r="F803" s="4">
        <f>'Raw Data'!F803</f>
        <v>595.62</v>
      </c>
      <c r="G803" s="4" t="str">
        <f>'Raw Data'!G803</f>
        <v>738 Main St</v>
      </c>
      <c r="H803" s="4" t="str">
        <f>'Raw Data'!H803</f>
        <v>Debit Card</v>
      </c>
      <c r="I803" s="4" t="str">
        <f>'Raw Data'!I803</f>
        <v>Pending</v>
      </c>
      <c r="J803" s="4" t="str">
        <f>'Raw Data'!J803</f>
        <v>TRK58443593</v>
      </c>
      <c r="K803" s="4">
        <f>'Raw Data'!K803</f>
        <v>8</v>
      </c>
      <c r="L803" s="4" t="str">
        <f>IF('Raw Data'!L803="","No Coupon",'Raw Data'!L803)</f>
        <v>FREESHIP</v>
      </c>
      <c r="M803" s="4" t="str">
        <f>'Raw Data'!M803</f>
        <v>Facebook</v>
      </c>
      <c r="N803" s="4">
        <f>'Raw Data'!N803</f>
        <v>2382.48</v>
      </c>
    </row>
    <row r="804" spans="1:14" ht="15" customHeight="1" x14ac:dyDescent="0.2">
      <c r="A804" s="4" t="str">
        <f>'Raw Data'!A804</f>
        <v>ORD200802</v>
      </c>
      <c r="B804" s="6">
        <f>'Raw Data'!B804</f>
        <v>45339</v>
      </c>
      <c r="C804" s="4" t="str">
        <f>'Raw Data'!C804</f>
        <v>C84331</v>
      </c>
      <c r="D804" s="4" t="str">
        <f>'Raw Data'!D804</f>
        <v>Chair</v>
      </c>
      <c r="E804" s="4">
        <f>'Raw Data'!E804</f>
        <v>5</v>
      </c>
      <c r="F804" s="4">
        <f>'Raw Data'!F804</f>
        <v>644.64</v>
      </c>
      <c r="G804" s="4" t="str">
        <f>'Raw Data'!G804</f>
        <v>205 Main St</v>
      </c>
      <c r="H804" s="4" t="str">
        <f>'Raw Data'!H804</f>
        <v>Gift Card</v>
      </c>
      <c r="I804" s="4" t="str">
        <f>'Raw Data'!I804</f>
        <v>Cancelled</v>
      </c>
      <c r="J804" s="4" t="str">
        <f>'Raw Data'!J804</f>
        <v>TRK34440714</v>
      </c>
      <c r="K804" s="4">
        <f>'Raw Data'!K804</f>
        <v>6</v>
      </c>
      <c r="L804" s="4" t="str">
        <f>IF('Raw Data'!L804="","No Coupon",'Raw Data'!L804)</f>
        <v>FREESHIP</v>
      </c>
      <c r="M804" s="4" t="str">
        <f>'Raw Data'!M804</f>
        <v>Email</v>
      </c>
      <c r="N804" s="4">
        <f>'Raw Data'!N804</f>
        <v>3223.2</v>
      </c>
    </row>
    <row r="805" spans="1:14" ht="15" customHeight="1" x14ac:dyDescent="0.2">
      <c r="A805" s="4" t="str">
        <f>'Raw Data'!A805</f>
        <v>ORD200803</v>
      </c>
      <c r="B805" s="6">
        <f>'Raw Data'!B805</f>
        <v>45158</v>
      </c>
      <c r="C805" s="4" t="str">
        <f>'Raw Data'!C805</f>
        <v>C88775</v>
      </c>
      <c r="D805" s="4" t="str">
        <f>'Raw Data'!D805</f>
        <v>Monitor</v>
      </c>
      <c r="E805" s="4">
        <f>'Raw Data'!E805</f>
        <v>5</v>
      </c>
      <c r="F805" s="4">
        <f>'Raw Data'!F805</f>
        <v>397.81</v>
      </c>
      <c r="G805" s="4" t="str">
        <f>'Raw Data'!G805</f>
        <v>223 Main St</v>
      </c>
      <c r="H805" s="4" t="str">
        <f>'Raw Data'!H805</f>
        <v>Debit Card</v>
      </c>
      <c r="I805" s="4" t="str">
        <f>'Raw Data'!I805</f>
        <v>Returned</v>
      </c>
      <c r="J805" s="4" t="str">
        <f>'Raw Data'!J805</f>
        <v>TRK45098068</v>
      </c>
      <c r="K805" s="4">
        <f>'Raw Data'!K805</f>
        <v>5</v>
      </c>
      <c r="L805" s="4" t="str">
        <f>IF('Raw Data'!L805="","No Coupon",'Raw Data'!L805)</f>
        <v>SAVE10</v>
      </c>
      <c r="M805" s="4" t="str">
        <f>'Raw Data'!M805</f>
        <v>Referral</v>
      </c>
      <c r="N805" s="4">
        <f>'Raw Data'!N805</f>
        <v>1989.05</v>
      </c>
    </row>
    <row r="806" spans="1:14" ht="15" customHeight="1" x14ac:dyDescent="0.2">
      <c r="A806" s="4" t="str">
        <f>'Raw Data'!A806</f>
        <v>ORD200804</v>
      </c>
      <c r="B806" s="6">
        <f>'Raw Data'!B806</f>
        <v>45292</v>
      </c>
      <c r="C806" s="4" t="str">
        <f>'Raw Data'!C806</f>
        <v>C76362</v>
      </c>
      <c r="D806" s="4" t="str">
        <f>'Raw Data'!D806</f>
        <v>Chair</v>
      </c>
      <c r="E806" s="4">
        <f>'Raw Data'!E806</f>
        <v>3</v>
      </c>
      <c r="F806" s="4">
        <f>'Raw Data'!F806</f>
        <v>236.5</v>
      </c>
      <c r="G806" s="4" t="str">
        <f>'Raw Data'!G806</f>
        <v>916 Main St</v>
      </c>
      <c r="H806" s="4" t="str">
        <f>'Raw Data'!H806</f>
        <v>Online</v>
      </c>
      <c r="I806" s="4" t="str">
        <f>'Raw Data'!I806</f>
        <v>Delivered</v>
      </c>
      <c r="J806" s="4" t="str">
        <f>'Raw Data'!J806</f>
        <v>TRK11868618</v>
      </c>
      <c r="K806" s="4">
        <f>'Raw Data'!K806</f>
        <v>8</v>
      </c>
      <c r="L806" s="4" t="str">
        <f>IF('Raw Data'!L806="","No Coupon",'Raw Data'!L806)</f>
        <v>FREESHIP</v>
      </c>
      <c r="M806" s="4" t="str">
        <f>'Raw Data'!M806</f>
        <v>Email</v>
      </c>
      <c r="N806" s="4">
        <f>'Raw Data'!N806</f>
        <v>709.5</v>
      </c>
    </row>
    <row r="807" spans="1:14" ht="15" customHeight="1" x14ac:dyDescent="0.2">
      <c r="A807" s="4" t="str">
        <f>'Raw Data'!A807</f>
        <v>ORD200805</v>
      </c>
      <c r="B807" s="6">
        <f>'Raw Data'!B807</f>
        <v>45580</v>
      </c>
      <c r="C807" s="4" t="str">
        <f>'Raw Data'!C807</f>
        <v>C59278</v>
      </c>
      <c r="D807" s="4" t="str">
        <f>'Raw Data'!D807</f>
        <v>Laptop</v>
      </c>
      <c r="E807" s="4">
        <f>'Raw Data'!E807</f>
        <v>5</v>
      </c>
      <c r="F807" s="4">
        <f>'Raw Data'!F807</f>
        <v>472.01</v>
      </c>
      <c r="G807" s="4" t="str">
        <f>'Raw Data'!G807</f>
        <v>178 Main St</v>
      </c>
      <c r="H807" s="4" t="str">
        <f>'Raw Data'!H807</f>
        <v>Gift Card</v>
      </c>
      <c r="I807" s="4" t="str">
        <f>'Raw Data'!I807</f>
        <v>Cancelled</v>
      </c>
      <c r="J807" s="4" t="str">
        <f>'Raw Data'!J807</f>
        <v>TRK14590037</v>
      </c>
      <c r="K807" s="4">
        <f>'Raw Data'!K807</f>
        <v>10</v>
      </c>
      <c r="L807" s="4" t="str">
        <f>IF('Raw Data'!L807="","No Coupon",'Raw Data'!L807)</f>
        <v>SAVE10</v>
      </c>
      <c r="M807" s="4" t="str">
        <f>'Raw Data'!M807</f>
        <v>Email</v>
      </c>
      <c r="N807" s="4">
        <f>'Raw Data'!N807</f>
        <v>2360.0500000000002</v>
      </c>
    </row>
    <row r="808" spans="1:14" ht="15" customHeight="1" x14ac:dyDescent="0.2">
      <c r="A808" s="4" t="str">
        <f>'Raw Data'!A808</f>
        <v>ORD200806</v>
      </c>
      <c r="B808" s="6">
        <f>'Raw Data'!B808</f>
        <v>45170</v>
      </c>
      <c r="C808" s="4" t="str">
        <f>'Raw Data'!C808</f>
        <v>C55819</v>
      </c>
      <c r="D808" s="4" t="str">
        <f>'Raw Data'!D808</f>
        <v>Chair</v>
      </c>
      <c r="E808" s="4">
        <f>'Raw Data'!E808</f>
        <v>5</v>
      </c>
      <c r="F808" s="4">
        <f>'Raw Data'!F808</f>
        <v>253.75</v>
      </c>
      <c r="G808" s="4" t="str">
        <f>'Raw Data'!G808</f>
        <v>740 Main St</v>
      </c>
      <c r="H808" s="4" t="str">
        <f>'Raw Data'!H808</f>
        <v>Online</v>
      </c>
      <c r="I808" s="4" t="str">
        <f>'Raw Data'!I808</f>
        <v>Pending</v>
      </c>
      <c r="J808" s="4" t="str">
        <f>'Raw Data'!J808</f>
        <v>TRK13775054</v>
      </c>
      <c r="K808" s="4">
        <f>'Raw Data'!K808</f>
        <v>9</v>
      </c>
      <c r="L808" s="4" t="str">
        <f>IF('Raw Data'!L808="","No Coupon",'Raw Data'!L808)</f>
        <v>WINTER15</v>
      </c>
      <c r="M808" s="4" t="str">
        <f>'Raw Data'!M808</f>
        <v>Instagram</v>
      </c>
      <c r="N808" s="4">
        <f>'Raw Data'!N808</f>
        <v>1268.75</v>
      </c>
    </row>
    <row r="809" spans="1:14" ht="15" customHeight="1" x14ac:dyDescent="0.2">
      <c r="A809" s="4" t="str">
        <f>'Raw Data'!A809</f>
        <v>ORD200807</v>
      </c>
      <c r="B809" s="6">
        <f>'Raw Data'!B809</f>
        <v>45606</v>
      </c>
      <c r="C809" s="4" t="str">
        <f>'Raw Data'!C809</f>
        <v>C82344</v>
      </c>
      <c r="D809" s="4" t="str">
        <f>'Raw Data'!D809</f>
        <v>Monitor</v>
      </c>
      <c r="E809" s="4">
        <f>'Raw Data'!E809</f>
        <v>3</v>
      </c>
      <c r="F809" s="4">
        <f>'Raw Data'!F809</f>
        <v>676.21</v>
      </c>
      <c r="G809" s="4" t="str">
        <f>'Raw Data'!G809</f>
        <v>260 Main St</v>
      </c>
      <c r="H809" s="4" t="str">
        <f>'Raw Data'!H809</f>
        <v>Online</v>
      </c>
      <c r="I809" s="4" t="str">
        <f>'Raw Data'!I809</f>
        <v>Delivered</v>
      </c>
      <c r="J809" s="4" t="str">
        <f>'Raw Data'!J809</f>
        <v>TRK70957219</v>
      </c>
      <c r="K809" s="4">
        <f>'Raw Data'!K809</f>
        <v>5</v>
      </c>
      <c r="L809" s="4" t="str">
        <f>IF('Raw Data'!L809="","No Coupon",'Raw Data'!L809)</f>
        <v>SAVE10</v>
      </c>
      <c r="M809" s="4" t="str">
        <f>'Raw Data'!M809</f>
        <v>Google</v>
      </c>
      <c r="N809" s="4">
        <f>'Raw Data'!N809</f>
        <v>2028.63</v>
      </c>
    </row>
    <row r="810" spans="1:14" ht="15" customHeight="1" x14ac:dyDescent="0.2">
      <c r="A810" s="4" t="str">
        <f>'Raw Data'!A810</f>
        <v>ORD200808</v>
      </c>
      <c r="B810" s="6">
        <f>'Raw Data'!B810</f>
        <v>45335</v>
      </c>
      <c r="C810" s="4" t="str">
        <f>'Raw Data'!C810</f>
        <v>C65565</v>
      </c>
      <c r="D810" s="4" t="str">
        <f>'Raw Data'!D810</f>
        <v>Desk</v>
      </c>
      <c r="E810" s="4">
        <f>'Raw Data'!E810</f>
        <v>3</v>
      </c>
      <c r="F810" s="4">
        <f>'Raw Data'!F810</f>
        <v>134.05000000000001</v>
      </c>
      <c r="G810" s="4" t="str">
        <f>'Raw Data'!G810</f>
        <v>192 Main St</v>
      </c>
      <c r="H810" s="4" t="str">
        <f>'Raw Data'!H810</f>
        <v>Credit Card</v>
      </c>
      <c r="I810" s="4" t="str">
        <f>'Raw Data'!I810</f>
        <v>Shipped</v>
      </c>
      <c r="J810" s="4" t="str">
        <f>'Raw Data'!J810</f>
        <v>TRK80383756</v>
      </c>
      <c r="K810" s="4">
        <f>'Raw Data'!K810</f>
        <v>3</v>
      </c>
      <c r="L810" s="4" t="str">
        <f>IF('Raw Data'!L810="","No Coupon",'Raw Data'!L810)</f>
        <v>No Coupon</v>
      </c>
      <c r="M810" s="4" t="str">
        <f>'Raw Data'!M810</f>
        <v>Google</v>
      </c>
      <c r="N810" s="4">
        <f>'Raw Data'!N810</f>
        <v>402.15</v>
      </c>
    </row>
    <row r="811" spans="1:14" ht="15" customHeight="1" x14ac:dyDescent="0.2">
      <c r="A811" s="4" t="str">
        <f>'Raw Data'!A811</f>
        <v>ORD200809</v>
      </c>
      <c r="B811" s="6">
        <f>'Raw Data'!B811</f>
        <v>45391</v>
      </c>
      <c r="C811" s="4" t="str">
        <f>'Raw Data'!C811</f>
        <v>C80416</v>
      </c>
      <c r="D811" s="4" t="str">
        <f>'Raw Data'!D811</f>
        <v>Desk</v>
      </c>
      <c r="E811" s="4">
        <f>'Raw Data'!E811</f>
        <v>5</v>
      </c>
      <c r="F811" s="4">
        <f>'Raw Data'!F811</f>
        <v>217.43</v>
      </c>
      <c r="G811" s="4" t="str">
        <f>'Raw Data'!G811</f>
        <v>752 Main St</v>
      </c>
      <c r="H811" s="4" t="str">
        <f>'Raw Data'!H811</f>
        <v>Debit Card</v>
      </c>
      <c r="I811" s="4" t="str">
        <f>'Raw Data'!I811</f>
        <v>Shipped</v>
      </c>
      <c r="J811" s="4" t="str">
        <f>'Raw Data'!J811</f>
        <v>TRK54385892</v>
      </c>
      <c r="K811" s="4">
        <f>'Raw Data'!K811</f>
        <v>10</v>
      </c>
      <c r="L811" s="4" t="str">
        <f>IF('Raw Data'!L811="","No Coupon",'Raw Data'!L811)</f>
        <v>SAVE10</v>
      </c>
      <c r="M811" s="4" t="str">
        <f>'Raw Data'!M811</f>
        <v>Instagram</v>
      </c>
      <c r="N811" s="4">
        <f>'Raw Data'!N811</f>
        <v>1087.1500000000001</v>
      </c>
    </row>
    <row r="812" spans="1:14" ht="15" customHeight="1" x14ac:dyDescent="0.2">
      <c r="A812" s="4" t="str">
        <f>'Raw Data'!A812</f>
        <v>ORD200810</v>
      </c>
      <c r="B812" s="6">
        <f>'Raw Data'!B812</f>
        <v>45077</v>
      </c>
      <c r="C812" s="4" t="str">
        <f>'Raw Data'!C812</f>
        <v>C23637</v>
      </c>
      <c r="D812" s="4" t="str">
        <f>'Raw Data'!D812</f>
        <v>Tablet</v>
      </c>
      <c r="E812" s="4">
        <f>'Raw Data'!E812</f>
        <v>1</v>
      </c>
      <c r="F812" s="4">
        <f>'Raw Data'!F812</f>
        <v>553.55999999999995</v>
      </c>
      <c r="G812" s="4" t="str">
        <f>'Raw Data'!G812</f>
        <v>644 Main St</v>
      </c>
      <c r="H812" s="4" t="str">
        <f>'Raw Data'!H812</f>
        <v>Credit Card</v>
      </c>
      <c r="I812" s="4" t="str">
        <f>'Raw Data'!I812</f>
        <v>Cancelled</v>
      </c>
      <c r="J812" s="4" t="str">
        <f>'Raw Data'!J812</f>
        <v>TRK16749863</v>
      </c>
      <c r="K812" s="4">
        <f>'Raw Data'!K812</f>
        <v>5</v>
      </c>
      <c r="L812" s="4" t="str">
        <f>IF('Raw Data'!L812="","No Coupon",'Raw Data'!L812)</f>
        <v>No Coupon</v>
      </c>
      <c r="M812" s="4" t="str">
        <f>'Raw Data'!M812</f>
        <v>Referral</v>
      </c>
      <c r="N812" s="4">
        <f>'Raw Data'!N812</f>
        <v>553.55999999999995</v>
      </c>
    </row>
    <row r="813" spans="1:14" ht="15" customHeight="1" x14ac:dyDescent="0.2">
      <c r="A813" s="4" t="str">
        <f>'Raw Data'!A813</f>
        <v>ORD200811</v>
      </c>
      <c r="B813" s="6">
        <f>'Raw Data'!B813</f>
        <v>45235</v>
      </c>
      <c r="C813" s="4" t="str">
        <f>'Raw Data'!C813</f>
        <v>C24769</v>
      </c>
      <c r="D813" s="4" t="str">
        <f>'Raw Data'!D813</f>
        <v>Laptop</v>
      </c>
      <c r="E813" s="4">
        <f>'Raw Data'!E813</f>
        <v>2</v>
      </c>
      <c r="F813" s="4">
        <f>'Raw Data'!F813</f>
        <v>28.55</v>
      </c>
      <c r="G813" s="4" t="str">
        <f>'Raw Data'!G813</f>
        <v>864 Main St</v>
      </c>
      <c r="H813" s="4" t="str">
        <f>'Raw Data'!H813</f>
        <v>Gift Card</v>
      </c>
      <c r="I813" s="4" t="str">
        <f>'Raw Data'!I813</f>
        <v>Shipped</v>
      </c>
      <c r="J813" s="4" t="str">
        <f>'Raw Data'!J813</f>
        <v>TRK44538305</v>
      </c>
      <c r="K813" s="4">
        <f>'Raw Data'!K813</f>
        <v>7</v>
      </c>
      <c r="L813" s="4" t="str">
        <f>IF('Raw Data'!L813="","No Coupon",'Raw Data'!L813)</f>
        <v>SAVE10</v>
      </c>
      <c r="M813" s="4" t="str">
        <f>'Raw Data'!M813</f>
        <v>Email</v>
      </c>
      <c r="N813" s="4">
        <f>'Raw Data'!N813</f>
        <v>57.1</v>
      </c>
    </row>
    <row r="814" spans="1:14" ht="15" customHeight="1" x14ac:dyDescent="0.2">
      <c r="A814" s="4" t="str">
        <f>'Raw Data'!A814</f>
        <v>ORD200812</v>
      </c>
      <c r="B814" s="6">
        <f>'Raw Data'!B814</f>
        <v>45317</v>
      </c>
      <c r="C814" s="4" t="str">
        <f>'Raw Data'!C814</f>
        <v>C81547</v>
      </c>
      <c r="D814" s="4" t="str">
        <f>'Raw Data'!D814</f>
        <v>Phone</v>
      </c>
      <c r="E814" s="4">
        <f>'Raw Data'!E814</f>
        <v>2</v>
      </c>
      <c r="F814" s="4">
        <f>'Raw Data'!F814</f>
        <v>255.26</v>
      </c>
      <c r="G814" s="4" t="str">
        <f>'Raw Data'!G814</f>
        <v>803 Main St</v>
      </c>
      <c r="H814" s="4" t="str">
        <f>'Raw Data'!H814</f>
        <v>Credit Card</v>
      </c>
      <c r="I814" s="4" t="str">
        <f>'Raw Data'!I814</f>
        <v>Cancelled</v>
      </c>
      <c r="J814" s="4" t="str">
        <f>'Raw Data'!J814</f>
        <v>TRK88437123</v>
      </c>
      <c r="K814" s="4">
        <f>'Raw Data'!K814</f>
        <v>6</v>
      </c>
      <c r="L814" s="4" t="str">
        <f>IF('Raw Data'!L814="","No Coupon",'Raw Data'!L814)</f>
        <v>FREESHIP</v>
      </c>
      <c r="M814" s="4" t="str">
        <f>'Raw Data'!M814</f>
        <v>Google</v>
      </c>
      <c r="N814" s="4">
        <f>'Raw Data'!N814</f>
        <v>510.52</v>
      </c>
    </row>
    <row r="815" spans="1:14" ht="15" customHeight="1" x14ac:dyDescent="0.2">
      <c r="A815" s="4" t="str">
        <f>'Raw Data'!A815</f>
        <v>ORD200813</v>
      </c>
      <c r="B815" s="6">
        <f>'Raw Data'!B815</f>
        <v>45731</v>
      </c>
      <c r="C815" s="4" t="str">
        <f>'Raw Data'!C815</f>
        <v>C12813</v>
      </c>
      <c r="D815" s="4" t="str">
        <f>'Raw Data'!D815</f>
        <v>Laptop</v>
      </c>
      <c r="E815" s="4">
        <f>'Raw Data'!E815</f>
        <v>5</v>
      </c>
      <c r="F815" s="4">
        <f>'Raw Data'!F815</f>
        <v>292.54000000000002</v>
      </c>
      <c r="G815" s="4" t="str">
        <f>'Raw Data'!G815</f>
        <v>263 Main St</v>
      </c>
      <c r="H815" s="4" t="str">
        <f>'Raw Data'!H815</f>
        <v>Debit Card</v>
      </c>
      <c r="I815" s="4" t="str">
        <f>'Raw Data'!I815</f>
        <v>Cancelled</v>
      </c>
      <c r="J815" s="4" t="str">
        <f>'Raw Data'!J815</f>
        <v>TRK36131660</v>
      </c>
      <c r="K815" s="4">
        <f>'Raw Data'!K815</f>
        <v>8</v>
      </c>
      <c r="L815" s="4" t="str">
        <f>IF('Raw Data'!L815="","No Coupon",'Raw Data'!L815)</f>
        <v>FREESHIP</v>
      </c>
      <c r="M815" s="4" t="str">
        <f>'Raw Data'!M815</f>
        <v>Email</v>
      </c>
      <c r="N815" s="4">
        <f>'Raw Data'!N815</f>
        <v>1462.7</v>
      </c>
    </row>
    <row r="816" spans="1:14" ht="15" customHeight="1" x14ac:dyDescent="0.2">
      <c r="A816" s="4" t="str">
        <f>'Raw Data'!A816</f>
        <v>ORD200814</v>
      </c>
      <c r="B816" s="6">
        <f>'Raw Data'!B816</f>
        <v>45637</v>
      </c>
      <c r="C816" s="4" t="str">
        <f>'Raw Data'!C816</f>
        <v>C50732</v>
      </c>
      <c r="D816" s="4" t="str">
        <f>'Raw Data'!D816</f>
        <v>Chair</v>
      </c>
      <c r="E816" s="4">
        <f>'Raw Data'!E816</f>
        <v>4</v>
      </c>
      <c r="F816" s="4">
        <f>'Raw Data'!F816</f>
        <v>147.51</v>
      </c>
      <c r="G816" s="4" t="str">
        <f>'Raw Data'!G816</f>
        <v>979 Main St</v>
      </c>
      <c r="H816" s="4" t="str">
        <f>'Raw Data'!H816</f>
        <v>Debit Card</v>
      </c>
      <c r="I816" s="4" t="str">
        <f>'Raw Data'!I816</f>
        <v>Pending</v>
      </c>
      <c r="J816" s="4" t="str">
        <f>'Raw Data'!J816</f>
        <v>TRK21082461</v>
      </c>
      <c r="K816" s="4">
        <f>'Raw Data'!K816</f>
        <v>4</v>
      </c>
      <c r="L816" s="4" t="str">
        <f>IF('Raw Data'!L816="","No Coupon",'Raw Data'!L816)</f>
        <v>WINTER15</v>
      </c>
      <c r="M816" s="4" t="str">
        <f>'Raw Data'!M816</f>
        <v>Instagram</v>
      </c>
      <c r="N816" s="4">
        <f>'Raw Data'!N816</f>
        <v>590.04</v>
      </c>
    </row>
    <row r="817" spans="1:14" ht="15" customHeight="1" x14ac:dyDescent="0.2">
      <c r="A817" s="4" t="str">
        <f>'Raw Data'!A817</f>
        <v>ORD200815</v>
      </c>
      <c r="B817" s="6">
        <f>'Raw Data'!B817</f>
        <v>45508</v>
      </c>
      <c r="C817" s="4" t="str">
        <f>'Raw Data'!C817</f>
        <v>C41320</v>
      </c>
      <c r="D817" s="4" t="str">
        <f>'Raw Data'!D817</f>
        <v>Printer</v>
      </c>
      <c r="E817" s="4">
        <f>'Raw Data'!E817</f>
        <v>3</v>
      </c>
      <c r="F817" s="4">
        <f>'Raw Data'!F817</f>
        <v>569.84</v>
      </c>
      <c r="G817" s="4" t="str">
        <f>'Raw Data'!G817</f>
        <v>920 Main St</v>
      </c>
      <c r="H817" s="4" t="str">
        <f>'Raw Data'!H817</f>
        <v>Gift Card</v>
      </c>
      <c r="I817" s="4" t="str">
        <f>'Raw Data'!I817</f>
        <v>Cancelled</v>
      </c>
      <c r="J817" s="4" t="str">
        <f>'Raw Data'!J817</f>
        <v>TRK77539180</v>
      </c>
      <c r="K817" s="4">
        <f>'Raw Data'!K817</f>
        <v>8</v>
      </c>
      <c r="L817" s="4" t="str">
        <f>IF('Raw Data'!L817="","No Coupon",'Raw Data'!L817)</f>
        <v>WINTER15</v>
      </c>
      <c r="M817" s="4" t="str">
        <f>'Raw Data'!M817</f>
        <v>Instagram</v>
      </c>
      <c r="N817" s="4">
        <f>'Raw Data'!N817</f>
        <v>1709.52</v>
      </c>
    </row>
    <row r="818" spans="1:14" ht="15" customHeight="1" x14ac:dyDescent="0.2">
      <c r="A818" s="4" t="str">
        <f>'Raw Data'!A818</f>
        <v>ORD200816</v>
      </c>
      <c r="B818" s="6">
        <f>'Raw Data'!B818</f>
        <v>45343</v>
      </c>
      <c r="C818" s="4" t="str">
        <f>'Raw Data'!C818</f>
        <v>C55286</v>
      </c>
      <c r="D818" s="4" t="str">
        <f>'Raw Data'!D818</f>
        <v>Tablet</v>
      </c>
      <c r="E818" s="4">
        <f>'Raw Data'!E818</f>
        <v>5</v>
      </c>
      <c r="F818" s="4">
        <f>'Raw Data'!F818</f>
        <v>574.79</v>
      </c>
      <c r="G818" s="4" t="str">
        <f>'Raw Data'!G818</f>
        <v>497 Main St</v>
      </c>
      <c r="H818" s="4" t="str">
        <f>'Raw Data'!H818</f>
        <v>Credit Card</v>
      </c>
      <c r="I818" s="4" t="str">
        <f>'Raw Data'!I818</f>
        <v>Pending</v>
      </c>
      <c r="J818" s="4" t="str">
        <f>'Raw Data'!J818</f>
        <v>TRK39058734</v>
      </c>
      <c r="K818" s="4">
        <f>'Raw Data'!K818</f>
        <v>8</v>
      </c>
      <c r="L818" s="4" t="str">
        <f>IF('Raw Data'!L818="","No Coupon",'Raw Data'!L818)</f>
        <v>WINTER15</v>
      </c>
      <c r="M818" s="4" t="str">
        <f>'Raw Data'!M818</f>
        <v>Referral</v>
      </c>
      <c r="N818" s="4">
        <f>'Raw Data'!N818</f>
        <v>2873.95</v>
      </c>
    </row>
    <row r="819" spans="1:14" ht="15" customHeight="1" x14ac:dyDescent="0.2">
      <c r="A819" s="4" t="str">
        <f>'Raw Data'!A819</f>
        <v>ORD200817</v>
      </c>
      <c r="B819" s="6">
        <f>'Raw Data'!B819</f>
        <v>45204</v>
      </c>
      <c r="C819" s="4" t="str">
        <f>'Raw Data'!C819</f>
        <v>C87994</v>
      </c>
      <c r="D819" s="4" t="str">
        <f>'Raw Data'!D819</f>
        <v>Chair</v>
      </c>
      <c r="E819" s="4">
        <f>'Raw Data'!E819</f>
        <v>4</v>
      </c>
      <c r="F819" s="4">
        <f>'Raw Data'!F819</f>
        <v>598.19000000000005</v>
      </c>
      <c r="G819" s="4" t="str">
        <f>'Raw Data'!G819</f>
        <v>430 Main St</v>
      </c>
      <c r="H819" s="4" t="str">
        <f>'Raw Data'!H819</f>
        <v>Credit Card</v>
      </c>
      <c r="I819" s="4" t="str">
        <f>'Raw Data'!I819</f>
        <v>Delivered</v>
      </c>
      <c r="J819" s="4" t="str">
        <f>'Raw Data'!J819</f>
        <v>TRK98883971</v>
      </c>
      <c r="K819" s="4">
        <f>'Raw Data'!K819</f>
        <v>7</v>
      </c>
      <c r="L819" s="4" t="str">
        <f>IF('Raw Data'!L819="","No Coupon",'Raw Data'!L819)</f>
        <v>WINTER15</v>
      </c>
      <c r="M819" s="4" t="str">
        <f>'Raw Data'!M819</f>
        <v>Email</v>
      </c>
      <c r="N819" s="4">
        <f>'Raw Data'!N819</f>
        <v>2392.7600000000002</v>
      </c>
    </row>
    <row r="820" spans="1:14" ht="15" customHeight="1" x14ac:dyDescent="0.2">
      <c r="A820" s="4" t="str">
        <f>'Raw Data'!A820</f>
        <v>ORD200818</v>
      </c>
      <c r="B820" s="6">
        <f>'Raw Data'!B820</f>
        <v>44987</v>
      </c>
      <c r="C820" s="4" t="str">
        <f>'Raw Data'!C820</f>
        <v>C25580</v>
      </c>
      <c r="D820" s="4" t="str">
        <f>'Raw Data'!D820</f>
        <v>Phone</v>
      </c>
      <c r="E820" s="4">
        <f>'Raw Data'!E820</f>
        <v>4</v>
      </c>
      <c r="F820" s="4">
        <f>'Raw Data'!F820</f>
        <v>390.84</v>
      </c>
      <c r="G820" s="4" t="str">
        <f>'Raw Data'!G820</f>
        <v>860 Main St</v>
      </c>
      <c r="H820" s="4" t="str">
        <f>'Raw Data'!H820</f>
        <v>Credit Card</v>
      </c>
      <c r="I820" s="4" t="str">
        <f>'Raw Data'!I820</f>
        <v>Cancelled</v>
      </c>
      <c r="J820" s="4" t="str">
        <f>'Raw Data'!J820</f>
        <v>TRK58781638</v>
      </c>
      <c r="K820" s="4">
        <f>'Raw Data'!K820</f>
        <v>9</v>
      </c>
      <c r="L820" s="4" t="str">
        <f>IF('Raw Data'!L820="","No Coupon",'Raw Data'!L820)</f>
        <v>WINTER15</v>
      </c>
      <c r="M820" s="4" t="str">
        <f>'Raw Data'!M820</f>
        <v>Referral</v>
      </c>
      <c r="N820" s="4">
        <f>'Raw Data'!N820</f>
        <v>1563.36</v>
      </c>
    </row>
    <row r="821" spans="1:14" ht="15" customHeight="1" x14ac:dyDescent="0.2">
      <c r="A821" s="4" t="str">
        <f>'Raw Data'!A821</f>
        <v>ORD200819</v>
      </c>
      <c r="B821" s="6">
        <f>'Raw Data'!B821</f>
        <v>45563</v>
      </c>
      <c r="C821" s="4" t="str">
        <f>'Raw Data'!C821</f>
        <v>C66196</v>
      </c>
      <c r="D821" s="4" t="str">
        <f>'Raw Data'!D821</f>
        <v>Phone</v>
      </c>
      <c r="E821" s="4">
        <f>'Raw Data'!E821</f>
        <v>2</v>
      </c>
      <c r="F821" s="4">
        <f>'Raw Data'!F821</f>
        <v>398.45</v>
      </c>
      <c r="G821" s="4" t="str">
        <f>'Raw Data'!G821</f>
        <v>650 Main St</v>
      </c>
      <c r="H821" s="4" t="str">
        <f>'Raw Data'!H821</f>
        <v>Debit Card</v>
      </c>
      <c r="I821" s="4" t="str">
        <f>'Raw Data'!I821</f>
        <v>Cancelled</v>
      </c>
      <c r="J821" s="4" t="str">
        <f>'Raw Data'!J821</f>
        <v>TRK38104650</v>
      </c>
      <c r="K821" s="4">
        <f>'Raw Data'!K821</f>
        <v>7</v>
      </c>
      <c r="L821" s="4" t="str">
        <f>IF('Raw Data'!L821="","No Coupon",'Raw Data'!L821)</f>
        <v>SAVE10</v>
      </c>
      <c r="M821" s="4" t="str">
        <f>'Raw Data'!M821</f>
        <v>Google</v>
      </c>
      <c r="N821" s="4">
        <f>'Raw Data'!N821</f>
        <v>796.9</v>
      </c>
    </row>
    <row r="822" spans="1:14" ht="15" customHeight="1" x14ac:dyDescent="0.2">
      <c r="A822" s="4" t="str">
        <f>'Raw Data'!A822</f>
        <v>ORD200820</v>
      </c>
      <c r="B822" s="6">
        <f>'Raw Data'!B822</f>
        <v>45073</v>
      </c>
      <c r="C822" s="4" t="str">
        <f>'Raw Data'!C822</f>
        <v>C35377</v>
      </c>
      <c r="D822" s="4" t="str">
        <f>'Raw Data'!D822</f>
        <v>Phone</v>
      </c>
      <c r="E822" s="4">
        <f>'Raw Data'!E822</f>
        <v>5</v>
      </c>
      <c r="F822" s="4">
        <f>'Raw Data'!F822</f>
        <v>623.80999999999995</v>
      </c>
      <c r="G822" s="4" t="str">
        <f>'Raw Data'!G822</f>
        <v>171 Main St</v>
      </c>
      <c r="H822" s="4" t="str">
        <f>'Raw Data'!H822</f>
        <v>Cash</v>
      </c>
      <c r="I822" s="4" t="str">
        <f>'Raw Data'!I822</f>
        <v>Returned</v>
      </c>
      <c r="J822" s="4" t="str">
        <f>'Raw Data'!J822</f>
        <v>TRK17342157</v>
      </c>
      <c r="K822" s="4">
        <f>'Raw Data'!K822</f>
        <v>6</v>
      </c>
      <c r="L822" s="4" t="str">
        <f>IF('Raw Data'!L822="","No Coupon",'Raw Data'!L822)</f>
        <v>FREESHIP</v>
      </c>
      <c r="M822" s="4" t="str">
        <f>'Raw Data'!M822</f>
        <v>Email</v>
      </c>
      <c r="N822" s="4">
        <f>'Raw Data'!N822</f>
        <v>3119.05</v>
      </c>
    </row>
    <row r="823" spans="1:14" ht="15" customHeight="1" x14ac:dyDescent="0.2">
      <c r="A823" s="4" t="str">
        <f>'Raw Data'!A823</f>
        <v>ORD200821</v>
      </c>
      <c r="B823" s="6">
        <f>'Raw Data'!B823</f>
        <v>45640</v>
      </c>
      <c r="C823" s="4" t="str">
        <f>'Raw Data'!C823</f>
        <v>C40771</v>
      </c>
      <c r="D823" s="4" t="str">
        <f>'Raw Data'!D823</f>
        <v>Laptop</v>
      </c>
      <c r="E823" s="4">
        <f>'Raw Data'!E823</f>
        <v>4</v>
      </c>
      <c r="F823" s="4">
        <f>'Raw Data'!F823</f>
        <v>174.49</v>
      </c>
      <c r="G823" s="4" t="str">
        <f>'Raw Data'!G823</f>
        <v>259 Main St</v>
      </c>
      <c r="H823" s="4" t="str">
        <f>'Raw Data'!H823</f>
        <v>Credit Card</v>
      </c>
      <c r="I823" s="4" t="str">
        <f>'Raw Data'!I823</f>
        <v>Delivered</v>
      </c>
      <c r="J823" s="4" t="str">
        <f>'Raw Data'!J823</f>
        <v>TRK56310345</v>
      </c>
      <c r="K823" s="4">
        <f>'Raw Data'!K823</f>
        <v>5</v>
      </c>
      <c r="L823" s="4" t="str">
        <f>IF('Raw Data'!L823="","No Coupon",'Raw Data'!L823)</f>
        <v>SAVE10</v>
      </c>
      <c r="M823" s="4" t="str">
        <f>'Raw Data'!M823</f>
        <v>Facebook</v>
      </c>
      <c r="N823" s="4">
        <f>'Raw Data'!N823</f>
        <v>697.96</v>
      </c>
    </row>
    <row r="824" spans="1:14" ht="15" customHeight="1" x14ac:dyDescent="0.2">
      <c r="A824" s="4" t="str">
        <f>'Raw Data'!A824</f>
        <v>ORD200822</v>
      </c>
      <c r="B824" s="6">
        <f>'Raw Data'!B824</f>
        <v>45731</v>
      </c>
      <c r="C824" s="4" t="str">
        <f>'Raw Data'!C824</f>
        <v>C20624</v>
      </c>
      <c r="D824" s="4" t="str">
        <f>'Raw Data'!D824</f>
        <v>Phone</v>
      </c>
      <c r="E824" s="4">
        <f>'Raw Data'!E824</f>
        <v>1</v>
      </c>
      <c r="F824" s="4">
        <f>'Raw Data'!F824</f>
        <v>479.56</v>
      </c>
      <c r="G824" s="4" t="str">
        <f>'Raw Data'!G824</f>
        <v>923 Main St</v>
      </c>
      <c r="H824" s="4" t="str">
        <f>'Raw Data'!H824</f>
        <v>Gift Card</v>
      </c>
      <c r="I824" s="4" t="str">
        <f>'Raw Data'!I824</f>
        <v>Returned</v>
      </c>
      <c r="J824" s="4" t="str">
        <f>'Raw Data'!J824</f>
        <v>TRK45123395</v>
      </c>
      <c r="K824" s="4">
        <f>'Raw Data'!K824</f>
        <v>1</v>
      </c>
      <c r="L824" s="4" t="str">
        <f>IF('Raw Data'!L824="","No Coupon",'Raw Data'!L824)</f>
        <v>SAVE10</v>
      </c>
      <c r="M824" s="4" t="str">
        <f>'Raw Data'!M824</f>
        <v>Google</v>
      </c>
      <c r="N824" s="4">
        <f>'Raw Data'!N824</f>
        <v>479.56</v>
      </c>
    </row>
    <row r="825" spans="1:14" ht="15" customHeight="1" x14ac:dyDescent="0.2">
      <c r="A825" s="4" t="str">
        <f>'Raw Data'!A825</f>
        <v>ORD200823</v>
      </c>
      <c r="B825" s="6">
        <f>'Raw Data'!B825</f>
        <v>45572</v>
      </c>
      <c r="C825" s="4" t="str">
        <f>'Raw Data'!C825</f>
        <v>C27070</v>
      </c>
      <c r="D825" s="4" t="str">
        <f>'Raw Data'!D825</f>
        <v>Laptop</v>
      </c>
      <c r="E825" s="4">
        <f>'Raw Data'!E825</f>
        <v>4</v>
      </c>
      <c r="F825" s="4">
        <f>'Raw Data'!F825</f>
        <v>653.13</v>
      </c>
      <c r="G825" s="4" t="str">
        <f>'Raw Data'!G825</f>
        <v>973 Main St</v>
      </c>
      <c r="H825" s="4" t="str">
        <f>'Raw Data'!H825</f>
        <v>Credit Card</v>
      </c>
      <c r="I825" s="4" t="str">
        <f>'Raw Data'!I825</f>
        <v>Shipped</v>
      </c>
      <c r="J825" s="4" t="str">
        <f>'Raw Data'!J825</f>
        <v>TRK83842481</v>
      </c>
      <c r="K825" s="4">
        <f>'Raw Data'!K825</f>
        <v>8</v>
      </c>
      <c r="L825" s="4" t="str">
        <f>IF('Raw Data'!L825="","No Coupon",'Raw Data'!L825)</f>
        <v>WINTER15</v>
      </c>
      <c r="M825" s="4" t="str">
        <f>'Raw Data'!M825</f>
        <v>Instagram</v>
      </c>
      <c r="N825" s="4">
        <f>'Raw Data'!N825</f>
        <v>2612.52</v>
      </c>
    </row>
    <row r="826" spans="1:14" ht="15" customHeight="1" x14ac:dyDescent="0.2">
      <c r="A826" s="4" t="str">
        <f>'Raw Data'!A826</f>
        <v>ORD200824</v>
      </c>
      <c r="B826" s="6">
        <f>'Raw Data'!B826</f>
        <v>45167</v>
      </c>
      <c r="C826" s="4" t="str">
        <f>'Raw Data'!C826</f>
        <v>C18826</v>
      </c>
      <c r="D826" s="4" t="str">
        <f>'Raw Data'!D826</f>
        <v>Monitor</v>
      </c>
      <c r="E826" s="4">
        <f>'Raw Data'!E826</f>
        <v>3</v>
      </c>
      <c r="F826" s="4">
        <f>'Raw Data'!F826</f>
        <v>481.1</v>
      </c>
      <c r="G826" s="4" t="str">
        <f>'Raw Data'!G826</f>
        <v>664 Main St</v>
      </c>
      <c r="H826" s="4" t="str">
        <f>'Raw Data'!H826</f>
        <v>Credit Card</v>
      </c>
      <c r="I826" s="4" t="str">
        <f>'Raw Data'!I826</f>
        <v>Returned</v>
      </c>
      <c r="J826" s="4" t="str">
        <f>'Raw Data'!J826</f>
        <v>TRK12530495</v>
      </c>
      <c r="K826" s="4">
        <f>'Raw Data'!K826</f>
        <v>3</v>
      </c>
      <c r="L826" s="4" t="str">
        <f>IF('Raw Data'!L826="","No Coupon",'Raw Data'!L826)</f>
        <v>FREESHIP</v>
      </c>
      <c r="M826" s="4" t="str">
        <f>'Raw Data'!M826</f>
        <v>Facebook</v>
      </c>
      <c r="N826" s="4">
        <f>'Raw Data'!N826</f>
        <v>1443.3</v>
      </c>
    </row>
    <row r="827" spans="1:14" ht="15" customHeight="1" x14ac:dyDescent="0.2">
      <c r="A827" s="4" t="str">
        <f>'Raw Data'!A827</f>
        <v>ORD200825</v>
      </c>
      <c r="B827" s="6">
        <f>'Raw Data'!B827</f>
        <v>45742</v>
      </c>
      <c r="C827" s="4" t="str">
        <f>'Raw Data'!C827</f>
        <v>C23899</v>
      </c>
      <c r="D827" s="4" t="str">
        <f>'Raw Data'!D827</f>
        <v>Desk</v>
      </c>
      <c r="E827" s="4">
        <f>'Raw Data'!E827</f>
        <v>5</v>
      </c>
      <c r="F827" s="4">
        <f>'Raw Data'!F827</f>
        <v>271.69</v>
      </c>
      <c r="G827" s="4" t="str">
        <f>'Raw Data'!G827</f>
        <v>543 Main St</v>
      </c>
      <c r="H827" s="4" t="str">
        <f>'Raw Data'!H827</f>
        <v>Online</v>
      </c>
      <c r="I827" s="4" t="str">
        <f>'Raw Data'!I827</f>
        <v>Returned</v>
      </c>
      <c r="J827" s="4" t="str">
        <f>'Raw Data'!J827</f>
        <v>TRK88914760</v>
      </c>
      <c r="K827" s="4">
        <f>'Raw Data'!K827</f>
        <v>7</v>
      </c>
      <c r="L827" s="4" t="str">
        <f>IF('Raw Data'!L827="","No Coupon",'Raw Data'!L827)</f>
        <v>FREESHIP</v>
      </c>
      <c r="M827" s="4" t="str">
        <f>'Raw Data'!M827</f>
        <v>Instagram</v>
      </c>
      <c r="N827" s="4">
        <f>'Raw Data'!N827</f>
        <v>1358.45</v>
      </c>
    </row>
    <row r="828" spans="1:14" ht="15" customHeight="1" x14ac:dyDescent="0.2">
      <c r="A828" s="4" t="str">
        <f>'Raw Data'!A828</f>
        <v>ORD200826</v>
      </c>
      <c r="B828" s="6">
        <f>'Raw Data'!B828</f>
        <v>45724</v>
      </c>
      <c r="C828" s="4" t="str">
        <f>'Raw Data'!C828</f>
        <v>C43249</v>
      </c>
      <c r="D828" s="4" t="str">
        <f>'Raw Data'!D828</f>
        <v>Printer</v>
      </c>
      <c r="E828" s="4">
        <f>'Raw Data'!E828</f>
        <v>3</v>
      </c>
      <c r="F828" s="4">
        <f>'Raw Data'!F828</f>
        <v>463.81</v>
      </c>
      <c r="G828" s="4" t="str">
        <f>'Raw Data'!G828</f>
        <v>283 Main St</v>
      </c>
      <c r="H828" s="4" t="str">
        <f>'Raw Data'!H828</f>
        <v>Online</v>
      </c>
      <c r="I828" s="4" t="str">
        <f>'Raw Data'!I828</f>
        <v>Returned</v>
      </c>
      <c r="J828" s="4" t="str">
        <f>'Raw Data'!J828</f>
        <v>TRK32469820</v>
      </c>
      <c r="K828" s="4">
        <f>'Raw Data'!K828</f>
        <v>8</v>
      </c>
      <c r="L828" s="4" t="str">
        <f>IF('Raw Data'!L828="","No Coupon",'Raw Data'!L828)</f>
        <v>WINTER15</v>
      </c>
      <c r="M828" s="4" t="str">
        <f>'Raw Data'!M828</f>
        <v>Email</v>
      </c>
      <c r="N828" s="4">
        <f>'Raw Data'!N828</f>
        <v>1391.43</v>
      </c>
    </row>
    <row r="829" spans="1:14" ht="15" customHeight="1" x14ac:dyDescent="0.2">
      <c r="A829" s="4" t="str">
        <f>'Raw Data'!A829</f>
        <v>ORD200827</v>
      </c>
      <c r="B829" s="6">
        <f>'Raw Data'!B829</f>
        <v>45071</v>
      </c>
      <c r="C829" s="4" t="str">
        <f>'Raw Data'!C829</f>
        <v>C95856</v>
      </c>
      <c r="D829" s="4" t="str">
        <f>'Raw Data'!D829</f>
        <v>Tablet</v>
      </c>
      <c r="E829" s="4">
        <f>'Raw Data'!E829</f>
        <v>2</v>
      </c>
      <c r="F829" s="4">
        <f>'Raw Data'!F829</f>
        <v>639.88</v>
      </c>
      <c r="G829" s="4" t="str">
        <f>'Raw Data'!G829</f>
        <v>432 Main St</v>
      </c>
      <c r="H829" s="4" t="str">
        <f>'Raw Data'!H829</f>
        <v>Cash</v>
      </c>
      <c r="I829" s="4" t="str">
        <f>'Raw Data'!I829</f>
        <v>Delivered</v>
      </c>
      <c r="J829" s="4" t="str">
        <f>'Raw Data'!J829</f>
        <v>TRK58829625</v>
      </c>
      <c r="K829" s="4">
        <f>'Raw Data'!K829</f>
        <v>5</v>
      </c>
      <c r="L829" s="4" t="str">
        <f>IF('Raw Data'!L829="","No Coupon",'Raw Data'!L829)</f>
        <v>WINTER15</v>
      </c>
      <c r="M829" s="4" t="str">
        <f>'Raw Data'!M829</f>
        <v>Instagram</v>
      </c>
      <c r="N829" s="4">
        <f>'Raw Data'!N829</f>
        <v>1279.76</v>
      </c>
    </row>
    <row r="830" spans="1:14" ht="15" customHeight="1" x14ac:dyDescent="0.2">
      <c r="A830" s="4" t="str">
        <f>'Raw Data'!A830</f>
        <v>ORD200828</v>
      </c>
      <c r="B830" s="6">
        <f>'Raw Data'!B830</f>
        <v>45497</v>
      </c>
      <c r="C830" s="4" t="str">
        <f>'Raw Data'!C830</f>
        <v>C86266</v>
      </c>
      <c r="D830" s="4" t="str">
        <f>'Raw Data'!D830</f>
        <v>Chair</v>
      </c>
      <c r="E830" s="4">
        <f>'Raw Data'!E830</f>
        <v>4</v>
      </c>
      <c r="F830" s="4">
        <f>'Raw Data'!F830</f>
        <v>404.58</v>
      </c>
      <c r="G830" s="4" t="str">
        <f>'Raw Data'!G830</f>
        <v>510 Main St</v>
      </c>
      <c r="H830" s="4" t="str">
        <f>'Raw Data'!H830</f>
        <v>Cash</v>
      </c>
      <c r="I830" s="4" t="str">
        <f>'Raw Data'!I830</f>
        <v>Shipped</v>
      </c>
      <c r="J830" s="4" t="str">
        <f>'Raw Data'!J830</f>
        <v>TRK64576020</v>
      </c>
      <c r="K830" s="4">
        <f>'Raw Data'!K830</f>
        <v>5</v>
      </c>
      <c r="L830" s="4" t="str">
        <f>IF('Raw Data'!L830="","No Coupon",'Raw Data'!L830)</f>
        <v>FREESHIP</v>
      </c>
      <c r="M830" s="4" t="str">
        <f>'Raw Data'!M830</f>
        <v>Instagram</v>
      </c>
      <c r="N830" s="4">
        <f>'Raw Data'!N830</f>
        <v>1618.32</v>
      </c>
    </row>
    <row r="831" spans="1:14" ht="15" customHeight="1" x14ac:dyDescent="0.2">
      <c r="A831" s="4" t="str">
        <f>'Raw Data'!A831</f>
        <v>ORD200829</v>
      </c>
      <c r="B831" s="6">
        <f>'Raw Data'!B831</f>
        <v>44962</v>
      </c>
      <c r="C831" s="4" t="str">
        <f>'Raw Data'!C831</f>
        <v>C39551</v>
      </c>
      <c r="D831" s="4" t="str">
        <f>'Raw Data'!D831</f>
        <v>Monitor</v>
      </c>
      <c r="E831" s="4">
        <f>'Raw Data'!E831</f>
        <v>1</v>
      </c>
      <c r="F831" s="4">
        <f>'Raw Data'!F831</f>
        <v>76.930000000000007</v>
      </c>
      <c r="G831" s="4" t="str">
        <f>'Raw Data'!G831</f>
        <v>685 Main St</v>
      </c>
      <c r="H831" s="4" t="str">
        <f>'Raw Data'!H831</f>
        <v>Debit Card</v>
      </c>
      <c r="I831" s="4" t="str">
        <f>'Raw Data'!I831</f>
        <v>Delivered</v>
      </c>
      <c r="J831" s="4" t="str">
        <f>'Raw Data'!J831</f>
        <v>TRK68358007</v>
      </c>
      <c r="K831" s="4">
        <f>'Raw Data'!K831</f>
        <v>6</v>
      </c>
      <c r="L831" s="4" t="str">
        <f>IF('Raw Data'!L831="","No Coupon",'Raw Data'!L831)</f>
        <v>WINTER15</v>
      </c>
      <c r="M831" s="4" t="str">
        <f>'Raw Data'!M831</f>
        <v>Instagram</v>
      </c>
      <c r="N831" s="4">
        <f>'Raw Data'!N831</f>
        <v>76.930000000000007</v>
      </c>
    </row>
    <row r="832" spans="1:14" ht="15" customHeight="1" x14ac:dyDescent="0.2">
      <c r="A832" s="4" t="str">
        <f>'Raw Data'!A832</f>
        <v>ORD200830</v>
      </c>
      <c r="B832" s="6">
        <f>'Raw Data'!B832</f>
        <v>45637</v>
      </c>
      <c r="C832" s="4" t="str">
        <f>'Raw Data'!C832</f>
        <v>C90310</v>
      </c>
      <c r="D832" s="4" t="str">
        <f>'Raw Data'!D832</f>
        <v>Tablet</v>
      </c>
      <c r="E832" s="4">
        <f>'Raw Data'!E832</f>
        <v>4</v>
      </c>
      <c r="F832" s="4">
        <f>'Raw Data'!F832</f>
        <v>190.64</v>
      </c>
      <c r="G832" s="4" t="str">
        <f>'Raw Data'!G832</f>
        <v>853 Main St</v>
      </c>
      <c r="H832" s="4" t="str">
        <f>'Raw Data'!H832</f>
        <v>Cash</v>
      </c>
      <c r="I832" s="4" t="str">
        <f>'Raw Data'!I832</f>
        <v>Delivered</v>
      </c>
      <c r="J832" s="4" t="str">
        <f>'Raw Data'!J832</f>
        <v>TRK70028457</v>
      </c>
      <c r="K832" s="4">
        <f>'Raw Data'!K832</f>
        <v>5</v>
      </c>
      <c r="L832" s="4" t="str">
        <f>IF('Raw Data'!L832="","No Coupon",'Raw Data'!L832)</f>
        <v>SAVE10</v>
      </c>
      <c r="M832" s="4" t="str">
        <f>'Raw Data'!M832</f>
        <v>Email</v>
      </c>
      <c r="N832" s="4">
        <f>'Raw Data'!N832</f>
        <v>762.56</v>
      </c>
    </row>
    <row r="833" spans="1:14" ht="15" customHeight="1" x14ac:dyDescent="0.2">
      <c r="A833" s="4" t="str">
        <f>'Raw Data'!A833</f>
        <v>ORD200831</v>
      </c>
      <c r="B833" s="6">
        <f>'Raw Data'!B833</f>
        <v>45278</v>
      </c>
      <c r="C833" s="4" t="str">
        <f>'Raw Data'!C833</f>
        <v>C20124</v>
      </c>
      <c r="D833" s="4" t="str">
        <f>'Raw Data'!D833</f>
        <v>Printer</v>
      </c>
      <c r="E833" s="4">
        <f>'Raw Data'!E833</f>
        <v>2</v>
      </c>
      <c r="F833" s="4">
        <f>'Raw Data'!F833</f>
        <v>88.73</v>
      </c>
      <c r="G833" s="4" t="str">
        <f>'Raw Data'!G833</f>
        <v>140 Main St</v>
      </c>
      <c r="H833" s="4" t="str">
        <f>'Raw Data'!H833</f>
        <v>Online</v>
      </c>
      <c r="I833" s="4" t="str">
        <f>'Raw Data'!I833</f>
        <v>Pending</v>
      </c>
      <c r="J833" s="4" t="str">
        <f>'Raw Data'!J833</f>
        <v>TRK61346824</v>
      </c>
      <c r="K833" s="4">
        <f>'Raw Data'!K833</f>
        <v>5</v>
      </c>
      <c r="L833" s="4" t="str">
        <f>IF('Raw Data'!L833="","No Coupon",'Raw Data'!L833)</f>
        <v>No Coupon</v>
      </c>
      <c r="M833" s="4" t="str">
        <f>'Raw Data'!M833</f>
        <v>Google</v>
      </c>
      <c r="N833" s="4">
        <f>'Raw Data'!N833</f>
        <v>177.46</v>
      </c>
    </row>
    <row r="834" spans="1:14" ht="15" customHeight="1" x14ac:dyDescent="0.2">
      <c r="A834" s="4" t="str">
        <f>'Raw Data'!A834</f>
        <v>ORD200832</v>
      </c>
      <c r="B834" s="6">
        <f>'Raw Data'!B834</f>
        <v>45363</v>
      </c>
      <c r="C834" s="4" t="str">
        <f>'Raw Data'!C834</f>
        <v>C63372</v>
      </c>
      <c r="D834" s="4" t="str">
        <f>'Raw Data'!D834</f>
        <v>Chair</v>
      </c>
      <c r="E834" s="4">
        <f>'Raw Data'!E834</f>
        <v>5</v>
      </c>
      <c r="F834" s="4">
        <f>'Raw Data'!F834</f>
        <v>485.71</v>
      </c>
      <c r="G834" s="4" t="str">
        <f>'Raw Data'!G834</f>
        <v>903 Main St</v>
      </c>
      <c r="H834" s="4" t="str">
        <f>'Raw Data'!H834</f>
        <v>Online</v>
      </c>
      <c r="I834" s="4" t="str">
        <f>'Raw Data'!I834</f>
        <v>Pending</v>
      </c>
      <c r="J834" s="4" t="str">
        <f>'Raw Data'!J834</f>
        <v>TRK14661811</v>
      </c>
      <c r="K834" s="4">
        <f>'Raw Data'!K834</f>
        <v>10</v>
      </c>
      <c r="L834" s="4" t="str">
        <f>IF('Raw Data'!L834="","No Coupon",'Raw Data'!L834)</f>
        <v>SAVE10</v>
      </c>
      <c r="M834" s="4" t="str">
        <f>'Raw Data'!M834</f>
        <v>Referral</v>
      </c>
      <c r="N834" s="4">
        <f>'Raw Data'!N834</f>
        <v>2428.5500000000002</v>
      </c>
    </row>
    <row r="835" spans="1:14" ht="15" customHeight="1" x14ac:dyDescent="0.2">
      <c r="A835" s="4" t="str">
        <f>'Raw Data'!A835</f>
        <v>ORD200833</v>
      </c>
      <c r="B835" s="6">
        <f>'Raw Data'!B835</f>
        <v>45730</v>
      </c>
      <c r="C835" s="4" t="str">
        <f>'Raw Data'!C835</f>
        <v>C90595</v>
      </c>
      <c r="D835" s="4" t="str">
        <f>'Raw Data'!D835</f>
        <v>Phone</v>
      </c>
      <c r="E835" s="4">
        <f>'Raw Data'!E835</f>
        <v>5</v>
      </c>
      <c r="F835" s="4">
        <f>'Raw Data'!F835</f>
        <v>78.290000000000006</v>
      </c>
      <c r="G835" s="4" t="str">
        <f>'Raw Data'!G835</f>
        <v>508 Main St</v>
      </c>
      <c r="H835" s="4" t="str">
        <f>'Raw Data'!H835</f>
        <v>Credit Card</v>
      </c>
      <c r="I835" s="4" t="str">
        <f>'Raw Data'!I835</f>
        <v>Shipped</v>
      </c>
      <c r="J835" s="4" t="str">
        <f>'Raw Data'!J835</f>
        <v>TRK96573803</v>
      </c>
      <c r="K835" s="4">
        <f>'Raw Data'!K835</f>
        <v>5</v>
      </c>
      <c r="L835" s="4" t="str">
        <f>IF('Raw Data'!L835="","No Coupon",'Raw Data'!L835)</f>
        <v>WINTER15</v>
      </c>
      <c r="M835" s="4" t="str">
        <f>'Raw Data'!M835</f>
        <v>Referral</v>
      </c>
      <c r="N835" s="4">
        <f>'Raw Data'!N835</f>
        <v>391.45</v>
      </c>
    </row>
    <row r="836" spans="1:14" ht="15" customHeight="1" x14ac:dyDescent="0.2">
      <c r="A836" s="4" t="str">
        <f>'Raw Data'!A836</f>
        <v>ORD200834</v>
      </c>
      <c r="B836" s="6">
        <f>'Raw Data'!B836</f>
        <v>45393</v>
      </c>
      <c r="C836" s="4" t="str">
        <f>'Raw Data'!C836</f>
        <v>C98483</v>
      </c>
      <c r="D836" s="4" t="str">
        <f>'Raw Data'!D836</f>
        <v>Printer</v>
      </c>
      <c r="E836" s="4">
        <f>'Raw Data'!E836</f>
        <v>5</v>
      </c>
      <c r="F836" s="4">
        <f>'Raw Data'!F836</f>
        <v>22.14</v>
      </c>
      <c r="G836" s="4" t="str">
        <f>'Raw Data'!G836</f>
        <v>456 Main St</v>
      </c>
      <c r="H836" s="4" t="str">
        <f>'Raw Data'!H836</f>
        <v>Cash</v>
      </c>
      <c r="I836" s="4" t="str">
        <f>'Raw Data'!I836</f>
        <v>Returned</v>
      </c>
      <c r="J836" s="4" t="str">
        <f>'Raw Data'!J836</f>
        <v>TRK22084320</v>
      </c>
      <c r="K836" s="4">
        <f>'Raw Data'!K836</f>
        <v>10</v>
      </c>
      <c r="L836" s="4" t="str">
        <f>IF('Raw Data'!L836="","No Coupon",'Raw Data'!L836)</f>
        <v>No Coupon</v>
      </c>
      <c r="M836" s="4" t="str">
        <f>'Raw Data'!M836</f>
        <v>Instagram</v>
      </c>
      <c r="N836" s="4">
        <f>'Raw Data'!N836</f>
        <v>110.7</v>
      </c>
    </row>
    <row r="837" spans="1:14" ht="15" customHeight="1" x14ac:dyDescent="0.2">
      <c r="A837" s="4" t="str">
        <f>'Raw Data'!A837</f>
        <v>ORD200835</v>
      </c>
      <c r="B837" s="6">
        <f>'Raw Data'!B837</f>
        <v>45377</v>
      </c>
      <c r="C837" s="4" t="str">
        <f>'Raw Data'!C837</f>
        <v>C16429</v>
      </c>
      <c r="D837" s="4" t="str">
        <f>'Raw Data'!D837</f>
        <v>Desk</v>
      </c>
      <c r="E837" s="4">
        <f>'Raw Data'!E837</f>
        <v>1</v>
      </c>
      <c r="F837" s="4">
        <f>'Raw Data'!F837</f>
        <v>679.65</v>
      </c>
      <c r="G837" s="4" t="str">
        <f>'Raw Data'!G837</f>
        <v>390 Main St</v>
      </c>
      <c r="H837" s="4" t="str">
        <f>'Raw Data'!H837</f>
        <v>Debit Card</v>
      </c>
      <c r="I837" s="4" t="str">
        <f>'Raw Data'!I837</f>
        <v>Shipped</v>
      </c>
      <c r="J837" s="4" t="str">
        <f>'Raw Data'!J837</f>
        <v>TRK73888013</v>
      </c>
      <c r="K837" s="4">
        <f>'Raw Data'!K837</f>
        <v>6</v>
      </c>
      <c r="L837" s="4" t="str">
        <f>IF('Raw Data'!L837="","No Coupon",'Raw Data'!L837)</f>
        <v>FREESHIP</v>
      </c>
      <c r="M837" s="4" t="str">
        <f>'Raw Data'!M837</f>
        <v>Google</v>
      </c>
      <c r="N837" s="4">
        <f>'Raw Data'!N837</f>
        <v>679.65</v>
      </c>
    </row>
    <row r="838" spans="1:14" ht="15" customHeight="1" x14ac:dyDescent="0.2">
      <c r="A838" s="4" t="str">
        <f>'Raw Data'!A838</f>
        <v>ORD200836</v>
      </c>
      <c r="B838" s="6">
        <f>'Raw Data'!B838</f>
        <v>44959</v>
      </c>
      <c r="C838" s="4" t="str">
        <f>'Raw Data'!C838</f>
        <v>C31810</v>
      </c>
      <c r="D838" s="4" t="str">
        <f>'Raw Data'!D838</f>
        <v>Phone</v>
      </c>
      <c r="E838" s="4">
        <f>'Raw Data'!E838</f>
        <v>1</v>
      </c>
      <c r="F838" s="4">
        <f>'Raw Data'!F838</f>
        <v>178.44</v>
      </c>
      <c r="G838" s="4" t="str">
        <f>'Raw Data'!G838</f>
        <v>328 Main St</v>
      </c>
      <c r="H838" s="4" t="str">
        <f>'Raw Data'!H838</f>
        <v>Credit Card</v>
      </c>
      <c r="I838" s="4" t="str">
        <f>'Raw Data'!I838</f>
        <v>Cancelled</v>
      </c>
      <c r="J838" s="4" t="str">
        <f>'Raw Data'!J838</f>
        <v>TRK58725886</v>
      </c>
      <c r="K838" s="4">
        <f>'Raw Data'!K838</f>
        <v>2</v>
      </c>
      <c r="L838" s="4" t="str">
        <f>IF('Raw Data'!L838="","No Coupon",'Raw Data'!L838)</f>
        <v>FREESHIP</v>
      </c>
      <c r="M838" s="4" t="str">
        <f>'Raw Data'!M838</f>
        <v>Google</v>
      </c>
      <c r="N838" s="4">
        <f>'Raw Data'!N838</f>
        <v>178.44</v>
      </c>
    </row>
    <row r="839" spans="1:14" ht="15" customHeight="1" x14ac:dyDescent="0.2">
      <c r="A839" s="4" t="str">
        <f>'Raw Data'!A839</f>
        <v>ORD200837</v>
      </c>
      <c r="B839" s="6">
        <f>'Raw Data'!B839</f>
        <v>45822</v>
      </c>
      <c r="C839" s="4" t="str">
        <f>'Raw Data'!C839</f>
        <v>C88029</v>
      </c>
      <c r="D839" s="4" t="str">
        <f>'Raw Data'!D839</f>
        <v>Chair</v>
      </c>
      <c r="E839" s="4">
        <f>'Raw Data'!E839</f>
        <v>5</v>
      </c>
      <c r="F839" s="4">
        <f>'Raw Data'!F839</f>
        <v>655.55</v>
      </c>
      <c r="G839" s="4" t="str">
        <f>'Raw Data'!G839</f>
        <v>282 Main St</v>
      </c>
      <c r="H839" s="4" t="str">
        <f>'Raw Data'!H839</f>
        <v>Online</v>
      </c>
      <c r="I839" s="4" t="str">
        <f>'Raw Data'!I839</f>
        <v>Delivered</v>
      </c>
      <c r="J839" s="4" t="str">
        <f>'Raw Data'!J839</f>
        <v>TRK59701278</v>
      </c>
      <c r="K839" s="4">
        <f>'Raw Data'!K839</f>
        <v>5</v>
      </c>
      <c r="L839" s="4" t="str">
        <f>IF('Raw Data'!L839="","No Coupon",'Raw Data'!L839)</f>
        <v>No Coupon</v>
      </c>
      <c r="M839" s="4" t="str">
        <f>'Raw Data'!M839</f>
        <v>Email</v>
      </c>
      <c r="N839" s="4">
        <f>'Raw Data'!N839</f>
        <v>3277.75</v>
      </c>
    </row>
    <row r="840" spans="1:14" ht="15" customHeight="1" x14ac:dyDescent="0.2">
      <c r="A840" s="4" t="str">
        <f>'Raw Data'!A840</f>
        <v>ORD200838</v>
      </c>
      <c r="B840" s="6">
        <f>'Raw Data'!B840</f>
        <v>45393</v>
      </c>
      <c r="C840" s="4" t="str">
        <f>'Raw Data'!C840</f>
        <v>C57798</v>
      </c>
      <c r="D840" s="4" t="str">
        <f>'Raw Data'!D840</f>
        <v>Desk</v>
      </c>
      <c r="E840" s="4">
        <f>'Raw Data'!E840</f>
        <v>4</v>
      </c>
      <c r="F840" s="4">
        <f>'Raw Data'!F840</f>
        <v>577.08000000000004</v>
      </c>
      <c r="G840" s="4" t="str">
        <f>'Raw Data'!G840</f>
        <v>384 Main St</v>
      </c>
      <c r="H840" s="4" t="str">
        <f>'Raw Data'!H840</f>
        <v>Online</v>
      </c>
      <c r="I840" s="4" t="str">
        <f>'Raw Data'!I840</f>
        <v>Pending</v>
      </c>
      <c r="J840" s="4" t="str">
        <f>'Raw Data'!J840</f>
        <v>TRK68797566</v>
      </c>
      <c r="K840" s="4">
        <f>'Raw Data'!K840</f>
        <v>8</v>
      </c>
      <c r="L840" s="4" t="str">
        <f>IF('Raw Data'!L840="","No Coupon",'Raw Data'!L840)</f>
        <v>No Coupon</v>
      </c>
      <c r="M840" s="4" t="str">
        <f>'Raw Data'!M840</f>
        <v>Facebook</v>
      </c>
      <c r="N840" s="4">
        <f>'Raw Data'!N840</f>
        <v>2308.3200000000002</v>
      </c>
    </row>
    <row r="841" spans="1:14" ht="15" customHeight="1" x14ac:dyDescent="0.2">
      <c r="A841" s="4" t="str">
        <f>'Raw Data'!A841</f>
        <v>ORD200839</v>
      </c>
      <c r="B841" s="6">
        <f>'Raw Data'!B841</f>
        <v>45162</v>
      </c>
      <c r="C841" s="4" t="str">
        <f>'Raw Data'!C841</f>
        <v>C82858</v>
      </c>
      <c r="D841" s="4" t="str">
        <f>'Raw Data'!D841</f>
        <v>Chair</v>
      </c>
      <c r="E841" s="4">
        <f>'Raw Data'!E841</f>
        <v>3</v>
      </c>
      <c r="F841" s="4">
        <f>'Raw Data'!F841</f>
        <v>197.97</v>
      </c>
      <c r="G841" s="4" t="str">
        <f>'Raw Data'!G841</f>
        <v>551 Main St</v>
      </c>
      <c r="H841" s="4" t="str">
        <f>'Raw Data'!H841</f>
        <v>Online</v>
      </c>
      <c r="I841" s="4" t="str">
        <f>'Raw Data'!I841</f>
        <v>Cancelled</v>
      </c>
      <c r="J841" s="4" t="str">
        <f>'Raw Data'!J841</f>
        <v>TRK90618490</v>
      </c>
      <c r="K841" s="4">
        <f>'Raw Data'!K841</f>
        <v>5</v>
      </c>
      <c r="L841" s="4" t="str">
        <f>IF('Raw Data'!L841="","No Coupon",'Raw Data'!L841)</f>
        <v>No Coupon</v>
      </c>
      <c r="M841" s="4" t="str">
        <f>'Raw Data'!M841</f>
        <v>Google</v>
      </c>
      <c r="N841" s="4">
        <f>'Raw Data'!N841</f>
        <v>593.91</v>
      </c>
    </row>
    <row r="842" spans="1:14" ht="15" customHeight="1" x14ac:dyDescent="0.2">
      <c r="A842" s="4" t="str">
        <f>'Raw Data'!A842</f>
        <v>ORD200840</v>
      </c>
      <c r="B842" s="6">
        <f>'Raw Data'!B842</f>
        <v>45305</v>
      </c>
      <c r="C842" s="4" t="str">
        <f>'Raw Data'!C842</f>
        <v>C60699</v>
      </c>
      <c r="D842" s="4" t="str">
        <f>'Raw Data'!D842</f>
        <v>Chair</v>
      </c>
      <c r="E842" s="4">
        <f>'Raw Data'!E842</f>
        <v>3</v>
      </c>
      <c r="F842" s="4">
        <f>'Raw Data'!F842</f>
        <v>411.95</v>
      </c>
      <c r="G842" s="4" t="str">
        <f>'Raw Data'!G842</f>
        <v>672 Main St</v>
      </c>
      <c r="H842" s="4" t="str">
        <f>'Raw Data'!H842</f>
        <v>Credit Card</v>
      </c>
      <c r="I842" s="4" t="str">
        <f>'Raw Data'!I842</f>
        <v>Delivered</v>
      </c>
      <c r="J842" s="4" t="str">
        <f>'Raw Data'!J842</f>
        <v>TRK88660574</v>
      </c>
      <c r="K842" s="4">
        <f>'Raw Data'!K842</f>
        <v>7</v>
      </c>
      <c r="L842" s="4" t="str">
        <f>IF('Raw Data'!L842="","No Coupon",'Raw Data'!L842)</f>
        <v>FREESHIP</v>
      </c>
      <c r="M842" s="4" t="str">
        <f>'Raw Data'!M842</f>
        <v>Referral</v>
      </c>
      <c r="N842" s="4">
        <f>'Raw Data'!N842</f>
        <v>1235.8499999999999</v>
      </c>
    </row>
    <row r="843" spans="1:14" ht="15" customHeight="1" x14ac:dyDescent="0.2">
      <c r="A843" s="4" t="str">
        <f>'Raw Data'!A843</f>
        <v>ORD200841</v>
      </c>
      <c r="B843" s="6">
        <f>'Raw Data'!B843</f>
        <v>45554</v>
      </c>
      <c r="C843" s="4" t="str">
        <f>'Raw Data'!C843</f>
        <v>C94658</v>
      </c>
      <c r="D843" s="4" t="str">
        <f>'Raw Data'!D843</f>
        <v>Printer</v>
      </c>
      <c r="E843" s="4">
        <f>'Raw Data'!E843</f>
        <v>2</v>
      </c>
      <c r="F843" s="4">
        <f>'Raw Data'!F843</f>
        <v>443.22</v>
      </c>
      <c r="G843" s="4" t="str">
        <f>'Raw Data'!G843</f>
        <v>742 Main St</v>
      </c>
      <c r="H843" s="4" t="str">
        <f>'Raw Data'!H843</f>
        <v>Credit Card</v>
      </c>
      <c r="I843" s="4" t="str">
        <f>'Raw Data'!I843</f>
        <v>Delivered</v>
      </c>
      <c r="J843" s="4" t="str">
        <f>'Raw Data'!J843</f>
        <v>TRK51732528</v>
      </c>
      <c r="K843" s="4">
        <f>'Raw Data'!K843</f>
        <v>5</v>
      </c>
      <c r="L843" s="4" t="str">
        <f>IF('Raw Data'!L843="","No Coupon",'Raw Data'!L843)</f>
        <v>No Coupon</v>
      </c>
      <c r="M843" s="4" t="str">
        <f>'Raw Data'!M843</f>
        <v>Facebook</v>
      </c>
      <c r="N843" s="4">
        <f>'Raw Data'!N843</f>
        <v>886.44</v>
      </c>
    </row>
    <row r="844" spans="1:14" ht="15" customHeight="1" x14ac:dyDescent="0.2">
      <c r="A844" s="4" t="str">
        <f>'Raw Data'!A844</f>
        <v>ORD200842</v>
      </c>
      <c r="B844" s="6">
        <f>'Raw Data'!B844</f>
        <v>45784</v>
      </c>
      <c r="C844" s="4" t="str">
        <f>'Raw Data'!C844</f>
        <v>C78305</v>
      </c>
      <c r="D844" s="4" t="str">
        <f>'Raw Data'!D844</f>
        <v>Laptop</v>
      </c>
      <c r="E844" s="4">
        <f>'Raw Data'!E844</f>
        <v>3</v>
      </c>
      <c r="F844" s="4">
        <f>'Raw Data'!F844</f>
        <v>364.14</v>
      </c>
      <c r="G844" s="4" t="str">
        <f>'Raw Data'!G844</f>
        <v>396 Main St</v>
      </c>
      <c r="H844" s="4" t="str">
        <f>'Raw Data'!H844</f>
        <v>Online</v>
      </c>
      <c r="I844" s="4" t="str">
        <f>'Raw Data'!I844</f>
        <v>Pending</v>
      </c>
      <c r="J844" s="4" t="str">
        <f>'Raw Data'!J844</f>
        <v>TRK88312618</v>
      </c>
      <c r="K844" s="4">
        <f>'Raw Data'!K844</f>
        <v>7</v>
      </c>
      <c r="L844" s="4" t="str">
        <f>IF('Raw Data'!L844="","No Coupon",'Raw Data'!L844)</f>
        <v>WINTER15</v>
      </c>
      <c r="M844" s="4" t="str">
        <f>'Raw Data'!M844</f>
        <v>Referral</v>
      </c>
      <c r="N844" s="4">
        <f>'Raw Data'!N844</f>
        <v>1092.42</v>
      </c>
    </row>
    <row r="845" spans="1:14" ht="15" customHeight="1" x14ac:dyDescent="0.2">
      <c r="A845" s="4" t="str">
        <f>'Raw Data'!A845</f>
        <v>ORD200843</v>
      </c>
      <c r="B845" s="6">
        <f>'Raw Data'!B845</f>
        <v>45790</v>
      </c>
      <c r="C845" s="4" t="str">
        <f>'Raw Data'!C845</f>
        <v>C43538</v>
      </c>
      <c r="D845" s="4" t="str">
        <f>'Raw Data'!D845</f>
        <v>Desk</v>
      </c>
      <c r="E845" s="4">
        <f>'Raw Data'!E845</f>
        <v>3</v>
      </c>
      <c r="F845" s="4">
        <f>'Raw Data'!F845</f>
        <v>430.06</v>
      </c>
      <c r="G845" s="4" t="str">
        <f>'Raw Data'!G845</f>
        <v>534 Main St</v>
      </c>
      <c r="H845" s="4" t="str">
        <f>'Raw Data'!H845</f>
        <v>Gift Card</v>
      </c>
      <c r="I845" s="4" t="str">
        <f>'Raw Data'!I845</f>
        <v>Cancelled</v>
      </c>
      <c r="J845" s="4" t="str">
        <f>'Raw Data'!J845</f>
        <v>TRK20961563</v>
      </c>
      <c r="K845" s="4">
        <f>'Raw Data'!K845</f>
        <v>8</v>
      </c>
      <c r="L845" s="4" t="str">
        <f>IF('Raw Data'!L845="","No Coupon",'Raw Data'!L845)</f>
        <v>FREESHIP</v>
      </c>
      <c r="M845" s="4" t="str">
        <f>'Raw Data'!M845</f>
        <v>Instagram</v>
      </c>
      <c r="N845" s="4">
        <f>'Raw Data'!N845</f>
        <v>1290.18</v>
      </c>
    </row>
    <row r="846" spans="1:14" ht="15" customHeight="1" x14ac:dyDescent="0.2">
      <c r="A846" s="4" t="str">
        <f>'Raw Data'!A846</f>
        <v>ORD200844</v>
      </c>
      <c r="B846" s="6">
        <f>'Raw Data'!B846</f>
        <v>45630</v>
      </c>
      <c r="C846" s="4" t="str">
        <f>'Raw Data'!C846</f>
        <v>C47486</v>
      </c>
      <c r="D846" s="4" t="str">
        <f>'Raw Data'!D846</f>
        <v>Chair</v>
      </c>
      <c r="E846" s="4">
        <f>'Raw Data'!E846</f>
        <v>1</v>
      </c>
      <c r="F846" s="4">
        <f>'Raw Data'!F846</f>
        <v>320.92</v>
      </c>
      <c r="G846" s="4" t="str">
        <f>'Raw Data'!G846</f>
        <v>883 Main St</v>
      </c>
      <c r="H846" s="4" t="str">
        <f>'Raw Data'!H846</f>
        <v>Online</v>
      </c>
      <c r="I846" s="4" t="str">
        <f>'Raw Data'!I846</f>
        <v>Returned</v>
      </c>
      <c r="J846" s="4" t="str">
        <f>'Raw Data'!J846</f>
        <v>TRK75984759</v>
      </c>
      <c r="K846" s="4">
        <f>'Raw Data'!K846</f>
        <v>5</v>
      </c>
      <c r="L846" s="4" t="str">
        <f>IF('Raw Data'!L846="","No Coupon",'Raw Data'!L846)</f>
        <v>FREESHIP</v>
      </c>
      <c r="M846" s="4" t="str">
        <f>'Raw Data'!M846</f>
        <v>Facebook</v>
      </c>
      <c r="N846" s="4">
        <f>'Raw Data'!N846</f>
        <v>320.92</v>
      </c>
    </row>
    <row r="847" spans="1:14" ht="15" customHeight="1" x14ac:dyDescent="0.2">
      <c r="A847" s="4" t="str">
        <f>'Raw Data'!A847</f>
        <v>ORD200845</v>
      </c>
      <c r="B847" s="6">
        <f>'Raw Data'!B847</f>
        <v>45207</v>
      </c>
      <c r="C847" s="4" t="str">
        <f>'Raw Data'!C847</f>
        <v>C24212</v>
      </c>
      <c r="D847" s="4" t="str">
        <f>'Raw Data'!D847</f>
        <v>Phone</v>
      </c>
      <c r="E847" s="4">
        <f>'Raw Data'!E847</f>
        <v>3</v>
      </c>
      <c r="F847" s="4">
        <f>'Raw Data'!F847</f>
        <v>107.36</v>
      </c>
      <c r="G847" s="4" t="str">
        <f>'Raw Data'!G847</f>
        <v>808 Main St</v>
      </c>
      <c r="H847" s="4" t="str">
        <f>'Raw Data'!H847</f>
        <v>Gift Card</v>
      </c>
      <c r="I847" s="4" t="str">
        <f>'Raw Data'!I847</f>
        <v>Delivered</v>
      </c>
      <c r="J847" s="4" t="str">
        <f>'Raw Data'!J847</f>
        <v>TRK68894675</v>
      </c>
      <c r="K847" s="4">
        <f>'Raw Data'!K847</f>
        <v>5</v>
      </c>
      <c r="L847" s="4" t="str">
        <f>IF('Raw Data'!L847="","No Coupon",'Raw Data'!L847)</f>
        <v>FREESHIP</v>
      </c>
      <c r="M847" s="4" t="str">
        <f>'Raw Data'!M847</f>
        <v>Google</v>
      </c>
      <c r="N847" s="4">
        <f>'Raw Data'!N847</f>
        <v>322.08</v>
      </c>
    </row>
    <row r="848" spans="1:14" ht="15" customHeight="1" x14ac:dyDescent="0.2">
      <c r="A848" s="4" t="str">
        <f>'Raw Data'!A848</f>
        <v>ORD200846</v>
      </c>
      <c r="B848" s="6">
        <f>'Raw Data'!B848</f>
        <v>45477</v>
      </c>
      <c r="C848" s="4" t="str">
        <f>'Raw Data'!C848</f>
        <v>C24765</v>
      </c>
      <c r="D848" s="4" t="str">
        <f>'Raw Data'!D848</f>
        <v>Desk</v>
      </c>
      <c r="E848" s="4">
        <f>'Raw Data'!E848</f>
        <v>2</v>
      </c>
      <c r="F848" s="4">
        <f>'Raw Data'!F848</f>
        <v>359.86</v>
      </c>
      <c r="G848" s="4" t="str">
        <f>'Raw Data'!G848</f>
        <v>646 Main St</v>
      </c>
      <c r="H848" s="4" t="str">
        <f>'Raw Data'!H848</f>
        <v>Debit Card</v>
      </c>
      <c r="I848" s="4" t="str">
        <f>'Raw Data'!I848</f>
        <v>Cancelled</v>
      </c>
      <c r="J848" s="4" t="str">
        <f>'Raw Data'!J848</f>
        <v>TRK43977698</v>
      </c>
      <c r="K848" s="4">
        <f>'Raw Data'!K848</f>
        <v>4</v>
      </c>
      <c r="L848" s="4" t="str">
        <f>IF('Raw Data'!L848="","No Coupon",'Raw Data'!L848)</f>
        <v>No Coupon</v>
      </c>
      <c r="M848" s="4" t="str">
        <f>'Raw Data'!M848</f>
        <v>Referral</v>
      </c>
      <c r="N848" s="4">
        <f>'Raw Data'!N848</f>
        <v>719.72</v>
      </c>
    </row>
    <row r="849" spans="1:14" ht="15" customHeight="1" x14ac:dyDescent="0.2">
      <c r="A849" s="4" t="str">
        <f>'Raw Data'!A849</f>
        <v>ORD200847</v>
      </c>
      <c r="B849" s="6">
        <f>'Raw Data'!B849</f>
        <v>45614</v>
      </c>
      <c r="C849" s="4" t="str">
        <f>'Raw Data'!C849</f>
        <v>C48176</v>
      </c>
      <c r="D849" s="4" t="str">
        <f>'Raw Data'!D849</f>
        <v>Printer</v>
      </c>
      <c r="E849" s="4">
        <f>'Raw Data'!E849</f>
        <v>4</v>
      </c>
      <c r="F849" s="4">
        <f>'Raw Data'!F849</f>
        <v>434.23</v>
      </c>
      <c r="G849" s="4" t="str">
        <f>'Raw Data'!G849</f>
        <v>670 Main St</v>
      </c>
      <c r="H849" s="4" t="str">
        <f>'Raw Data'!H849</f>
        <v>Online</v>
      </c>
      <c r="I849" s="4" t="str">
        <f>'Raw Data'!I849</f>
        <v>Shipped</v>
      </c>
      <c r="J849" s="4" t="str">
        <f>'Raw Data'!J849</f>
        <v>TRK90560300</v>
      </c>
      <c r="K849" s="4">
        <f>'Raw Data'!K849</f>
        <v>8</v>
      </c>
      <c r="L849" s="4" t="str">
        <f>IF('Raw Data'!L849="","No Coupon",'Raw Data'!L849)</f>
        <v>FREESHIP</v>
      </c>
      <c r="M849" s="4" t="str">
        <f>'Raw Data'!M849</f>
        <v>Email</v>
      </c>
      <c r="N849" s="4">
        <f>'Raw Data'!N849</f>
        <v>1736.92</v>
      </c>
    </row>
    <row r="850" spans="1:14" ht="15" customHeight="1" x14ac:dyDescent="0.2">
      <c r="A850" s="4" t="str">
        <f>'Raw Data'!A850</f>
        <v>ORD200848</v>
      </c>
      <c r="B850" s="6">
        <f>'Raw Data'!B850</f>
        <v>44927</v>
      </c>
      <c r="C850" s="4" t="str">
        <f>'Raw Data'!C850</f>
        <v>C54675</v>
      </c>
      <c r="D850" s="4" t="str">
        <f>'Raw Data'!D850</f>
        <v>Chair</v>
      </c>
      <c r="E850" s="4">
        <f>'Raw Data'!E850</f>
        <v>2</v>
      </c>
      <c r="F850" s="4">
        <f>'Raw Data'!F850</f>
        <v>645.85</v>
      </c>
      <c r="G850" s="4" t="str">
        <f>'Raw Data'!G850</f>
        <v>634 Main St</v>
      </c>
      <c r="H850" s="4" t="str">
        <f>'Raw Data'!H850</f>
        <v>Online</v>
      </c>
      <c r="I850" s="4" t="str">
        <f>'Raw Data'!I850</f>
        <v>Shipped</v>
      </c>
      <c r="J850" s="4" t="str">
        <f>'Raw Data'!J850</f>
        <v>TRK18049633</v>
      </c>
      <c r="K850" s="4">
        <f>'Raw Data'!K850</f>
        <v>5</v>
      </c>
      <c r="L850" s="4" t="str">
        <f>IF('Raw Data'!L850="","No Coupon",'Raw Data'!L850)</f>
        <v>No Coupon</v>
      </c>
      <c r="M850" s="4" t="str">
        <f>'Raw Data'!M850</f>
        <v>Referral</v>
      </c>
      <c r="N850" s="4">
        <f>'Raw Data'!N850</f>
        <v>1291.7</v>
      </c>
    </row>
    <row r="851" spans="1:14" ht="15" customHeight="1" x14ac:dyDescent="0.2">
      <c r="A851" s="4" t="str">
        <f>'Raw Data'!A851</f>
        <v>ORD200849</v>
      </c>
      <c r="B851" s="6">
        <f>'Raw Data'!B851</f>
        <v>45817</v>
      </c>
      <c r="C851" s="4" t="str">
        <f>'Raw Data'!C851</f>
        <v>C16675</v>
      </c>
      <c r="D851" s="4" t="str">
        <f>'Raw Data'!D851</f>
        <v>Printer</v>
      </c>
      <c r="E851" s="4">
        <f>'Raw Data'!E851</f>
        <v>4</v>
      </c>
      <c r="F851" s="4">
        <f>'Raw Data'!F851</f>
        <v>214.35</v>
      </c>
      <c r="G851" s="4" t="str">
        <f>'Raw Data'!G851</f>
        <v>664 Main St</v>
      </c>
      <c r="H851" s="4" t="str">
        <f>'Raw Data'!H851</f>
        <v>Debit Card</v>
      </c>
      <c r="I851" s="4" t="str">
        <f>'Raw Data'!I851</f>
        <v>Cancelled</v>
      </c>
      <c r="J851" s="4" t="str">
        <f>'Raw Data'!J851</f>
        <v>TRK12756945</v>
      </c>
      <c r="K851" s="4">
        <f>'Raw Data'!K851</f>
        <v>7</v>
      </c>
      <c r="L851" s="4" t="str">
        <f>IF('Raw Data'!L851="","No Coupon",'Raw Data'!L851)</f>
        <v>WINTER15</v>
      </c>
      <c r="M851" s="4" t="str">
        <f>'Raw Data'!M851</f>
        <v>Referral</v>
      </c>
      <c r="N851" s="4">
        <f>'Raw Data'!N851</f>
        <v>857.4</v>
      </c>
    </row>
    <row r="852" spans="1:14" ht="15" customHeight="1" x14ac:dyDescent="0.2">
      <c r="A852" s="4" t="str">
        <f>'Raw Data'!A852</f>
        <v>ORD200850</v>
      </c>
      <c r="B852" s="6">
        <f>'Raw Data'!B852</f>
        <v>45774</v>
      </c>
      <c r="C852" s="4" t="str">
        <f>'Raw Data'!C852</f>
        <v>C38557</v>
      </c>
      <c r="D852" s="4" t="str">
        <f>'Raw Data'!D852</f>
        <v>Monitor</v>
      </c>
      <c r="E852" s="4">
        <f>'Raw Data'!E852</f>
        <v>3</v>
      </c>
      <c r="F852" s="4">
        <f>'Raw Data'!F852</f>
        <v>638.5</v>
      </c>
      <c r="G852" s="4" t="str">
        <f>'Raw Data'!G852</f>
        <v>890 Main St</v>
      </c>
      <c r="H852" s="4" t="str">
        <f>'Raw Data'!H852</f>
        <v>Debit Card</v>
      </c>
      <c r="I852" s="4" t="str">
        <f>'Raw Data'!I852</f>
        <v>Cancelled</v>
      </c>
      <c r="J852" s="4" t="str">
        <f>'Raw Data'!J852</f>
        <v>TRK14832238</v>
      </c>
      <c r="K852" s="4">
        <f>'Raw Data'!K852</f>
        <v>4</v>
      </c>
      <c r="L852" s="4" t="str">
        <f>IF('Raw Data'!L852="","No Coupon",'Raw Data'!L852)</f>
        <v>FREESHIP</v>
      </c>
      <c r="M852" s="4" t="str">
        <f>'Raw Data'!M852</f>
        <v>Instagram</v>
      </c>
      <c r="N852" s="4">
        <f>'Raw Data'!N852</f>
        <v>1915.5</v>
      </c>
    </row>
    <row r="853" spans="1:14" ht="15" customHeight="1" x14ac:dyDescent="0.2">
      <c r="A853" s="4" t="str">
        <f>'Raw Data'!A853</f>
        <v>ORD200851</v>
      </c>
      <c r="B853" s="6">
        <f>'Raw Data'!B853</f>
        <v>45272</v>
      </c>
      <c r="C853" s="4" t="str">
        <f>'Raw Data'!C853</f>
        <v>C80183</v>
      </c>
      <c r="D853" s="4" t="str">
        <f>'Raw Data'!D853</f>
        <v>Laptop</v>
      </c>
      <c r="E853" s="4">
        <f>'Raw Data'!E853</f>
        <v>1</v>
      </c>
      <c r="F853" s="4">
        <f>'Raw Data'!F853</f>
        <v>365.57</v>
      </c>
      <c r="G853" s="4" t="str">
        <f>'Raw Data'!G853</f>
        <v>146 Main St</v>
      </c>
      <c r="H853" s="4" t="str">
        <f>'Raw Data'!H853</f>
        <v>Online</v>
      </c>
      <c r="I853" s="4" t="str">
        <f>'Raw Data'!I853</f>
        <v>Cancelled</v>
      </c>
      <c r="J853" s="4" t="str">
        <f>'Raw Data'!J853</f>
        <v>TRK20814598</v>
      </c>
      <c r="K853" s="4">
        <f>'Raw Data'!K853</f>
        <v>5</v>
      </c>
      <c r="L853" s="4" t="str">
        <f>IF('Raw Data'!L853="","No Coupon",'Raw Data'!L853)</f>
        <v>SAVE10</v>
      </c>
      <c r="M853" s="4" t="str">
        <f>'Raw Data'!M853</f>
        <v>Email</v>
      </c>
      <c r="N853" s="4">
        <f>'Raw Data'!N853</f>
        <v>365.57</v>
      </c>
    </row>
    <row r="854" spans="1:14" ht="15" customHeight="1" x14ac:dyDescent="0.2">
      <c r="A854" s="4" t="str">
        <f>'Raw Data'!A854</f>
        <v>ORD200852</v>
      </c>
      <c r="B854" s="6">
        <f>'Raw Data'!B854</f>
        <v>45589</v>
      </c>
      <c r="C854" s="4" t="str">
        <f>'Raw Data'!C854</f>
        <v>C39530</v>
      </c>
      <c r="D854" s="4" t="str">
        <f>'Raw Data'!D854</f>
        <v>Desk</v>
      </c>
      <c r="E854" s="4">
        <f>'Raw Data'!E854</f>
        <v>3</v>
      </c>
      <c r="F854" s="4">
        <f>'Raw Data'!F854</f>
        <v>568.04999999999995</v>
      </c>
      <c r="G854" s="4" t="str">
        <f>'Raw Data'!G854</f>
        <v>618 Main St</v>
      </c>
      <c r="H854" s="4" t="str">
        <f>'Raw Data'!H854</f>
        <v>Gift Card</v>
      </c>
      <c r="I854" s="4" t="str">
        <f>'Raw Data'!I854</f>
        <v>Pending</v>
      </c>
      <c r="J854" s="4" t="str">
        <f>'Raw Data'!J854</f>
        <v>TRK69000497</v>
      </c>
      <c r="K854" s="4">
        <f>'Raw Data'!K854</f>
        <v>6</v>
      </c>
      <c r="L854" s="4" t="str">
        <f>IF('Raw Data'!L854="","No Coupon",'Raw Data'!L854)</f>
        <v>SAVE10</v>
      </c>
      <c r="M854" s="4" t="str">
        <f>'Raw Data'!M854</f>
        <v>Google</v>
      </c>
      <c r="N854" s="4">
        <f>'Raw Data'!N854</f>
        <v>1704.15</v>
      </c>
    </row>
    <row r="855" spans="1:14" ht="15" customHeight="1" x14ac:dyDescent="0.2">
      <c r="A855" s="4" t="str">
        <f>'Raw Data'!A855</f>
        <v>ORD200853</v>
      </c>
      <c r="B855" s="6">
        <f>'Raw Data'!B855</f>
        <v>45215</v>
      </c>
      <c r="C855" s="4" t="str">
        <f>'Raw Data'!C855</f>
        <v>C10002</v>
      </c>
      <c r="D855" s="4" t="str">
        <f>'Raw Data'!D855</f>
        <v>Printer</v>
      </c>
      <c r="E855" s="4">
        <f>'Raw Data'!E855</f>
        <v>3</v>
      </c>
      <c r="F855" s="4">
        <f>'Raw Data'!F855</f>
        <v>490.01</v>
      </c>
      <c r="G855" s="4" t="str">
        <f>'Raw Data'!G855</f>
        <v>894 Main St</v>
      </c>
      <c r="H855" s="4" t="str">
        <f>'Raw Data'!H855</f>
        <v>Cash</v>
      </c>
      <c r="I855" s="4" t="str">
        <f>'Raw Data'!I855</f>
        <v>Returned</v>
      </c>
      <c r="J855" s="4" t="str">
        <f>'Raw Data'!J855</f>
        <v>TRK94641152</v>
      </c>
      <c r="K855" s="4">
        <f>'Raw Data'!K855</f>
        <v>4</v>
      </c>
      <c r="L855" s="4" t="str">
        <f>IF('Raw Data'!L855="","No Coupon",'Raw Data'!L855)</f>
        <v>SAVE10</v>
      </c>
      <c r="M855" s="4" t="str">
        <f>'Raw Data'!M855</f>
        <v>Facebook</v>
      </c>
      <c r="N855" s="4">
        <f>'Raw Data'!N855</f>
        <v>1470.03</v>
      </c>
    </row>
    <row r="856" spans="1:14" ht="15" customHeight="1" x14ac:dyDescent="0.2">
      <c r="A856" s="4" t="str">
        <f>'Raw Data'!A856</f>
        <v>ORD200854</v>
      </c>
      <c r="B856" s="6">
        <f>'Raw Data'!B856</f>
        <v>45821</v>
      </c>
      <c r="C856" s="4" t="str">
        <f>'Raw Data'!C856</f>
        <v>C56938</v>
      </c>
      <c r="D856" s="4" t="str">
        <f>'Raw Data'!D856</f>
        <v>Laptop</v>
      </c>
      <c r="E856" s="4">
        <f>'Raw Data'!E856</f>
        <v>3</v>
      </c>
      <c r="F856" s="4">
        <f>'Raw Data'!F856</f>
        <v>372.6</v>
      </c>
      <c r="G856" s="4" t="str">
        <f>'Raw Data'!G856</f>
        <v>356 Main St</v>
      </c>
      <c r="H856" s="4" t="str">
        <f>'Raw Data'!H856</f>
        <v>Credit Card</v>
      </c>
      <c r="I856" s="4" t="str">
        <f>'Raw Data'!I856</f>
        <v>Delivered</v>
      </c>
      <c r="J856" s="4" t="str">
        <f>'Raw Data'!J856</f>
        <v>TRK67735987</v>
      </c>
      <c r="K856" s="4">
        <f>'Raw Data'!K856</f>
        <v>7</v>
      </c>
      <c r="L856" s="4" t="str">
        <f>IF('Raw Data'!L856="","No Coupon",'Raw Data'!L856)</f>
        <v>WINTER15</v>
      </c>
      <c r="M856" s="4" t="str">
        <f>'Raw Data'!M856</f>
        <v>Referral</v>
      </c>
      <c r="N856" s="4">
        <f>'Raw Data'!N856</f>
        <v>1117.8</v>
      </c>
    </row>
    <row r="857" spans="1:14" ht="15" customHeight="1" x14ac:dyDescent="0.2">
      <c r="A857" s="4" t="str">
        <f>'Raw Data'!A857</f>
        <v>ORD200855</v>
      </c>
      <c r="B857" s="6">
        <f>'Raw Data'!B857</f>
        <v>45071</v>
      </c>
      <c r="C857" s="4" t="str">
        <f>'Raw Data'!C857</f>
        <v>C41331</v>
      </c>
      <c r="D857" s="4" t="str">
        <f>'Raw Data'!D857</f>
        <v>Monitor</v>
      </c>
      <c r="E857" s="4">
        <f>'Raw Data'!E857</f>
        <v>5</v>
      </c>
      <c r="F857" s="4">
        <f>'Raw Data'!F857</f>
        <v>240.61</v>
      </c>
      <c r="G857" s="4" t="str">
        <f>'Raw Data'!G857</f>
        <v>785 Main St</v>
      </c>
      <c r="H857" s="4" t="str">
        <f>'Raw Data'!H857</f>
        <v>Credit Card</v>
      </c>
      <c r="I857" s="4" t="str">
        <f>'Raw Data'!I857</f>
        <v>Shipped</v>
      </c>
      <c r="J857" s="4" t="str">
        <f>'Raw Data'!J857</f>
        <v>TRK94198179</v>
      </c>
      <c r="K857" s="4">
        <f>'Raw Data'!K857</f>
        <v>10</v>
      </c>
      <c r="L857" s="4" t="str">
        <f>IF('Raw Data'!L857="","No Coupon",'Raw Data'!L857)</f>
        <v>FREESHIP</v>
      </c>
      <c r="M857" s="4" t="str">
        <f>'Raw Data'!M857</f>
        <v>Email</v>
      </c>
      <c r="N857" s="4">
        <f>'Raw Data'!N857</f>
        <v>1203.05</v>
      </c>
    </row>
    <row r="858" spans="1:14" ht="15" customHeight="1" x14ac:dyDescent="0.2">
      <c r="A858" s="4" t="str">
        <f>'Raw Data'!A858</f>
        <v>ORD200856</v>
      </c>
      <c r="B858" s="6">
        <f>'Raw Data'!B858</f>
        <v>45446</v>
      </c>
      <c r="C858" s="4" t="str">
        <f>'Raw Data'!C858</f>
        <v>C94698</v>
      </c>
      <c r="D858" s="4" t="str">
        <f>'Raw Data'!D858</f>
        <v>Phone</v>
      </c>
      <c r="E858" s="4">
        <f>'Raw Data'!E858</f>
        <v>1</v>
      </c>
      <c r="F858" s="4">
        <f>'Raw Data'!F858</f>
        <v>586.62</v>
      </c>
      <c r="G858" s="4" t="str">
        <f>'Raw Data'!G858</f>
        <v>871 Main St</v>
      </c>
      <c r="H858" s="4" t="str">
        <f>'Raw Data'!H858</f>
        <v>Debit Card</v>
      </c>
      <c r="I858" s="4" t="str">
        <f>'Raw Data'!I858</f>
        <v>Shipped</v>
      </c>
      <c r="J858" s="4" t="str">
        <f>'Raw Data'!J858</f>
        <v>TRK95768773</v>
      </c>
      <c r="K858" s="4">
        <f>'Raw Data'!K858</f>
        <v>5</v>
      </c>
      <c r="L858" s="4" t="str">
        <f>IF('Raw Data'!L858="","No Coupon",'Raw Data'!L858)</f>
        <v>No Coupon</v>
      </c>
      <c r="M858" s="4" t="str">
        <f>'Raw Data'!M858</f>
        <v>Facebook</v>
      </c>
      <c r="N858" s="4">
        <f>'Raw Data'!N858</f>
        <v>586.62</v>
      </c>
    </row>
    <row r="859" spans="1:14" ht="15" customHeight="1" x14ac:dyDescent="0.2">
      <c r="A859" s="4" t="str">
        <f>'Raw Data'!A859</f>
        <v>ORD200857</v>
      </c>
      <c r="B859" s="6">
        <f>'Raw Data'!B859</f>
        <v>45361</v>
      </c>
      <c r="C859" s="4" t="str">
        <f>'Raw Data'!C859</f>
        <v>C56506</v>
      </c>
      <c r="D859" s="4" t="str">
        <f>'Raw Data'!D859</f>
        <v>Phone</v>
      </c>
      <c r="E859" s="4">
        <f>'Raw Data'!E859</f>
        <v>3</v>
      </c>
      <c r="F859" s="4">
        <f>'Raw Data'!F859</f>
        <v>257.83999999999997</v>
      </c>
      <c r="G859" s="4" t="str">
        <f>'Raw Data'!G859</f>
        <v>185 Main St</v>
      </c>
      <c r="H859" s="4" t="str">
        <f>'Raw Data'!H859</f>
        <v>Online</v>
      </c>
      <c r="I859" s="4" t="str">
        <f>'Raw Data'!I859</f>
        <v>Delivered</v>
      </c>
      <c r="J859" s="4" t="str">
        <f>'Raw Data'!J859</f>
        <v>TRK86808324</v>
      </c>
      <c r="K859" s="4">
        <f>'Raw Data'!K859</f>
        <v>4</v>
      </c>
      <c r="L859" s="4" t="str">
        <f>IF('Raw Data'!L859="","No Coupon",'Raw Data'!L859)</f>
        <v>No Coupon</v>
      </c>
      <c r="M859" s="4" t="str">
        <f>'Raw Data'!M859</f>
        <v>Instagram</v>
      </c>
      <c r="N859" s="4">
        <f>'Raw Data'!N859</f>
        <v>773.52</v>
      </c>
    </row>
    <row r="860" spans="1:14" ht="15" customHeight="1" x14ac:dyDescent="0.2">
      <c r="A860" s="4" t="str">
        <f>'Raw Data'!A860</f>
        <v>ORD200858</v>
      </c>
      <c r="B860" s="6">
        <f>'Raw Data'!B860</f>
        <v>45158</v>
      </c>
      <c r="C860" s="4" t="str">
        <f>'Raw Data'!C860</f>
        <v>C22167</v>
      </c>
      <c r="D860" s="4" t="str">
        <f>'Raw Data'!D860</f>
        <v>Tablet</v>
      </c>
      <c r="E860" s="4">
        <f>'Raw Data'!E860</f>
        <v>5</v>
      </c>
      <c r="F860" s="4">
        <f>'Raw Data'!F860</f>
        <v>435.66</v>
      </c>
      <c r="G860" s="4" t="str">
        <f>'Raw Data'!G860</f>
        <v>891 Main St</v>
      </c>
      <c r="H860" s="4" t="str">
        <f>'Raw Data'!H860</f>
        <v>Online</v>
      </c>
      <c r="I860" s="4" t="str">
        <f>'Raw Data'!I860</f>
        <v>Pending</v>
      </c>
      <c r="J860" s="4" t="str">
        <f>'Raw Data'!J860</f>
        <v>TRK70269748</v>
      </c>
      <c r="K860" s="4">
        <f>'Raw Data'!K860</f>
        <v>9</v>
      </c>
      <c r="L860" s="4" t="str">
        <f>IF('Raw Data'!L860="","No Coupon",'Raw Data'!L860)</f>
        <v>No Coupon</v>
      </c>
      <c r="M860" s="4" t="str">
        <f>'Raw Data'!M860</f>
        <v>Facebook</v>
      </c>
      <c r="N860" s="4">
        <f>'Raw Data'!N860</f>
        <v>2178.3000000000002</v>
      </c>
    </row>
    <row r="861" spans="1:14" ht="15" customHeight="1" x14ac:dyDescent="0.2">
      <c r="A861" s="4" t="str">
        <f>'Raw Data'!A861</f>
        <v>ORD200859</v>
      </c>
      <c r="B861" s="6">
        <f>'Raw Data'!B861</f>
        <v>45532</v>
      </c>
      <c r="C861" s="4" t="str">
        <f>'Raw Data'!C861</f>
        <v>C11127</v>
      </c>
      <c r="D861" s="4" t="str">
        <f>'Raw Data'!D861</f>
        <v>Chair</v>
      </c>
      <c r="E861" s="4">
        <f>'Raw Data'!E861</f>
        <v>5</v>
      </c>
      <c r="F861" s="4">
        <f>'Raw Data'!F861</f>
        <v>261.33</v>
      </c>
      <c r="G861" s="4" t="str">
        <f>'Raw Data'!G861</f>
        <v>154 Main St</v>
      </c>
      <c r="H861" s="4" t="str">
        <f>'Raw Data'!H861</f>
        <v>Credit Card</v>
      </c>
      <c r="I861" s="4" t="str">
        <f>'Raw Data'!I861</f>
        <v>Returned</v>
      </c>
      <c r="J861" s="4" t="str">
        <f>'Raw Data'!J861</f>
        <v>TRK73285507</v>
      </c>
      <c r="K861" s="4">
        <f>'Raw Data'!K861</f>
        <v>5</v>
      </c>
      <c r="L861" s="4" t="str">
        <f>IF('Raw Data'!L861="","No Coupon",'Raw Data'!L861)</f>
        <v>SAVE10</v>
      </c>
      <c r="M861" s="4" t="str">
        <f>'Raw Data'!M861</f>
        <v>Referral</v>
      </c>
      <c r="N861" s="4">
        <f>'Raw Data'!N861</f>
        <v>1306.6500000000001</v>
      </c>
    </row>
    <row r="862" spans="1:14" ht="15" customHeight="1" x14ac:dyDescent="0.2">
      <c r="A862" s="4" t="str">
        <f>'Raw Data'!A862</f>
        <v>ORD200860</v>
      </c>
      <c r="B862" s="6">
        <f>'Raw Data'!B862</f>
        <v>45314</v>
      </c>
      <c r="C862" s="4" t="str">
        <f>'Raw Data'!C862</f>
        <v>C69542</v>
      </c>
      <c r="D862" s="4" t="str">
        <f>'Raw Data'!D862</f>
        <v>Printer</v>
      </c>
      <c r="E862" s="4">
        <f>'Raw Data'!E862</f>
        <v>1</v>
      </c>
      <c r="F862" s="4">
        <f>'Raw Data'!F862</f>
        <v>422.54</v>
      </c>
      <c r="G862" s="4" t="str">
        <f>'Raw Data'!G862</f>
        <v>876 Main St</v>
      </c>
      <c r="H862" s="4" t="str">
        <f>'Raw Data'!H862</f>
        <v>Cash</v>
      </c>
      <c r="I862" s="4" t="str">
        <f>'Raw Data'!I862</f>
        <v>Delivered</v>
      </c>
      <c r="J862" s="4" t="str">
        <f>'Raw Data'!J862</f>
        <v>TRK20746505</v>
      </c>
      <c r="K862" s="4">
        <f>'Raw Data'!K862</f>
        <v>1</v>
      </c>
      <c r="L862" s="4" t="str">
        <f>IF('Raw Data'!L862="","No Coupon",'Raw Data'!L862)</f>
        <v>SAVE10</v>
      </c>
      <c r="M862" s="4" t="str">
        <f>'Raw Data'!M862</f>
        <v>Google</v>
      </c>
      <c r="N862" s="4">
        <f>'Raw Data'!N862</f>
        <v>422.54</v>
      </c>
    </row>
    <row r="863" spans="1:14" ht="15" customHeight="1" x14ac:dyDescent="0.2">
      <c r="A863" s="4" t="str">
        <f>'Raw Data'!A863</f>
        <v>ORD200861</v>
      </c>
      <c r="B863" s="6">
        <f>'Raw Data'!B863</f>
        <v>45004</v>
      </c>
      <c r="C863" s="4" t="str">
        <f>'Raw Data'!C863</f>
        <v>C93276</v>
      </c>
      <c r="D863" s="4" t="str">
        <f>'Raw Data'!D863</f>
        <v>Desk</v>
      </c>
      <c r="E863" s="4">
        <f>'Raw Data'!E863</f>
        <v>5</v>
      </c>
      <c r="F863" s="4">
        <f>'Raw Data'!F863</f>
        <v>330.45</v>
      </c>
      <c r="G863" s="4" t="str">
        <f>'Raw Data'!G863</f>
        <v>230 Main St</v>
      </c>
      <c r="H863" s="4" t="str">
        <f>'Raw Data'!H863</f>
        <v>Gift Card</v>
      </c>
      <c r="I863" s="4" t="str">
        <f>'Raw Data'!I863</f>
        <v>Shipped</v>
      </c>
      <c r="J863" s="4" t="str">
        <f>'Raw Data'!J863</f>
        <v>TRK44165913</v>
      </c>
      <c r="K863" s="4">
        <f>'Raw Data'!K863</f>
        <v>10</v>
      </c>
      <c r="L863" s="4" t="str">
        <f>IF('Raw Data'!L863="","No Coupon",'Raw Data'!L863)</f>
        <v>FREESHIP</v>
      </c>
      <c r="M863" s="4" t="str">
        <f>'Raw Data'!M863</f>
        <v>Google</v>
      </c>
      <c r="N863" s="4">
        <f>'Raw Data'!N863</f>
        <v>1652.25</v>
      </c>
    </row>
    <row r="864" spans="1:14" ht="15" customHeight="1" x14ac:dyDescent="0.2">
      <c r="A864" s="4" t="str">
        <f>'Raw Data'!A864</f>
        <v>ORD200862</v>
      </c>
      <c r="B864" s="6">
        <f>'Raw Data'!B864</f>
        <v>45262</v>
      </c>
      <c r="C864" s="4" t="str">
        <f>'Raw Data'!C864</f>
        <v>C37969</v>
      </c>
      <c r="D864" s="4" t="str">
        <f>'Raw Data'!D864</f>
        <v>Desk</v>
      </c>
      <c r="E864" s="4">
        <f>'Raw Data'!E864</f>
        <v>3</v>
      </c>
      <c r="F864" s="4">
        <f>'Raw Data'!F864</f>
        <v>120.82</v>
      </c>
      <c r="G864" s="4" t="str">
        <f>'Raw Data'!G864</f>
        <v>799 Main St</v>
      </c>
      <c r="H864" s="4" t="str">
        <f>'Raw Data'!H864</f>
        <v>Credit Card</v>
      </c>
      <c r="I864" s="4" t="str">
        <f>'Raw Data'!I864</f>
        <v>Shipped</v>
      </c>
      <c r="J864" s="4" t="str">
        <f>'Raw Data'!J864</f>
        <v>TRK69852386</v>
      </c>
      <c r="K864" s="4">
        <f>'Raw Data'!K864</f>
        <v>5</v>
      </c>
      <c r="L864" s="4" t="str">
        <f>IF('Raw Data'!L864="","No Coupon",'Raw Data'!L864)</f>
        <v>SAVE10</v>
      </c>
      <c r="M864" s="4" t="str">
        <f>'Raw Data'!M864</f>
        <v>Referral</v>
      </c>
      <c r="N864" s="4">
        <f>'Raw Data'!N864</f>
        <v>362.46</v>
      </c>
    </row>
    <row r="865" spans="1:14" ht="15" customHeight="1" x14ac:dyDescent="0.2">
      <c r="A865" s="4" t="str">
        <f>'Raw Data'!A865</f>
        <v>ORD200863</v>
      </c>
      <c r="B865" s="6">
        <f>'Raw Data'!B865</f>
        <v>45432</v>
      </c>
      <c r="C865" s="4" t="str">
        <f>'Raw Data'!C865</f>
        <v>C98276</v>
      </c>
      <c r="D865" s="4" t="str">
        <f>'Raw Data'!D865</f>
        <v>Phone</v>
      </c>
      <c r="E865" s="4">
        <f>'Raw Data'!E865</f>
        <v>1</v>
      </c>
      <c r="F865" s="4">
        <f>'Raw Data'!F865</f>
        <v>14.06</v>
      </c>
      <c r="G865" s="4" t="str">
        <f>'Raw Data'!G865</f>
        <v>471 Main St</v>
      </c>
      <c r="H865" s="4" t="str">
        <f>'Raw Data'!H865</f>
        <v>Credit Card</v>
      </c>
      <c r="I865" s="4" t="str">
        <f>'Raw Data'!I865</f>
        <v>Pending</v>
      </c>
      <c r="J865" s="4" t="str">
        <f>'Raw Data'!J865</f>
        <v>TRK74207282</v>
      </c>
      <c r="K865" s="4">
        <f>'Raw Data'!K865</f>
        <v>5</v>
      </c>
      <c r="L865" s="4" t="str">
        <f>IF('Raw Data'!L865="","No Coupon",'Raw Data'!L865)</f>
        <v>SAVE10</v>
      </c>
      <c r="M865" s="4" t="str">
        <f>'Raw Data'!M865</f>
        <v>Referral</v>
      </c>
      <c r="N865" s="4">
        <f>'Raw Data'!N865</f>
        <v>14.06</v>
      </c>
    </row>
    <row r="866" spans="1:14" ht="15" customHeight="1" x14ac:dyDescent="0.2">
      <c r="A866" s="4" t="str">
        <f>'Raw Data'!A866</f>
        <v>ORD200864</v>
      </c>
      <c r="B866" s="6">
        <f>'Raw Data'!B866</f>
        <v>45049</v>
      </c>
      <c r="C866" s="4" t="str">
        <f>'Raw Data'!C866</f>
        <v>C14240</v>
      </c>
      <c r="D866" s="4" t="str">
        <f>'Raw Data'!D866</f>
        <v>Desk</v>
      </c>
      <c r="E866" s="4">
        <f>'Raw Data'!E866</f>
        <v>1</v>
      </c>
      <c r="F866" s="4">
        <f>'Raw Data'!F866</f>
        <v>491.11</v>
      </c>
      <c r="G866" s="4" t="str">
        <f>'Raw Data'!G866</f>
        <v>592 Main St</v>
      </c>
      <c r="H866" s="4" t="str">
        <f>'Raw Data'!H866</f>
        <v>Credit Card</v>
      </c>
      <c r="I866" s="4" t="str">
        <f>'Raw Data'!I866</f>
        <v>Delivered</v>
      </c>
      <c r="J866" s="4" t="str">
        <f>'Raw Data'!J866</f>
        <v>TRK58095246</v>
      </c>
      <c r="K866" s="4">
        <f>'Raw Data'!K866</f>
        <v>4</v>
      </c>
      <c r="L866" s="4" t="str">
        <f>IF('Raw Data'!L866="","No Coupon",'Raw Data'!L866)</f>
        <v>SAVE10</v>
      </c>
      <c r="M866" s="4" t="str">
        <f>'Raw Data'!M866</f>
        <v>Facebook</v>
      </c>
      <c r="N866" s="4">
        <f>'Raw Data'!N866</f>
        <v>491.11</v>
      </c>
    </row>
    <row r="867" spans="1:14" ht="15" customHeight="1" x14ac:dyDescent="0.2">
      <c r="A867" s="4" t="str">
        <f>'Raw Data'!A867</f>
        <v>ORD200865</v>
      </c>
      <c r="B867" s="6">
        <f>'Raw Data'!B867</f>
        <v>45046</v>
      </c>
      <c r="C867" s="4" t="str">
        <f>'Raw Data'!C867</f>
        <v>C72241</v>
      </c>
      <c r="D867" s="4" t="str">
        <f>'Raw Data'!D867</f>
        <v>Monitor</v>
      </c>
      <c r="E867" s="4">
        <f>'Raw Data'!E867</f>
        <v>4</v>
      </c>
      <c r="F867" s="4">
        <f>'Raw Data'!F867</f>
        <v>677.37</v>
      </c>
      <c r="G867" s="4" t="str">
        <f>'Raw Data'!G867</f>
        <v>156 Main St</v>
      </c>
      <c r="H867" s="4" t="str">
        <f>'Raw Data'!H867</f>
        <v>Cash</v>
      </c>
      <c r="I867" s="4" t="str">
        <f>'Raw Data'!I867</f>
        <v>Pending</v>
      </c>
      <c r="J867" s="4" t="str">
        <f>'Raw Data'!J867</f>
        <v>TRK76270481</v>
      </c>
      <c r="K867" s="4">
        <f>'Raw Data'!K867</f>
        <v>8</v>
      </c>
      <c r="L867" s="4" t="str">
        <f>IF('Raw Data'!L867="","No Coupon",'Raw Data'!L867)</f>
        <v>SAVE10</v>
      </c>
      <c r="M867" s="4" t="str">
        <f>'Raw Data'!M867</f>
        <v>Google</v>
      </c>
      <c r="N867" s="4">
        <f>'Raw Data'!N867</f>
        <v>2709.48</v>
      </c>
    </row>
    <row r="868" spans="1:14" ht="15" customHeight="1" x14ac:dyDescent="0.2">
      <c r="A868" s="4" t="str">
        <f>'Raw Data'!A868</f>
        <v>ORD200866</v>
      </c>
      <c r="B868" s="6">
        <f>'Raw Data'!B868</f>
        <v>45499</v>
      </c>
      <c r="C868" s="4" t="str">
        <f>'Raw Data'!C868</f>
        <v>C39664</v>
      </c>
      <c r="D868" s="4" t="str">
        <f>'Raw Data'!D868</f>
        <v>Desk</v>
      </c>
      <c r="E868" s="4">
        <f>'Raw Data'!E868</f>
        <v>5</v>
      </c>
      <c r="F868" s="4">
        <f>'Raw Data'!F868</f>
        <v>189.25</v>
      </c>
      <c r="G868" s="4" t="str">
        <f>'Raw Data'!G868</f>
        <v>693 Main St</v>
      </c>
      <c r="H868" s="4" t="str">
        <f>'Raw Data'!H868</f>
        <v>Debit Card</v>
      </c>
      <c r="I868" s="4" t="str">
        <f>'Raw Data'!I868</f>
        <v>Cancelled</v>
      </c>
      <c r="J868" s="4" t="str">
        <f>'Raw Data'!J868</f>
        <v>TRK39917741</v>
      </c>
      <c r="K868" s="4">
        <f>'Raw Data'!K868</f>
        <v>10</v>
      </c>
      <c r="L868" s="4" t="str">
        <f>IF('Raw Data'!L868="","No Coupon",'Raw Data'!L868)</f>
        <v>WINTER15</v>
      </c>
      <c r="M868" s="4" t="str">
        <f>'Raw Data'!M868</f>
        <v>Email</v>
      </c>
      <c r="N868" s="4">
        <f>'Raw Data'!N868</f>
        <v>946.25</v>
      </c>
    </row>
    <row r="869" spans="1:14" ht="15" customHeight="1" x14ac:dyDescent="0.2">
      <c r="A869" s="4" t="str">
        <f>'Raw Data'!A869</f>
        <v>ORD200867</v>
      </c>
      <c r="B869" s="6">
        <f>'Raw Data'!B869</f>
        <v>45438</v>
      </c>
      <c r="C869" s="4" t="str">
        <f>'Raw Data'!C869</f>
        <v>C53252</v>
      </c>
      <c r="D869" s="4" t="str">
        <f>'Raw Data'!D869</f>
        <v>Printer</v>
      </c>
      <c r="E869" s="4">
        <f>'Raw Data'!E869</f>
        <v>4</v>
      </c>
      <c r="F869" s="4">
        <f>'Raw Data'!F869</f>
        <v>142.58000000000001</v>
      </c>
      <c r="G869" s="4" t="str">
        <f>'Raw Data'!G869</f>
        <v>351 Main St</v>
      </c>
      <c r="H869" s="4" t="str">
        <f>'Raw Data'!H869</f>
        <v>Cash</v>
      </c>
      <c r="I869" s="4" t="str">
        <f>'Raw Data'!I869</f>
        <v>Delivered</v>
      </c>
      <c r="J869" s="4" t="str">
        <f>'Raw Data'!J869</f>
        <v>TRK65831261</v>
      </c>
      <c r="K869" s="4">
        <f>'Raw Data'!K869</f>
        <v>4</v>
      </c>
      <c r="L869" s="4" t="str">
        <f>IF('Raw Data'!L869="","No Coupon",'Raw Data'!L869)</f>
        <v>FREESHIP</v>
      </c>
      <c r="M869" s="4" t="str">
        <f>'Raw Data'!M869</f>
        <v>Facebook</v>
      </c>
      <c r="N869" s="4">
        <f>'Raw Data'!N869</f>
        <v>570.32000000000005</v>
      </c>
    </row>
    <row r="870" spans="1:14" ht="15" customHeight="1" x14ac:dyDescent="0.2">
      <c r="A870" s="4" t="str">
        <f>'Raw Data'!A870</f>
        <v>ORD200868</v>
      </c>
      <c r="B870" s="6">
        <f>'Raw Data'!B870</f>
        <v>45472</v>
      </c>
      <c r="C870" s="4" t="str">
        <f>'Raw Data'!C870</f>
        <v>C70452</v>
      </c>
      <c r="D870" s="4" t="str">
        <f>'Raw Data'!D870</f>
        <v>Monitor</v>
      </c>
      <c r="E870" s="4">
        <f>'Raw Data'!E870</f>
        <v>4</v>
      </c>
      <c r="F870" s="4">
        <f>'Raw Data'!F870</f>
        <v>316.32</v>
      </c>
      <c r="G870" s="4" t="str">
        <f>'Raw Data'!G870</f>
        <v>309 Main St</v>
      </c>
      <c r="H870" s="4" t="str">
        <f>'Raw Data'!H870</f>
        <v>Debit Card</v>
      </c>
      <c r="I870" s="4" t="str">
        <f>'Raw Data'!I870</f>
        <v>Delivered</v>
      </c>
      <c r="J870" s="4" t="str">
        <f>'Raw Data'!J870</f>
        <v>TRK42985882</v>
      </c>
      <c r="K870" s="4">
        <f>'Raw Data'!K870</f>
        <v>7</v>
      </c>
      <c r="L870" s="4" t="str">
        <f>IF('Raw Data'!L870="","No Coupon",'Raw Data'!L870)</f>
        <v>No Coupon</v>
      </c>
      <c r="M870" s="4" t="str">
        <f>'Raw Data'!M870</f>
        <v>Facebook</v>
      </c>
      <c r="N870" s="4">
        <f>'Raw Data'!N870</f>
        <v>1265.28</v>
      </c>
    </row>
    <row r="871" spans="1:14" ht="15" customHeight="1" x14ac:dyDescent="0.2">
      <c r="A871" s="4" t="str">
        <f>'Raw Data'!A871</f>
        <v>ORD200869</v>
      </c>
      <c r="B871" s="6">
        <f>'Raw Data'!B871</f>
        <v>45368</v>
      </c>
      <c r="C871" s="4" t="str">
        <f>'Raw Data'!C871</f>
        <v>C29905</v>
      </c>
      <c r="D871" s="4" t="str">
        <f>'Raw Data'!D871</f>
        <v>Desk</v>
      </c>
      <c r="E871" s="4">
        <f>'Raw Data'!E871</f>
        <v>2</v>
      </c>
      <c r="F871" s="4">
        <f>'Raw Data'!F871</f>
        <v>533.95000000000005</v>
      </c>
      <c r="G871" s="4" t="str">
        <f>'Raw Data'!G871</f>
        <v>790 Main St</v>
      </c>
      <c r="H871" s="4" t="str">
        <f>'Raw Data'!H871</f>
        <v>Online</v>
      </c>
      <c r="I871" s="4" t="str">
        <f>'Raw Data'!I871</f>
        <v>Delivered</v>
      </c>
      <c r="J871" s="4" t="str">
        <f>'Raw Data'!J871</f>
        <v>TRK16788127</v>
      </c>
      <c r="K871" s="4">
        <f>'Raw Data'!K871</f>
        <v>5</v>
      </c>
      <c r="L871" s="4" t="str">
        <f>IF('Raw Data'!L871="","No Coupon",'Raw Data'!L871)</f>
        <v>WINTER15</v>
      </c>
      <c r="M871" s="4" t="str">
        <f>'Raw Data'!M871</f>
        <v>Google</v>
      </c>
      <c r="N871" s="4">
        <f>'Raw Data'!N871</f>
        <v>1067.9000000000001</v>
      </c>
    </row>
    <row r="872" spans="1:14" ht="15" customHeight="1" x14ac:dyDescent="0.2">
      <c r="A872" s="4" t="str">
        <f>'Raw Data'!A872</f>
        <v>ORD200870</v>
      </c>
      <c r="B872" s="6">
        <f>'Raw Data'!B872</f>
        <v>45809</v>
      </c>
      <c r="C872" s="4" t="str">
        <f>'Raw Data'!C872</f>
        <v>C78725</v>
      </c>
      <c r="D872" s="4" t="str">
        <f>'Raw Data'!D872</f>
        <v>Phone</v>
      </c>
      <c r="E872" s="4">
        <f>'Raw Data'!E872</f>
        <v>4</v>
      </c>
      <c r="F872" s="4">
        <f>'Raw Data'!F872</f>
        <v>470.09</v>
      </c>
      <c r="G872" s="4" t="str">
        <f>'Raw Data'!G872</f>
        <v>541 Main St</v>
      </c>
      <c r="H872" s="4" t="str">
        <f>'Raw Data'!H872</f>
        <v>Debit Card</v>
      </c>
      <c r="I872" s="4" t="str">
        <f>'Raw Data'!I872</f>
        <v>Delivered</v>
      </c>
      <c r="J872" s="4" t="str">
        <f>'Raw Data'!J872</f>
        <v>TRK72001139</v>
      </c>
      <c r="K872" s="4">
        <f>'Raw Data'!K872</f>
        <v>4</v>
      </c>
      <c r="L872" s="4" t="str">
        <f>IF('Raw Data'!L872="","No Coupon",'Raw Data'!L872)</f>
        <v>FREESHIP</v>
      </c>
      <c r="M872" s="4" t="str">
        <f>'Raw Data'!M872</f>
        <v>Google</v>
      </c>
      <c r="N872" s="4">
        <f>'Raw Data'!N872</f>
        <v>1880.36</v>
      </c>
    </row>
    <row r="873" spans="1:14" ht="15" customHeight="1" x14ac:dyDescent="0.2">
      <c r="A873" s="4" t="str">
        <f>'Raw Data'!A873</f>
        <v>ORD200871</v>
      </c>
      <c r="B873" s="6">
        <f>'Raw Data'!B873</f>
        <v>45428</v>
      </c>
      <c r="C873" s="4" t="str">
        <f>'Raw Data'!C873</f>
        <v>C93768</v>
      </c>
      <c r="D873" s="4" t="str">
        <f>'Raw Data'!D873</f>
        <v>Tablet</v>
      </c>
      <c r="E873" s="4">
        <f>'Raw Data'!E873</f>
        <v>3</v>
      </c>
      <c r="F873" s="4">
        <f>'Raw Data'!F873</f>
        <v>324.3</v>
      </c>
      <c r="G873" s="4" t="str">
        <f>'Raw Data'!G873</f>
        <v>720 Main St</v>
      </c>
      <c r="H873" s="4" t="str">
        <f>'Raw Data'!H873</f>
        <v>Debit Card</v>
      </c>
      <c r="I873" s="4" t="str">
        <f>'Raw Data'!I873</f>
        <v>Pending</v>
      </c>
      <c r="J873" s="4" t="str">
        <f>'Raw Data'!J873</f>
        <v>TRK22024707</v>
      </c>
      <c r="K873" s="4">
        <f>'Raw Data'!K873</f>
        <v>8</v>
      </c>
      <c r="L873" s="4" t="str">
        <f>IF('Raw Data'!L873="","No Coupon",'Raw Data'!L873)</f>
        <v>FREESHIP</v>
      </c>
      <c r="M873" s="4" t="str">
        <f>'Raw Data'!M873</f>
        <v>Email</v>
      </c>
      <c r="N873" s="4">
        <f>'Raw Data'!N873</f>
        <v>972.9</v>
      </c>
    </row>
    <row r="874" spans="1:14" ht="15" customHeight="1" x14ac:dyDescent="0.2">
      <c r="A874" s="4" t="str">
        <f>'Raw Data'!A874</f>
        <v>ORD200872</v>
      </c>
      <c r="B874" s="6">
        <f>'Raw Data'!B874</f>
        <v>45117</v>
      </c>
      <c r="C874" s="4" t="str">
        <f>'Raw Data'!C874</f>
        <v>C59169</v>
      </c>
      <c r="D874" s="4" t="str">
        <f>'Raw Data'!D874</f>
        <v>Chair</v>
      </c>
      <c r="E874" s="4">
        <f>'Raw Data'!E874</f>
        <v>4</v>
      </c>
      <c r="F874" s="4">
        <f>'Raw Data'!F874</f>
        <v>629.34</v>
      </c>
      <c r="G874" s="4" t="str">
        <f>'Raw Data'!G874</f>
        <v>172 Main St</v>
      </c>
      <c r="H874" s="4" t="str">
        <f>'Raw Data'!H874</f>
        <v>Cash</v>
      </c>
      <c r="I874" s="4" t="str">
        <f>'Raw Data'!I874</f>
        <v>Shipped</v>
      </c>
      <c r="J874" s="4" t="str">
        <f>'Raw Data'!J874</f>
        <v>TRK90883858</v>
      </c>
      <c r="K874" s="4">
        <f>'Raw Data'!K874</f>
        <v>7</v>
      </c>
      <c r="L874" s="4" t="str">
        <f>IF('Raw Data'!L874="","No Coupon",'Raw Data'!L874)</f>
        <v>No Coupon</v>
      </c>
      <c r="M874" s="4" t="str">
        <f>'Raw Data'!M874</f>
        <v>Email</v>
      </c>
      <c r="N874" s="4">
        <f>'Raw Data'!N874</f>
        <v>2517.36</v>
      </c>
    </row>
    <row r="875" spans="1:14" ht="15" customHeight="1" x14ac:dyDescent="0.2">
      <c r="A875" s="4" t="str">
        <f>'Raw Data'!A875</f>
        <v>ORD200873</v>
      </c>
      <c r="B875" s="6">
        <f>'Raw Data'!B875</f>
        <v>45424</v>
      </c>
      <c r="C875" s="4" t="str">
        <f>'Raw Data'!C875</f>
        <v>C53488</v>
      </c>
      <c r="D875" s="4" t="str">
        <f>'Raw Data'!D875</f>
        <v>Desk</v>
      </c>
      <c r="E875" s="4">
        <f>'Raw Data'!E875</f>
        <v>3</v>
      </c>
      <c r="F875" s="4">
        <f>'Raw Data'!F875</f>
        <v>136.84</v>
      </c>
      <c r="G875" s="4" t="str">
        <f>'Raw Data'!G875</f>
        <v>448 Main St</v>
      </c>
      <c r="H875" s="4" t="str">
        <f>'Raw Data'!H875</f>
        <v>Cash</v>
      </c>
      <c r="I875" s="4" t="str">
        <f>'Raw Data'!I875</f>
        <v>Delivered</v>
      </c>
      <c r="J875" s="4" t="str">
        <f>'Raw Data'!J875</f>
        <v>TRK27365050</v>
      </c>
      <c r="K875" s="4">
        <f>'Raw Data'!K875</f>
        <v>3</v>
      </c>
      <c r="L875" s="4" t="str">
        <f>IF('Raw Data'!L875="","No Coupon",'Raw Data'!L875)</f>
        <v>SAVE10</v>
      </c>
      <c r="M875" s="4" t="str">
        <f>'Raw Data'!M875</f>
        <v>Facebook</v>
      </c>
      <c r="N875" s="4">
        <f>'Raw Data'!N875</f>
        <v>410.52</v>
      </c>
    </row>
    <row r="876" spans="1:14" ht="15" customHeight="1" x14ac:dyDescent="0.2">
      <c r="A876" s="4" t="str">
        <f>'Raw Data'!A876</f>
        <v>ORD200874</v>
      </c>
      <c r="B876" s="6">
        <f>'Raw Data'!B876</f>
        <v>45230</v>
      </c>
      <c r="C876" s="4" t="str">
        <f>'Raw Data'!C876</f>
        <v>C92180</v>
      </c>
      <c r="D876" s="4" t="str">
        <f>'Raw Data'!D876</f>
        <v>Chair</v>
      </c>
      <c r="E876" s="4">
        <f>'Raw Data'!E876</f>
        <v>2</v>
      </c>
      <c r="F876" s="4">
        <f>'Raw Data'!F876</f>
        <v>488.9</v>
      </c>
      <c r="G876" s="4" t="str">
        <f>'Raw Data'!G876</f>
        <v>632 Main St</v>
      </c>
      <c r="H876" s="4" t="str">
        <f>'Raw Data'!H876</f>
        <v>Cash</v>
      </c>
      <c r="I876" s="4" t="str">
        <f>'Raw Data'!I876</f>
        <v>Delivered</v>
      </c>
      <c r="J876" s="4" t="str">
        <f>'Raw Data'!J876</f>
        <v>TRK93315929</v>
      </c>
      <c r="K876" s="4">
        <f>'Raw Data'!K876</f>
        <v>7</v>
      </c>
      <c r="L876" s="4" t="str">
        <f>IF('Raw Data'!L876="","No Coupon",'Raw Data'!L876)</f>
        <v>FREESHIP</v>
      </c>
      <c r="M876" s="4" t="str">
        <f>'Raw Data'!M876</f>
        <v>Facebook</v>
      </c>
      <c r="N876" s="4">
        <f>'Raw Data'!N876</f>
        <v>977.8</v>
      </c>
    </row>
    <row r="877" spans="1:14" ht="15" customHeight="1" x14ac:dyDescent="0.2">
      <c r="A877" s="4" t="str">
        <f>'Raw Data'!A877</f>
        <v>ORD200875</v>
      </c>
      <c r="B877" s="6">
        <f>'Raw Data'!B877</f>
        <v>45141</v>
      </c>
      <c r="C877" s="4" t="str">
        <f>'Raw Data'!C877</f>
        <v>C25918</v>
      </c>
      <c r="D877" s="4" t="str">
        <f>'Raw Data'!D877</f>
        <v>Laptop</v>
      </c>
      <c r="E877" s="4">
        <f>'Raw Data'!E877</f>
        <v>5</v>
      </c>
      <c r="F877" s="4">
        <f>'Raw Data'!F877</f>
        <v>133.38999999999999</v>
      </c>
      <c r="G877" s="4" t="str">
        <f>'Raw Data'!G877</f>
        <v>203 Main St</v>
      </c>
      <c r="H877" s="4" t="str">
        <f>'Raw Data'!H877</f>
        <v>Credit Card</v>
      </c>
      <c r="I877" s="4" t="str">
        <f>'Raw Data'!I877</f>
        <v>Delivered</v>
      </c>
      <c r="J877" s="4" t="str">
        <f>'Raw Data'!J877</f>
        <v>TRK66473392</v>
      </c>
      <c r="K877" s="4">
        <f>'Raw Data'!K877</f>
        <v>6</v>
      </c>
      <c r="L877" s="4" t="str">
        <f>IF('Raw Data'!L877="","No Coupon",'Raw Data'!L877)</f>
        <v>FREESHIP</v>
      </c>
      <c r="M877" s="4" t="str">
        <f>'Raw Data'!M877</f>
        <v>Referral</v>
      </c>
      <c r="N877" s="4">
        <f>'Raw Data'!N877</f>
        <v>666.95</v>
      </c>
    </row>
    <row r="878" spans="1:14" ht="15" customHeight="1" x14ac:dyDescent="0.2">
      <c r="A878" s="4" t="str">
        <f>'Raw Data'!A878</f>
        <v>ORD200876</v>
      </c>
      <c r="B878" s="6">
        <f>'Raw Data'!B878</f>
        <v>45452</v>
      </c>
      <c r="C878" s="4" t="str">
        <f>'Raw Data'!C878</f>
        <v>C90363</v>
      </c>
      <c r="D878" s="4" t="str">
        <f>'Raw Data'!D878</f>
        <v>Chair</v>
      </c>
      <c r="E878" s="4">
        <f>'Raw Data'!E878</f>
        <v>5</v>
      </c>
      <c r="F878" s="4">
        <f>'Raw Data'!F878</f>
        <v>608.91</v>
      </c>
      <c r="G878" s="4" t="str">
        <f>'Raw Data'!G878</f>
        <v>200 Main St</v>
      </c>
      <c r="H878" s="4" t="str">
        <f>'Raw Data'!H878</f>
        <v>Gift Card</v>
      </c>
      <c r="I878" s="4" t="str">
        <f>'Raw Data'!I878</f>
        <v>Pending</v>
      </c>
      <c r="J878" s="4" t="str">
        <f>'Raw Data'!J878</f>
        <v>TRK21534173</v>
      </c>
      <c r="K878" s="4">
        <f>'Raw Data'!K878</f>
        <v>6</v>
      </c>
      <c r="L878" s="4" t="str">
        <f>IF('Raw Data'!L878="","No Coupon",'Raw Data'!L878)</f>
        <v>SAVE10</v>
      </c>
      <c r="M878" s="4" t="str">
        <f>'Raw Data'!M878</f>
        <v>Google</v>
      </c>
      <c r="N878" s="4">
        <f>'Raw Data'!N878</f>
        <v>3044.55</v>
      </c>
    </row>
    <row r="879" spans="1:14" ht="15" customHeight="1" x14ac:dyDescent="0.2">
      <c r="A879" s="4" t="str">
        <f>'Raw Data'!A879</f>
        <v>ORD200877</v>
      </c>
      <c r="B879" s="6">
        <f>'Raw Data'!B879</f>
        <v>45498</v>
      </c>
      <c r="C879" s="4" t="str">
        <f>'Raw Data'!C879</f>
        <v>C43867</v>
      </c>
      <c r="D879" s="4" t="str">
        <f>'Raw Data'!D879</f>
        <v>Tablet</v>
      </c>
      <c r="E879" s="4">
        <f>'Raw Data'!E879</f>
        <v>1</v>
      </c>
      <c r="F879" s="4">
        <f>'Raw Data'!F879</f>
        <v>524.05999999999995</v>
      </c>
      <c r="G879" s="4" t="str">
        <f>'Raw Data'!G879</f>
        <v>269 Main St</v>
      </c>
      <c r="H879" s="4" t="str">
        <f>'Raw Data'!H879</f>
        <v>Debit Card</v>
      </c>
      <c r="I879" s="4" t="str">
        <f>'Raw Data'!I879</f>
        <v>Pending</v>
      </c>
      <c r="J879" s="4" t="str">
        <f>'Raw Data'!J879</f>
        <v>TRK97319127</v>
      </c>
      <c r="K879" s="4">
        <f>'Raw Data'!K879</f>
        <v>3</v>
      </c>
      <c r="L879" s="4" t="str">
        <f>IF('Raw Data'!L879="","No Coupon",'Raw Data'!L879)</f>
        <v>FREESHIP</v>
      </c>
      <c r="M879" s="4" t="str">
        <f>'Raw Data'!M879</f>
        <v>Email</v>
      </c>
      <c r="N879" s="4">
        <f>'Raw Data'!N879</f>
        <v>524.05999999999995</v>
      </c>
    </row>
    <row r="880" spans="1:14" ht="15" customHeight="1" x14ac:dyDescent="0.2">
      <c r="A880" s="4" t="str">
        <f>'Raw Data'!A880</f>
        <v>ORD200878</v>
      </c>
      <c r="B880" s="6">
        <f>'Raw Data'!B880</f>
        <v>45078</v>
      </c>
      <c r="C880" s="4" t="str">
        <f>'Raw Data'!C880</f>
        <v>C73873</v>
      </c>
      <c r="D880" s="4" t="str">
        <f>'Raw Data'!D880</f>
        <v>Desk</v>
      </c>
      <c r="E880" s="4">
        <f>'Raw Data'!E880</f>
        <v>2</v>
      </c>
      <c r="F880" s="4">
        <f>'Raw Data'!F880</f>
        <v>330.69</v>
      </c>
      <c r="G880" s="4" t="str">
        <f>'Raw Data'!G880</f>
        <v>393 Main St</v>
      </c>
      <c r="H880" s="4" t="str">
        <f>'Raw Data'!H880</f>
        <v>Online</v>
      </c>
      <c r="I880" s="4" t="str">
        <f>'Raw Data'!I880</f>
        <v>Cancelled</v>
      </c>
      <c r="J880" s="4" t="str">
        <f>'Raw Data'!J880</f>
        <v>TRK56423132</v>
      </c>
      <c r="K880" s="4">
        <f>'Raw Data'!K880</f>
        <v>5</v>
      </c>
      <c r="L880" s="4" t="str">
        <f>IF('Raw Data'!L880="","No Coupon",'Raw Data'!L880)</f>
        <v>SAVE10</v>
      </c>
      <c r="M880" s="4" t="str">
        <f>'Raw Data'!M880</f>
        <v>Google</v>
      </c>
      <c r="N880" s="4">
        <f>'Raw Data'!N880</f>
        <v>661.38</v>
      </c>
    </row>
    <row r="881" spans="1:14" ht="15" customHeight="1" x14ac:dyDescent="0.2">
      <c r="A881" s="4" t="str">
        <f>'Raw Data'!A881</f>
        <v>ORD200879</v>
      </c>
      <c r="B881" s="6">
        <f>'Raw Data'!B881</f>
        <v>45755</v>
      </c>
      <c r="C881" s="4" t="str">
        <f>'Raw Data'!C881</f>
        <v>C56622</v>
      </c>
      <c r="D881" s="4" t="str">
        <f>'Raw Data'!D881</f>
        <v>Phone</v>
      </c>
      <c r="E881" s="4">
        <f>'Raw Data'!E881</f>
        <v>2</v>
      </c>
      <c r="F881" s="4">
        <f>'Raw Data'!F881</f>
        <v>547.66999999999996</v>
      </c>
      <c r="G881" s="4" t="str">
        <f>'Raw Data'!G881</f>
        <v>932 Main St</v>
      </c>
      <c r="H881" s="4" t="str">
        <f>'Raw Data'!H881</f>
        <v>Gift Card</v>
      </c>
      <c r="I881" s="4" t="str">
        <f>'Raw Data'!I881</f>
        <v>Shipped</v>
      </c>
      <c r="J881" s="4" t="str">
        <f>'Raw Data'!J881</f>
        <v>TRK86373987</v>
      </c>
      <c r="K881" s="4">
        <f>'Raw Data'!K881</f>
        <v>3</v>
      </c>
      <c r="L881" s="4" t="str">
        <f>IF('Raw Data'!L881="","No Coupon",'Raw Data'!L881)</f>
        <v>No Coupon</v>
      </c>
      <c r="M881" s="4" t="str">
        <f>'Raw Data'!M881</f>
        <v>Instagram</v>
      </c>
      <c r="N881" s="4">
        <f>'Raw Data'!N881</f>
        <v>1095.3399999999999</v>
      </c>
    </row>
    <row r="882" spans="1:14" ht="15" customHeight="1" x14ac:dyDescent="0.2">
      <c r="A882" s="4" t="str">
        <f>'Raw Data'!A882</f>
        <v>ORD200880</v>
      </c>
      <c r="B882" s="6">
        <f>'Raw Data'!B882</f>
        <v>45728</v>
      </c>
      <c r="C882" s="4" t="str">
        <f>'Raw Data'!C882</f>
        <v>C85074</v>
      </c>
      <c r="D882" s="4" t="str">
        <f>'Raw Data'!D882</f>
        <v>Laptop</v>
      </c>
      <c r="E882" s="4">
        <f>'Raw Data'!E882</f>
        <v>4</v>
      </c>
      <c r="F882" s="4">
        <f>'Raw Data'!F882</f>
        <v>233.7</v>
      </c>
      <c r="G882" s="4" t="str">
        <f>'Raw Data'!G882</f>
        <v>506 Main St</v>
      </c>
      <c r="H882" s="4" t="str">
        <f>'Raw Data'!H882</f>
        <v>Online</v>
      </c>
      <c r="I882" s="4" t="str">
        <f>'Raw Data'!I882</f>
        <v>Shipped</v>
      </c>
      <c r="J882" s="4" t="str">
        <f>'Raw Data'!J882</f>
        <v>TRK63133878</v>
      </c>
      <c r="K882" s="4">
        <f>'Raw Data'!K882</f>
        <v>8</v>
      </c>
      <c r="L882" s="4" t="str">
        <f>IF('Raw Data'!L882="","No Coupon",'Raw Data'!L882)</f>
        <v>SAVE10</v>
      </c>
      <c r="M882" s="4" t="str">
        <f>'Raw Data'!M882</f>
        <v>Facebook</v>
      </c>
      <c r="N882" s="4">
        <f>'Raw Data'!N882</f>
        <v>934.8</v>
      </c>
    </row>
    <row r="883" spans="1:14" ht="15" customHeight="1" x14ac:dyDescent="0.2">
      <c r="A883" s="4" t="str">
        <f>'Raw Data'!A883</f>
        <v>ORD200881</v>
      </c>
      <c r="B883" s="6">
        <f>'Raw Data'!B883</f>
        <v>44929</v>
      </c>
      <c r="C883" s="4" t="str">
        <f>'Raw Data'!C883</f>
        <v>C59579</v>
      </c>
      <c r="D883" s="4" t="str">
        <f>'Raw Data'!D883</f>
        <v>Tablet</v>
      </c>
      <c r="E883" s="4">
        <f>'Raw Data'!E883</f>
        <v>2</v>
      </c>
      <c r="F883" s="4">
        <f>'Raw Data'!F883</f>
        <v>448.85</v>
      </c>
      <c r="G883" s="4" t="str">
        <f>'Raw Data'!G883</f>
        <v>386 Main St</v>
      </c>
      <c r="H883" s="4" t="str">
        <f>'Raw Data'!H883</f>
        <v>Credit Card</v>
      </c>
      <c r="I883" s="4" t="str">
        <f>'Raw Data'!I883</f>
        <v>Pending</v>
      </c>
      <c r="J883" s="4" t="str">
        <f>'Raw Data'!J883</f>
        <v>TRK48000034</v>
      </c>
      <c r="K883" s="4">
        <f>'Raw Data'!K883</f>
        <v>6</v>
      </c>
      <c r="L883" s="4" t="str">
        <f>IF('Raw Data'!L883="","No Coupon",'Raw Data'!L883)</f>
        <v>No Coupon</v>
      </c>
      <c r="M883" s="4" t="str">
        <f>'Raw Data'!M883</f>
        <v>Instagram</v>
      </c>
      <c r="N883" s="4">
        <f>'Raw Data'!N883</f>
        <v>897.7</v>
      </c>
    </row>
    <row r="884" spans="1:14" ht="15" customHeight="1" x14ac:dyDescent="0.2">
      <c r="A884" s="4" t="str">
        <f>'Raw Data'!A884</f>
        <v>ORD200882</v>
      </c>
      <c r="B884" s="6">
        <f>'Raw Data'!B884</f>
        <v>45836</v>
      </c>
      <c r="C884" s="4" t="str">
        <f>'Raw Data'!C884</f>
        <v>C43335</v>
      </c>
      <c r="D884" s="4" t="str">
        <f>'Raw Data'!D884</f>
        <v>Phone</v>
      </c>
      <c r="E884" s="4">
        <f>'Raw Data'!E884</f>
        <v>2</v>
      </c>
      <c r="F884" s="4">
        <f>'Raw Data'!F884</f>
        <v>274.12</v>
      </c>
      <c r="G884" s="4" t="str">
        <f>'Raw Data'!G884</f>
        <v>533 Main St</v>
      </c>
      <c r="H884" s="4" t="str">
        <f>'Raw Data'!H884</f>
        <v>Cash</v>
      </c>
      <c r="I884" s="4" t="str">
        <f>'Raw Data'!I884</f>
        <v>Delivered</v>
      </c>
      <c r="J884" s="4" t="str">
        <f>'Raw Data'!J884</f>
        <v>TRK91848650</v>
      </c>
      <c r="K884" s="4">
        <f>'Raw Data'!K884</f>
        <v>6</v>
      </c>
      <c r="L884" s="4" t="str">
        <f>IF('Raw Data'!L884="","No Coupon",'Raw Data'!L884)</f>
        <v>FREESHIP</v>
      </c>
      <c r="M884" s="4" t="str">
        <f>'Raw Data'!M884</f>
        <v>Referral</v>
      </c>
      <c r="N884" s="4">
        <f>'Raw Data'!N884</f>
        <v>548.24</v>
      </c>
    </row>
    <row r="885" spans="1:14" ht="15" customHeight="1" x14ac:dyDescent="0.2">
      <c r="A885" s="4" t="str">
        <f>'Raw Data'!A885</f>
        <v>ORD200883</v>
      </c>
      <c r="B885" s="6">
        <f>'Raw Data'!B885</f>
        <v>45790</v>
      </c>
      <c r="C885" s="4" t="str">
        <f>'Raw Data'!C885</f>
        <v>C43595</v>
      </c>
      <c r="D885" s="4" t="str">
        <f>'Raw Data'!D885</f>
        <v>Printer</v>
      </c>
      <c r="E885" s="4">
        <f>'Raw Data'!E885</f>
        <v>5</v>
      </c>
      <c r="F885" s="4">
        <f>'Raw Data'!F885</f>
        <v>561.48</v>
      </c>
      <c r="G885" s="4" t="str">
        <f>'Raw Data'!G885</f>
        <v>451 Main St</v>
      </c>
      <c r="H885" s="4" t="str">
        <f>'Raw Data'!H885</f>
        <v>Online</v>
      </c>
      <c r="I885" s="4" t="str">
        <f>'Raw Data'!I885</f>
        <v>Delivered</v>
      </c>
      <c r="J885" s="4" t="str">
        <f>'Raw Data'!J885</f>
        <v>TRK25317348</v>
      </c>
      <c r="K885" s="4">
        <f>'Raw Data'!K885</f>
        <v>9</v>
      </c>
      <c r="L885" s="4" t="str">
        <f>IF('Raw Data'!L885="","No Coupon",'Raw Data'!L885)</f>
        <v>FREESHIP</v>
      </c>
      <c r="M885" s="4" t="str">
        <f>'Raw Data'!M885</f>
        <v>Facebook</v>
      </c>
      <c r="N885" s="4">
        <f>'Raw Data'!N885</f>
        <v>2807.4</v>
      </c>
    </row>
    <row r="886" spans="1:14" ht="15" customHeight="1" x14ac:dyDescent="0.2">
      <c r="A886" s="4" t="str">
        <f>'Raw Data'!A886</f>
        <v>ORD200884</v>
      </c>
      <c r="B886" s="6">
        <f>'Raw Data'!B886</f>
        <v>45427</v>
      </c>
      <c r="C886" s="4" t="str">
        <f>'Raw Data'!C886</f>
        <v>C71471</v>
      </c>
      <c r="D886" s="4" t="str">
        <f>'Raw Data'!D886</f>
        <v>Chair</v>
      </c>
      <c r="E886" s="4">
        <f>'Raw Data'!E886</f>
        <v>1</v>
      </c>
      <c r="F886" s="4">
        <f>'Raw Data'!F886</f>
        <v>595.54</v>
      </c>
      <c r="G886" s="4" t="str">
        <f>'Raw Data'!G886</f>
        <v>817 Main St</v>
      </c>
      <c r="H886" s="4" t="str">
        <f>'Raw Data'!H886</f>
        <v>Gift Card</v>
      </c>
      <c r="I886" s="4" t="str">
        <f>'Raw Data'!I886</f>
        <v>Shipped</v>
      </c>
      <c r="J886" s="4" t="str">
        <f>'Raw Data'!J886</f>
        <v>TRK52137079</v>
      </c>
      <c r="K886" s="4">
        <f>'Raw Data'!K886</f>
        <v>4</v>
      </c>
      <c r="L886" s="4" t="str">
        <f>IF('Raw Data'!L886="","No Coupon",'Raw Data'!L886)</f>
        <v>No Coupon</v>
      </c>
      <c r="M886" s="4" t="str">
        <f>'Raw Data'!M886</f>
        <v>Instagram</v>
      </c>
      <c r="N886" s="4">
        <f>'Raw Data'!N886</f>
        <v>595.54</v>
      </c>
    </row>
    <row r="887" spans="1:14" ht="15" customHeight="1" x14ac:dyDescent="0.2">
      <c r="A887" s="4" t="str">
        <f>'Raw Data'!A887</f>
        <v>ORD200885</v>
      </c>
      <c r="B887" s="6">
        <f>'Raw Data'!B887</f>
        <v>45389</v>
      </c>
      <c r="C887" s="4" t="str">
        <f>'Raw Data'!C887</f>
        <v>C61090</v>
      </c>
      <c r="D887" s="4" t="str">
        <f>'Raw Data'!D887</f>
        <v>Laptop</v>
      </c>
      <c r="E887" s="4">
        <f>'Raw Data'!E887</f>
        <v>4</v>
      </c>
      <c r="F887" s="4">
        <f>'Raw Data'!F887</f>
        <v>515.59</v>
      </c>
      <c r="G887" s="4" t="str">
        <f>'Raw Data'!G887</f>
        <v>387 Main St</v>
      </c>
      <c r="H887" s="4" t="str">
        <f>'Raw Data'!H887</f>
        <v>Credit Card</v>
      </c>
      <c r="I887" s="4" t="str">
        <f>'Raw Data'!I887</f>
        <v>Shipped</v>
      </c>
      <c r="J887" s="4" t="str">
        <f>'Raw Data'!J887</f>
        <v>TRK36388962</v>
      </c>
      <c r="K887" s="4">
        <f>'Raw Data'!K887</f>
        <v>7</v>
      </c>
      <c r="L887" s="4" t="str">
        <f>IF('Raw Data'!L887="","No Coupon",'Raw Data'!L887)</f>
        <v>FREESHIP</v>
      </c>
      <c r="M887" s="4" t="str">
        <f>'Raw Data'!M887</f>
        <v>Google</v>
      </c>
      <c r="N887" s="4">
        <f>'Raw Data'!N887</f>
        <v>2062.36</v>
      </c>
    </row>
    <row r="888" spans="1:14" ht="15" customHeight="1" x14ac:dyDescent="0.2">
      <c r="A888" s="4" t="str">
        <f>'Raw Data'!A888</f>
        <v>ORD200886</v>
      </c>
      <c r="B888" s="6">
        <f>'Raw Data'!B888</f>
        <v>45224</v>
      </c>
      <c r="C888" s="4" t="str">
        <f>'Raw Data'!C888</f>
        <v>C29620</v>
      </c>
      <c r="D888" s="4" t="str">
        <f>'Raw Data'!D888</f>
        <v>Phone</v>
      </c>
      <c r="E888" s="4">
        <f>'Raw Data'!E888</f>
        <v>1</v>
      </c>
      <c r="F888" s="4">
        <f>'Raw Data'!F888</f>
        <v>460.13</v>
      </c>
      <c r="G888" s="4" t="str">
        <f>'Raw Data'!G888</f>
        <v>792 Main St</v>
      </c>
      <c r="H888" s="4" t="str">
        <f>'Raw Data'!H888</f>
        <v>Credit Card</v>
      </c>
      <c r="I888" s="4" t="str">
        <f>'Raw Data'!I888</f>
        <v>Returned</v>
      </c>
      <c r="J888" s="4" t="str">
        <f>'Raw Data'!J888</f>
        <v>TRK22046456</v>
      </c>
      <c r="K888" s="4">
        <f>'Raw Data'!K888</f>
        <v>1</v>
      </c>
      <c r="L888" s="4" t="str">
        <f>IF('Raw Data'!L888="","No Coupon",'Raw Data'!L888)</f>
        <v>No Coupon</v>
      </c>
      <c r="M888" s="4" t="str">
        <f>'Raw Data'!M888</f>
        <v>Google</v>
      </c>
      <c r="N888" s="4">
        <f>'Raw Data'!N888</f>
        <v>460.13</v>
      </c>
    </row>
    <row r="889" spans="1:14" ht="15" customHeight="1" x14ac:dyDescent="0.2">
      <c r="A889" s="4" t="str">
        <f>'Raw Data'!A889</f>
        <v>ORD200887</v>
      </c>
      <c r="B889" s="6">
        <f>'Raw Data'!B889</f>
        <v>45645</v>
      </c>
      <c r="C889" s="4" t="str">
        <f>'Raw Data'!C889</f>
        <v>C67932</v>
      </c>
      <c r="D889" s="4" t="str">
        <f>'Raw Data'!D889</f>
        <v>Chair</v>
      </c>
      <c r="E889" s="4">
        <f>'Raw Data'!E889</f>
        <v>3</v>
      </c>
      <c r="F889" s="4">
        <f>'Raw Data'!F889</f>
        <v>171.66</v>
      </c>
      <c r="G889" s="4" t="str">
        <f>'Raw Data'!G889</f>
        <v>857 Main St</v>
      </c>
      <c r="H889" s="4" t="str">
        <f>'Raw Data'!H889</f>
        <v>Debit Card</v>
      </c>
      <c r="I889" s="4" t="str">
        <f>'Raw Data'!I889</f>
        <v>Delivered</v>
      </c>
      <c r="J889" s="4" t="str">
        <f>'Raw Data'!J889</f>
        <v>TRK88547534</v>
      </c>
      <c r="K889" s="4">
        <f>'Raw Data'!K889</f>
        <v>7</v>
      </c>
      <c r="L889" s="4" t="str">
        <f>IF('Raw Data'!L889="","No Coupon",'Raw Data'!L889)</f>
        <v>No Coupon</v>
      </c>
      <c r="M889" s="4" t="str">
        <f>'Raw Data'!M889</f>
        <v>Google</v>
      </c>
      <c r="N889" s="4">
        <f>'Raw Data'!N889</f>
        <v>514.98</v>
      </c>
    </row>
    <row r="890" spans="1:14" ht="15" customHeight="1" x14ac:dyDescent="0.2">
      <c r="A890" s="4" t="str">
        <f>'Raw Data'!A890</f>
        <v>ORD200888</v>
      </c>
      <c r="B890" s="6">
        <f>'Raw Data'!B890</f>
        <v>45496</v>
      </c>
      <c r="C890" s="4" t="str">
        <f>'Raw Data'!C890</f>
        <v>C14427</v>
      </c>
      <c r="D890" s="4" t="str">
        <f>'Raw Data'!D890</f>
        <v>Laptop</v>
      </c>
      <c r="E890" s="4">
        <f>'Raw Data'!E890</f>
        <v>2</v>
      </c>
      <c r="F890" s="4">
        <f>'Raw Data'!F890</f>
        <v>266.95</v>
      </c>
      <c r="G890" s="4" t="str">
        <f>'Raw Data'!G890</f>
        <v>833 Main St</v>
      </c>
      <c r="H890" s="4" t="str">
        <f>'Raw Data'!H890</f>
        <v>Credit Card</v>
      </c>
      <c r="I890" s="4" t="str">
        <f>'Raw Data'!I890</f>
        <v>Pending</v>
      </c>
      <c r="J890" s="4" t="str">
        <f>'Raw Data'!J890</f>
        <v>TRK58024529</v>
      </c>
      <c r="K890" s="4">
        <f>'Raw Data'!K890</f>
        <v>3</v>
      </c>
      <c r="L890" s="4" t="str">
        <f>IF('Raw Data'!L890="","No Coupon",'Raw Data'!L890)</f>
        <v>No Coupon</v>
      </c>
      <c r="M890" s="4" t="str">
        <f>'Raw Data'!M890</f>
        <v>Instagram</v>
      </c>
      <c r="N890" s="4">
        <f>'Raw Data'!N890</f>
        <v>533.9</v>
      </c>
    </row>
    <row r="891" spans="1:14" ht="15" customHeight="1" x14ac:dyDescent="0.2">
      <c r="A891" s="4" t="str">
        <f>'Raw Data'!A891</f>
        <v>ORD200889</v>
      </c>
      <c r="B891" s="6">
        <f>'Raw Data'!B891</f>
        <v>45592</v>
      </c>
      <c r="C891" s="4" t="str">
        <f>'Raw Data'!C891</f>
        <v>C36725</v>
      </c>
      <c r="D891" s="4" t="str">
        <f>'Raw Data'!D891</f>
        <v>Monitor</v>
      </c>
      <c r="E891" s="4">
        <f>'Raw Data'!E891</f>
        <v>5</v>
      </c>
      <c r="F891" s="4">
        <f>'Raw Data'!F891</f>
        <v>650.72</v>
      </c>
      <c r="G891" s="4" t="str">
        <f>'Raw Data'!G891</f>
        <v>350 Main St</v>
      </c>
      <c r="H891" s="4" t="str">
        <f>'Raw Data'!H891</f>
        <v>Credit Card</v>
      </c>
      <c r="I891" s="4" t="str">
        <f>'Raw Data'!I891</f>
        <v>Cancelled</v>
      </c>
      <c r="J891" s="4" t="str">
        <f>'Raw Data'!J891</f>
        <v>TRK16808790</v>
      </c>
      <c r="K891" s="4">
        <f>'Raw Data'!K891</f>
        <v>8</v>
      </c>
      <c r="L891" s="4" t="str">
        <f>IF('Raw Data'!L891="","No Coupon",'Raw Data'!L891)</f>
        <v>WINTER15</v>
      </c>
      <c r="M891" s="4" t="str">
        <f>'Raw Data'!M891</f>
        <v>Email</v>
      </c>
      <c r="N891" s="4">
        <f>'Raw Data'!N891</f>
        <v>3253.6</v>
      </c>
    </row>
    <row r="892" spans="1:14" ht="15" customHeight="1" x14ac:dyDescent="0.2">
      <c r="A892" s="4" t="str">
        <f>'Raw Data'!A892</f>
        <v>ORD200890</v>
      </c>
      <c r="B892" s="6">
        <f>'Raw Data'!B892</f>
        <v>45149</v>
      </c>
      <c r="C892" s="4" t="str">
        <f>'Raw Data'!C892</f>
        <v>C51921</v>
      </c>
      <c r="D892" s="4" t="str">
        <f>'Raw Data'!D892</f>
        <v>Laptop</v>
      </c>
      <c r="E892" s="4">
        <f>'Raw Data'!E892</f>
        <v>3</v>
      </c>
      <c r="F892" s="4">
        <f>'Raw Data'!F892</f>
        <v>439.53</v>
      </c>
      <c r="G892" s="4" t="str">
        <f>'Raw Data'!G892</f>
        <v>943 Main St</v>
      </c>
      <c r="H892" s="4" t="str">
        <f>'Raw Data'!H892</f>
        <v>Debit Card</v>
      </c>
      <c r="I892" s="4" t="str">
        <f>'Raw Data'!I892</f>
        <v>Pending</v>
      </c>
      <c r="J892" s="4" t="str">
        <f>'Raw Data'!J892</f>
        <v>TRK85741716</v>
      </c>
      <c r="K892" s="4">
        <f>'Raw Data'!K892</f>
        <v>5</v>
      </c>
      <c r="L892" s="4" t="str">
        <f>IF('Raw Data'!L892="","No Coupon",'Raw Data'!L892)</f>
        <v>No Coupon</v>
      </c>
      <c r="M892" s="4" t="str">
        <f>'Raw Data'!M892</f>
        <v>Google</v>
      </c>
      <c r="N892" s="4">
        <f>'Raw Data'!N892</f>
        <v>1318.59</v>
      </c>
    </row>
    <row r="893" spans="1:14" ht="15" customHeight="1" x14ac:dyDescent="0.2">
      <c r="A893" s="4" t="str">
        <f>'Raw Data'!A893</f>
        <v>ORD200891</v>
      </c>
      <c r="B893" s="6">
        <f>'Raw Data'!B893</f>
        <v>45241</v>
      </c>
      <c r="C893" s="4" t="str">
        <f>'Raw Data'!C893</f>
        <v>C36534</v>
      </c>
      <c r="D893" s="4" t="str">
        <f>'Raw Data'!D893</f>
        <v>Monitor</v>
      </c>
      <c r="E893" s="4">
        <f>'Raw Data'!E893</f>
        <v>3</v>
      </c>
      <c r="F893" s="4">
        <f>'Raw Data'!F893</f>
        <v>654.54</v>
      </c>
      <c r="G893" s="4" t="str">
        <f>'Raw Data'!G893</f>
        <v>918 Main St</v>
      </c>
      <c r="H893" s="4" t="str">
        <f>'Raw Data'!H893</f>
        <v>Cash</v>
      </c>
      <c r="I893" s="4" t="str">
        <f>'Raw Data'!I893</f>
        <v>Returned</v>
      </c>
      <c r="J893" s="4" t="str">
        <f>'Raw Data'!J893</f>
        <v>TRK38952138</v>
      </c>
      <c r="K893" s="4">
        <f>'Raw Data'!K893</f>
        <v>7</v>
      </c>
      <c r="L893" s="4" t="str">
        <f>IF('Raw Data'!L893="","No Coupon",'Raw Data'!L893)</f>
        <v>SAVE10</v>
      </c>
      <c r="M893" s="4" t="str">
        <f>'Raw Data'!M893</f>
        <v>Referral</v>
      </c>
      <c r="N893" s="4">
        <f>'Raw Data'!N893</f>
        <v>1963.62</v>
      </c>
    </row>
    <row r="894" spans="1:14" ht="15" customHeight="1" x14ac:dyDescent="0.2">
      <c r="A894" s="4" t="str">
        <f>'Raw Data'!A894</f>
        <v>ORD200892</v>
      </c>
      <c r="B894" s="6">
        <f>'Raw Data'!B894</f>
        <v>45447</v>
      </c>
      <c r="C894" s="4" t="str">
        <f>'Raw Data'!C894</f>
        <v>C72043</v>
      </c>
      <c r="D894" s="4" t="str">
        <f>'Raw Data'!D894</f>
        <v>Desk</v>
      </c>
      <c r="E894" s="4">
        <f>'Raw Data'!E894</f>
        <v>1</v>
      </c>
      <c r="F894" s="4">
        <f>'Raw Data'!F894</f>
        <v>394.53</v>
      </c>
      <c r="G894" s="4" t="str">
        <f>'Raw Data'!G894</f>
        <v>480 Main St</v>
      </c>
      <c r="H894" s="4" t="str">
        <f>'Raw Data'!H894</f>
        <v>Cash</v>
      </c>
      <c r="I894" s="4" t="str">
        <f>'Raw Data'!I894</f>
        <v>Shipped</v>
      </c>
      <c r="J894" s="4" t="str">
        <f>'Raw Data'!J894</f>
        <v>TRK40896408</v>
      </c>
      <c r="K894" s="4">
        <f>'Raw Data'!K894</f>
        <v>2</v>
      </c>
      <c r="L894" s="4" t="str">
        <f>IF('Raw Data'!L894="","No Coupon",'Raw Data'!L894)</f>
        <v>FREESHIP</v>
      </c>
      <c r="M894" s="4" t="str">
        <f>'Raw Data'!M894</f>
        <v>Referral</v>
      </c>
      <c r="N894" s="4">
        <f>'Raw Data'!N894</f>
        <v>394.53</v>
      </c>
    </row>
    <row r="895" spans="1:14" ht="15" customHeight="1" x14ac:dyDescent="0.2">
      <c r="A895" s="4" t="str">
        <f>'Raw Data'!A895</f>
        <v>ORD200893</v>
      </c>
      <c r="B895" s="6">
        <f>'Raw Data'!B895</f>
        <v>45006</v>
      </c>
      <c r="C895" s="4" t="str">
        <f>'Raw Data'!C895</f>
        <v>C99533</v>
      </c>
      <c r="D895" s="4" t="str">
        <f>'Raw Data'!D895</f>
        <v>Monitor</v>
      </c>
      <c r="E895" s="4">
        <f>'Raw Data'!E895</f>
        <v>1</v>
      </c>
      <c r="F895" s="4">
        <f>'Raw Data'!F895</f>
        <v>678.01</v>
      </c>
      <c r="G895" s="4" t="str">
        <f>'Raw Data'!G895</f>
        <v>696 Main St</v>
      </c>
      <c r="H895" s="4" t="str">
        <f>'Raw Data'!H895</f>
        <v>Cash</v>
      </c>
      <c r="I895" s="4" t="str">
        <f>'Raw Data'!I895</f>
        <v>Pending</v>
      </c>
      <c r="J895" s="4" t="str">
        <f>'Raw Data'!J895</f>
        <v>TRK55701253</v>
      </c>
      <c r="K895" s="4">
        <f>'Raw Data'!K895</f>
        <v>4</v>
      </c>
      <c r="L895" s="4" t="str">
        <f>IF('Raw Data'!L895="","No Coupon",'Raw Data'!L895)</f>
        <v>FREESHIP</v>
      </c>
      <c r="M895" s="4" t="str">
        <f>'Raw Data'!M895</f>
        <v>Referral</v>
      </c>
      <c r="N895" s="4">
        <f>'Raw Data'!N895</f>
        <v>678.01</v>
      </c>
    </row>
    <row r="896" spans="1:14" ht="15" customHeight="1" x14ac:dyDescent="0.2">
      <c r="A896" s="4" t="str">
        <f>'Raw Data'!A896</f>
        <v>ORD200894</v>
      </c>
      <c r="B896" s="6">
        <f>'Raw Data'!B896</f>
        <v>45069</v>
      </c>
      <c r="C896" s="4" t="str">
        <f>'Raw Data'!C896</f>
        <v>C90852</v>
      </c>
      <c r="D896" s="4" t="str">
        <f>'Raw Data'!D896</f>
        <v>Tablet</v>
      </c>
      <c r="E896" s="4">
        <f>'Raw Data'!E896</f>
        <v>3</v>
      </c>
      <c r="F896" s="4">
        <f>'Raw Data'!F896</f>
        <v>575.01</v>
      </c>
      <c r="G896" s="4" t="str">
        <f>'Raw Data'!G896</f>
        <v>852 Main St</v>
      </c>
      <c r="H896" s="4" t="str">
        <f>'Raw Data'!H896</f>
        <v>Online</v>
      </c>
      <c r="I896" s="4" t="str">
        <f>'Raw Data'!I896</f>
        <v>Cancelled</v>
      </c>
      <c r="J896" s="4" t="str">
        <f>'Raw Data'!J896</f>
        <v>TRK37551831</v>
      </c>
      <c r="K896" s="4">
        <f>'Raw Data'!K896</f>
        <v>8</v>
      </c>
      <c r="L896" s="4" t="str">
        <f>IF('Raw Data'!L896="","No Coupon",'Raw Data'!L896)</f>
        <v>WINTER15</v>
      </c>
      <c r="M896" s="4" t="str">
        <f>'Raw Data'!M896</f>
        <v>Instagram</v>
      </c>
      <c r="N896" s="4">
        <f>'Raw Data'!N896</f>
        <v>1725.03</v>
      </c>
    </row>
    <row r="897" spans="1:14" ht="15" customHeight="1" x14ac:dyDescent="0.2">
      <c r="A897" s="4" t="str">
        <f>'Raw Data'!A897</f>
        <v>ORD200895</v>
      </c>
      <c r="B897" s="6">
        <f>'Raw Data'!B897</f>
        <v>45239</v>
      </c>
      <c r="C897" s="4" t="str">
        <f>'Raw Data'!C897</f>
        <v>C81882</v>
      </c>
      <c r="D897" s="4" t="str">
        <f>'Raw Data'!D897</f>
        <v>Chair</v>
      </c>
      <c r="E897" s="4">
        <f>'Raw Data'!E897</f>
        <v>3</v>
      </c>
      <c r="F897" s="4">
        <f>'Raw Data'!F897</f>
        <v>154.63999999999999</v>
      </c>
      <c r="G897" s="4" t="str">
        <f>'Raw Data'!G897</f>
        <v>832 Main St</v>
      </c>
      <c r="H897" s="4" t="str">
        <f>'Raw Data'!H897</f>
        <v>Debit Card</v>
      </c>
      <c r="I897" s="4" t="str">
        <f>'Raw Data'!I897</f>
        <v>Pending</v>
      </c>
      <c r="J897" s="4" t="str">
        <f>'Raw Data'!J897</f>
        <v>TRK62371264</v>
      </c>
      <c r="K897" s="4">
        <f>'Raw Data'!K897</f>
        <v>6</v>
      </c>
      <c r="L897" s="4" t="str">
        <f>IF('Raw Data'!L897="","No Coupon",'Raw Data'!L897)</f>
        <v>WINTER15</v>
      </c>
      <c r="M897" s="4" t="str">
        <f>'Raw Data'!M897</f>
        <v>Facebook</v>
      </c>
      <c r="N897" s="4">
        <f>'Raw Data'!N897</f>
        <v>463.92</v>
      </c>
    </row>
    <row r="898" spans="1:14" ht="15" customHeight="1" x14ac:dyDescent="0.2">
      <c r="A898" s="4" t="str">
        <f>'Raw Data'!A898</f>
        <v>ORD200896</v>
      </c>
      <c r="B898" s="6">
        <f>'Raw Data'!B898</f>
        <v>45583</v>
      </c>
      <c r="C898" s="4" t="str">
        <f>'Raw Data'!C898</f>
        <v>C85466</v>
      </c>
      <c r="D898" s="4" t="str">
        <f>'Raw Data'!D898</f>
        <v>Desk</v>
      </c>
      <c r="E898" s="4">
        <f>'Raw Data'!E898</f>
        <v>3</v>
      </c>
      <c r="F898" s="4">
        <f>'Raw Data'!F898</f>
        <v>147.29</v>
      </c>
      <c r="G898" s="4" t="str">
        <f>'Raw Data'!G898</f>
        <v>102 Main St</v>
      </c>
      <c r="H898" s="4" t="str">
        <f>'Raw Data'!H898</f>
        <v>Gift Card</v>
      </c>
      <c r="I898" s="4" t="str">
        <f>'Raw Data'!I898</f>
        <v>Shipped</v>
      </c>
      <c r="J898" s="4" t="str">
        <f>'Raw Data'!J898</f>
        <v>TRK66764177</v>
      </c>
      <c r="K898" s="4">
        <f>'Raw Data'!K898</f>
        <v>3</v>
      </c>
      <c r="L898" s="4" t="str">
        <f>IF('Raw Data'!L898="","No Coupon",'Raw Data'!L898)</f>
        <v>FREESHIP</v>
      </c>
      <c r="M898" s="4" t="str">
        <f>'Raw Data'!M898</f>
        <v>Google</v>
      </c>
      <c r="N898" s="4">
        <f>'Raw Data'!N898</f>
        <v>441.87</v>
      </c>
    </row>
    <row r="899" spans="1:14" ht="15" customHeight="1" x14ac:dyDescent="0.2">
      <c r="A899" s="4" t="str">
        <f>'Raw Data'!A899</f>
        <v>ORD200897</v>
      </c>
      <c r="B899" s="6">
        <f>'Raw Data'!B899</f>
        <v>45538</v>
      </c>
      <c r="C899" s="4" t="str">
        <f>'Raw Data'!C899</f>
        <v>C87995</v>
      </c>
      <c r="D899" s="4" t="str">
        <f>'Raw Data'!D899</f>
        <v>Laptop</v>
      </c>
      <c r="E899" s="4">
        <f>'Raw Data'!E899</f>
        <v>4</v>
      </c>
      <c r="F899" s="4">
        <f>'Raw Data'!F899</f>
        <v>481.48</v>
      </c>
      <c r="G899" s="4" t="str">
        <f>'Raw Data'!G899</f>
        <v>358 Main St</v>
      </c>
      <c r="H899" s="4" t="str">
        <f>'Raw Data'!H899</f>
        <v>Gift Card</v>
      </c>
      <c r="I899" s="4" t="str">
        <f>'Raw Data'!I899</f>
        <v>Delivered</v>
      </c>
      <c r="J899" s="4" t="str">
        <f>'Raw Data'!J899</f>
        <v>TRK38730545</v>
      </c>
      <c r="K899" s="4">
        <f>'Raw Data'!K899</f>
        <v>5</v>
      </c>
      <c r="L899" s="4" t="str">
        <f>IF('Raw Data'!L899="","No Coupon",'Raw Data'!L899)</f>
        <v>SAVE10</v>
      </c>
      <c r="M899" s="4" t="str">
        <f>'Raw Data'!M899</f>
        <v>Instagram</v>
      </c>
      <c r="N899" s="4">
        <f>'Raw Data'!N899</f>
        <v>1925.92</v>
      </c>
    </row>
    <row r="900" spans="1:14" ht="15" customHeight="1" x14ac:dyDescent="0.2">
      <c r="A900" s="4" t="str">
        <f>'Raw Data'!A900</f>
        <v>ORD200898</v>
      </c>
      <c r="B900" s="6">
        <f>'Raw Data'!B900</f>
        <v>45721</v>
      </c>
      <c r="C900" s="4" t="str">
        <f>'Raw Data'!C900</f>
        <v>C44619</v>
      </c>
      <c r="D900" s="4" t="str">
        <f>'Raw Data'!D900</f>
        <v>Monitor</v>
      </c>
      <c r="E900" s="4">
        <f>'Raw Data'!E900</f>
        <v>3</v>
      </c>
      <c r="F900" s="4">
        <f>'Raw Data'!F900</f>
        <v>158.37</v>
      </c>
      <c r="G900" s="4" t="str">
        <f>'Raw Data'!G900</f>
        <v>742 Main St</v>
      </c>
      <c r="H900" s="4" t="str">
        <f>'Raw Data'!H900</f>
        <v>Cash</v>
      </c>
      <c r="I900" s="4" t="str">
        <f>'Raw Data'!I900</f>
        <v>Shipped</v>
      </c>
      <c r="J900" s="4" t="str">
        <f>'Raw Data'!J900</f>
        <v>TRK66662528</v>
      </c>
      <c r="K900" s="4">
        <f>'Raw Data'!K900</f>
        <v>6</v>
      </c>
      <c r="L900" s="4" t="str">
        <f>IF('Raw Data'!L900="","No Coupon",'Raw Data'!L900)</f>
        <v>No Coupon</v>
      </c>
      <c r="M900" s="4" t="str">
        <f>'Raw Data'!M900</f>
        <v>Referral</v>
      </c>
      <c r="N900" s="4">
        <f>'Raw Data'!N900</f>
        <v>475.11</v>
      </c>
    </row>
    <row r="901" spans="1:14" ht="15" customHeight="1" x14ac:dyDescent="0.2">
      <c r="A901" s="4" t="str">
        <f>'Raw Data'!A901</f>
        <v>ORD200899</v>
      </c>
      <c r="B901" s="6">
        <f>'Raw Data'!B901</f>
        <v>45770</v>
      </c>
      <c r="C901" s="4" t="str">
        <f>'Raw Data'!C901</f>
        <v>C99904</v>
      </c>
      <c r="D901" s="4" t="str">
        <f>'Raw Data'!D901</f>
        <v>Printer</v>
      </c>
      <c r="E901" s="4">
        <f>'Raw Data'!E901</f>
        <v>2</v>
      </c>
      <c r="F901" s="4">
        <f>'Raw Data'!F901</f>
        <v>323.37</v>
      </c>
      <c r="G901" s="4" t="str">
        <f>'Raw Data'!G901</f>
        <v>552 Main St</v>
      </c>
      <c r="H901" s="4" t="str">
        <f>'Raw Data'!H901</f>
        <v>Online</v>
      </c>
      <c r="I901" s="4" t="str">
        <f>'Raw Data'!I901</f>
        <v>Pending</v>
      </c>
      <c r="J901" s="4" t="str">
        <f>'Raw Data'!J901</f>
        <v>TRK83843411</v>
      </c>
      <c r="K901" s="4">
        <f>'Raw Data'!K901</f>
        <v>3</v>
      </c>
      <c r="L901" s="4" t="str">
        <f>IF('Raw Data'!L901="","No Coupon",'Raw Data'!L901)</f>
        <v>SAVE10</v>
      </c>
      <c r="M901" s="4" t="str">
        <f>'Raw Data'!M901</f>
        <v>Instagram</v>
      </c>
      <c r="N901" s="4">
        <f>'Raw Data'!N901</f>
        <v>646.74</v>
      </c>
    </row>
    <row r="902" spans="1:14" ht="15" customHeight="1" x14ac:dyDescent="0.2">
      <c r="A902" s="4" t="str">
        <f>'Raw Data'!A902</f>
        <v>ORD200900</v>
      </c>
      <c r="B902" s="6">
        <f>'Raw Data'!B902</f>
        <v>45695</v>
      </c>
      <c r="C902" s="4" t="str">
        <f>'Raw Data'!C902</f>
        <v>C52342</v>
      </c>
      <c r="D902" s="4" t="str">
        <f>'Raw Data'!D902</f>
        <v>Laptop</v>
      </c>
      <c r="E902" s="4">
        <f>'Raw Data'!E902</f>
        <v>5</v>
      </c>
      <c r="F902" s="4">
        <f>'Raw Data'!F902</f>
        <v>73.83</v>
      </c>
      <c r="G902" s="4" t="str">
        <f>'Raw Data'!G902</f>
        <v>991 Main St</v>
      </c>
      <c r="H902" s="4" t="str">
        <f>'Raw Data'!H902</f>
        <v>Debit Card</v>
      </c>
      <c r="I902" s="4" t="str">
        <f>'Raw Data'!I902</f>
        <v>Pending</v>
      </c>
      <c r="J902" s="4" t="str">
        <f>'Raw Data'!J902</f>
        <v>TRK67342586</v>
      </c>
      <c r="K902" s="4">
        <f>'Raw Data'!K902</f>
        <v>9</v>
      </c>
      <c r="L902" s="4" t="str">
        <f>IF('Raw Data'!L902="","No Coupon",'Raw Data'!L902)</f>
        <v>No Coupon</v>
      </c>
      <c r="M902" s="4" t="str">
        <f>'Raw Data'!M902</f>
        <v>Instagram</v>
      </c>
      <c r="N902" s="4">
        <f>'Raw Data'!N902</f>
        <v>369.15</v>
      </c>
    </row>
    <row r="903" spans="1:14" ht="15" customHeight="1" x14ac:dyDescent="0.2">
      <c r="A903" s="4" t="str">
        <f>'Raw Data'!A903</f>
        <v>ORD200901</v>
      </c>
      <c r="B903" s="6">
        <f>'Raw Data'!B903</f>
        <v>45410</v>
      </c>
      <c r="C903" s="4" t="str">
        <f>'Raw Data'!C903</f>
        <v>C44277</v>
      </c>
      <c r="D903" s="4" t="str">
        <f>'Raw Data'!D903</f>
        <v>Tablet</v>
      </c>
      <c r="E903" s="4">
        <f>'Raw Data'!E903</f>
        <v>1</v>
      </c>
      <c r="F903" s="4">
        <f>'Raw Data'!F903</f>
        <v>458.63</v>
      </c>
      <c r="G903" s="4" t="str">
        <f>'Raw Data'!G903</f>
        <v>839 Main St</v>
      </c>
      <c r="H903" s="4" t="str">
        <f>'Raw Data'!H903</f>
        <v>Debit Card</v>
      </c>
      <c r="I903" s="4" t="str">
        <f>'Raw Data'!I903</f>
        <v>Returned</v>
      </c>
      <c r="J903" s="4" t="str">
        <f>'Raw Data'!J903</f>
        <v>TRK79321479</v>
      </c>
      <c r="K903" s="4">
        <f>'Raw Data'!K903</f>
        <v>4</v>
      </c>
      <c r="L903" s="4" t="str">
        <f>IF('Raw Data'!L903="","No Coupon",'Raw Data'!L903)</f>
        <v>WINTER15</v>
      </c>
      <c r="M903" s="4" t="str">
        <f>'Raw Data'!M903</f>
        <v>Referral</v>
      </c>
      <c r="N903" s="4">
        <f>'Raw Data'!N903</f>
        <v>458.63</v>
      </c>
    </row>
    <row r="904" spans="1:14" ht="15" customHeight="1" x14ac:dyDescent="0.2">
      <c r="A904" s="4" t="str">
        <f>'Raw Data'!A904</f>
        <v>ORD200902</v>
      </c>
      <c r="B904" s="6">
        <f>'Raw Data'!B904</f>
        <v>45486</v>
      </c>
      <c r="C904" s="4" t="str">
        <f>'Raw Data'!C904</f>
        <v>C61162</v>
      </c>
      <c r="D904" s="4" t="str">
        <f>'Raw Data'!D904</f>
        <v>Monitor</v>
      </c>
      <c r="E904" s="4">
        <f>'Raw Data'!E904</f>
        <v>4</v>
      </c>
      <c r="F904" s="4">
        <f>'Raw Data'!F904</f>
        <v>180.25</v>
      </c>
      <c r="G904" s="4" t="str">
        <f>'Raw Data'!G904</f>
        <v>813 Main St</v>
      </c>
      <c r="H904" s="4" t="str">
        <f>'Raw Data'!H904</f>
        <v>Debit Card</v>
      </c>
      <c r="I904" s="4" t="str">
        <f>'Raw Data'!I904</f>
        <v>Cancelled</v>
      </c>
      <c r="J904" s="4" t="str">
        <f>'Raw Data'!J904</f>
        <v>TRK76712124</v>
      </c>
      <c r="K904" s="4">
        <f>'Raw Data'!K904</f>
        <v>7</v>
      </c>
      <c r="L904" s="4" t="str">
        <f>IF('Raw Data'!L904="","No Coupon",'Raw Data'!L904)</f>
        <v>No Coupon</v>
      </c>
      <c r="M904" s="4" t="str">
        <f>'Raw Data'!M904</f>
        <v>Facebook</v>
      </c>
      <c r="N904" s="4">
        <f>'Raw Data'!N904</f>
        <v>721</v>
      </c>
    </row>
    <row r="905" spans="1:14" ht="15" customHeight="1" x14ac:dyDescent="0.2">
      <c r="A905" s="4" t="str">
        <f>'Raw Data'!A905</f>
        <v>ORD200903</v>
      </c>
      <c r="B905" s="6">
        <f>'Raw Data'!B905</f>
        <v>45063</v>
      </c>
      <c r="C905" s="4" t="str">
        <f>'Raw Data'!C905</f>
        <v>C80868</v>
      </c>
      <c r="D905" s="4" t="str">
        <f>'Raw Data'!D905</f>
        <v>Monitor</v>
      </c>
      <c r="E905" s="4">
        <f>'Raw Data'!E905</f>
        <v>3</v>
      </c>
      <c r="F905" s="4">
        <f>'Raw Data'!F905</f>
        <v>473.49</v>
      </c>
      <c r="G905" s="4" t="str">
        <f>'Raw Data'!G905</f>
        <v>205 Main St</v>
      </c>
      <c r="H905" s="4" t="str">
        <f>'Raw Data'!H905</f>
        <v>Credit Card</v>
      </c>
      <c r="I905" s="4" t="str">
        <f>'Raw Data'!I905</f>
        <v>Pending</v>
      </c>
      <c r="J905" s="4" t="str">
        <f>'Raw Data'!J905</f>
        <v>TRK56186636</v>
      </c>
      <c r="K905" s="4">
        <f>'Raw Data'!K905</f>
        <v>7</v>
      </c>
      <c r="L905" s="4" t="str">
        <f>IF('Raw Data'!L905="","No Coupon",'Raw Data'!L905)</f>
        <v>No Coupon</v>
      </c>
      <c r="M905" s="4" t="str">
        <f>'Raw Data'!M905</f>
        <v>Email</v>
      </c>
      <c r="N905" s="4">
        <f>'Raw Data'!N905</f>
        <v>1420.47</v>
      </c>
    </row>
    <row r="906" spans="1:14" ht="15" customHeight="1" x14ac:dyDescent="0.2">
      <c r="A906" s="4" t="str">
        <f>'Raw Data'!A906</f>
        <v>ORD200904</v>
      </c>
      <c r="B906" s="6">
        <f>'Raw Data'!B906</f>
        <v>45693</v>
      </c>
      <c r="C906" s="4" t="str">
        <f>'Raw Data'!C906</f>
        <v>C16693</v>
      </c>
      <c r="D906" s="4" t="str">
        <f>'Raw Data'!D906</f>
        <v>Monitor</v>
      </c>
      <c r="E906" s="4">
        <f>'Raw Data'!E906</f>
        <v>4</v>
      </c>
      <c r="F906" s="4">
        <f>'Raw Data'!F906</f>
        <v>237.43</v>
      </c>
      <c r="G906" s="4" t="str">
        <f>'Raw Data'!G906</f>
        <v>262 Main St</v>
      </c>
      <c r="H906" s="4" t="str">
        <f>'Raw Data'!H906</f>
        <v>Cash</v>
      </c>
      <c r="I906" s="4" t="str">
        <f>'Raw Data'!I906</f>
        <v>Cancelled</v>
      </c>
      <c r="J906" s="4" t="str">
        <f>'Raw Data'!J906</f>
        <v>TRK41146508</v>
      </c>
      <c r="K906" s="4">
        <f>'Raw Data'!K906</f>
        <v>8</v>
      </c>
      <c r="L906" s="4" t="str">
        <f>IF('Raw Data'!L906="","No Coupon",'Raw Data'!L906)</f>
        <v>WINTER15</v>
      </c>
      <c r="M906" s="4" t="str">
        <f>'Raw Data'!M906</f>
        <v>Referral</v>
      </c>
      <c r="N906" s="4">
        <f>'Raw Data'!N906</f>
        <v>949.72</v>
      </c>
    </row>
    <row r="907" spans="1:14" ht="15" customHeight="1" x14ac:dyDescent="0.2">
      <c r="A907" s="4" t="str">
        <f>'Raw Data'!A907</f>
        <v>ORD200905</v>
      </c>
      <c r="B907" s="6">
        <f>'Raw Data'!B907</f>
        <v>45253</v>
      </c>
      <c r="C907" s="4" t="str">
        <f>'Raw Data'!C907</f>
        <v>C67818</v>
      </c>
      <c r="D907" s="4" t="str">
        <f>'Raw Data'!D907</f>
        <v>Laptop</v>
      </c>
      <c r="E907" s="4">
        <f>'Raw Data'!E907</f>
        <v>1</v>
      </c>
      <c r="F907" s="4">
        <f>'Raw Data'!F907</f>
        <v>442.39</v>
      </c>
      <c r="G907" s="4" t="str">
        <f>'Raw Data'!G907</f>
        <v>101 Main St</v>
      </c>
      <c r="H907" s="4" t="str">
        <f>'Raw Data'!H907</f>
        <v>Gift Card</v>
      </c>
      <c r="I907" s="4" t="str">
        <f>'Raw Data'!I907</f>
        <v>Pending</v>
      </c>
      <c r="J907" s="4" t="str">
        <f>'Raw Data'!J907</f>
        <v>TRK81978113</v>
      </c>
      <c r="K907" s="4">
        <f>'Raw Data'!K907</f>
        <v>6</v>
      </c>
      <c r="L907" s="4" t="str">
        <f>IF('Raw Data'!L907="","No Coupon",'Raw Data'!L907)</f>
        <v>FREESHIP</v>
      </c>
      <c r="M907" s="4" t="str">
        <f>'Raw Data'!M907</f>
        <v>Facebook</v>
      </c>
      <c r="N907" s="4">
        <f>'Raw Data'!N907</f>
        <v>442.39</v>
      </c>
    </row>
    <row r="908" spans="1:14" ht="15" customHeight="1" x14ac:dyDescent="0.2">
      <c r="A908" s="4" t="str">
        <f>'Raw Data'!A908</f>
        <v>ORD200906</v>
      </c>
      <c r="B908" s="6">
        <f>'Raw Data'!B908</f>
        <v>45538</v>
      </c>
      <c r="C908" s="4" t="str">
        <f>'Raw Data'!C908</f>
        <v>C49938</v>
      </c>
      <c r="D908" s="4" t="str">
        <f>'Raw Data'!D908</f>
        <v>Monitor</v>
      </c>
      <c r="E908" s="4">
        <f>'Raw Data'!E908</f>
        <v>1</v>
      </c>
      <c r="F908" s="4">
        <f>'Raw Data'!F908</f>
        <v>62.12</v>
      </c>
      <c r="G908" s="4" t="str">
        <f>'Raw Data'!G908</f>
        <v>141 Main St</v>
      </c>
      <c r="H908" s="4" t="str">
        <f>'Raw Data'!H908</f>
        <v>Cash</v>
      </c>
      <c r="I908" s="4" t="str">
        <f>'Raw Data'!I908</f>
        <v>Returned</v>
      </c>
      <c r="J908" s="4" t="str">
        <f>'Raw Data'!J908</f>
        <v>TRK80175572</v>
      </c>
      <c r="K908" s="4">
        <f>'Raw Data'!K908</f>
        <v>2</v>
      </c>
      <c r="L908" s="4" t="str">
        <f>IF('Raw Data'!L908="","No Coupon",'Raw Data'!L908)</f>
        <v>No Coupon</v>
      </c>
      <c r="M908" s="4" t="str">
        <f>'Raw Data'!M908</f>
        <v>Email</v>
      </c>
      <c r="N908" s="4">
        <f>'Raw Data'!N908</f>
        <v>62.12</v>
      </c>
    </row>
    <row r="909" spans="1:14" ht="15" customHeight="1" x14ac:dyDescent="0.2">
      <c r="A909" s="4" t="str">
        <f>'Raw Data'!A909</f>
        <v>ORD200907</v>
      </c>
      <c r="B909" s="6">
        <f>'Raw Data'!B909</f>
        <v>45508</v>
      </c>
      <c r="C909" s="4" t="str">
        <f>'Raw Data'!C909</f>
        <v>C90898</v>
      </c>
      <c r="D909" s="4" t="str">
        <f>'Raw Data'!D909</f>
        <v>Desk</v>
      </c>
      <c r="E909" s="4">
        <f>'Raw Data'!E909</f>
        <v>5</v>
      </c>
      <c r="F909" s="4">
        <f>'Raw Data'!F909</f>
        <v>298.39</v>
      </c>
      <c r="G909" s="4" t="str">
        <f>'Raw Data'!G909</f>
        <v>583 Main St</v>
      </c>
      <c r="H909" s="4" t="str">
        <f>'Raw Data'!H909</f>
        <v>Gift Card</v>
      </c>
      <c r="I909" s="4" t="str">
        <f>'Raw Data'!I909</f>
        <v>Cancelled</v>
      </c>
      <c r="J909" s="4" t="str">
        <f>'Raw Data'!J909</f>
        <v>TRK52935170</v>
      </c>
      <c r="K909" s="4">
        <f>'Raw Data'!K909</f>
        <v>7</v>
      </c>
      <c r="L909" s="4" t="str">
        <f>IF('Raw Data'!L909="","No Coupon",'Raw Data'!L909)</f>
        <v>WINTER15</v>
      </c>
      <c r="M909" s="4" t="str">
        <f>'Raw Data'!M909</f>
        <v>Referral</v>
      </c>
      <c r="N909" s="4">
        <f>'Raw Data'!N909</f>
        <v>1491.95</v>
      </c>
    </row>
    <row r="910" spans="1:14" ht="15" customHeight="1" x14ac:dyDescent="0.2">
      <c r="A910" s="4" t="str">
        <f>'Raw Data'!A910</f>
        <v>ORD200908</v>
      </c>
      <c r="B910" s="6">
        <f>'Raw Data'!B910</f>
        <v>45783</v>
      </c>
      <c r="C910" s="4" t="str">
        <f>'Raw Data'!C910</f>
        <v>C35117</v>
      </c>
      <c r="D910" s="4" t="str">
        <f>'Raw Data'!D910</f>
        <v>Desk</v>
      </c>
      <c r="E910" s="4">
        <f>'Raw Data'!E910</f>
        <v>2</v>
      </c>
      <c r="F910" s="4">
        <f>'Raw Data'!F910</f>
        <v>697.93</v>
      </c>
      <c r="G910" s="4" t="str">
        <f>'Raw Data'!G910</f>
        <v>332 Main St</v>
      </c>
      <c r="H910" s="4" t="str">
        <f>'Raw Data'!H910</f>
        <v>Credit Card</v>
      </c>
      <c r="I910" s="4" t="str">
        <f>'Raw Data'!I910</f>
        <v>Cancelled</v>
      </c>
      <c r="J910" s="4" t="str">
        <f>'Raw Data'!J910</f>
        <v>TRK27155709</v>
      </c>
      <c r="K910" s="4">
        <f>'Raw Data'!K910</f>
        <v>2</v>
      </c>
      <c r="L910" s="4" t="str">
        <f>IF('Raw Data'!L910="","No Coupon",'Raw Data'!L910)</f>
        <v>SAVE10</v>
      </c>
      <c r="M910" s="4" t="str">
        <f>'Raw Data'!M910</f>
        <v>Google</v>
      </c>
      <c r="N910" s="4">
        <f>'Raw Data'!N910</f>
        <v>1395.86</v>
      </c>
    </row>
    <row r="911" spans="1:14" ht="15" customHeight="1" x14ac:dyDescent="0.2">
      <c r="A911" s="4" t="str">
        <f>'Raw Data'!A911</f>
        <v>ORD200909</v>
      </c>
      <c r="B911" s="6">
        <f>'Raw Data'!B911</f>
        <v>45439</v>
      </c>
      <c r="C911" s="4" t="str">
        <f>'Raw Data'!C911</f>
        <v>C60203</v>
      </c>
      <c r="D911" s="4" t="str">
        <f>'Raw Data'!D911</f>
        <v>Tablet</v>
      </c>
      <c r="E911" s="4">
        <f>'Raw Data'!E911</f>
        <v>2</v>
      </c>
      <c r="F911" s="4">
        <f>'Raw Data'!F911</f>
        <v>291.85000000000002</v>
      </c>
      <c r="G911" s="4" t="str">
        <f>'Raw Data'!G911</f>
        <v>569 Main St</v>
      </c>
      <c r="H911" s="4" t="str">
        <f>'Raw Data'!H911</f>
        <v>Cash</v>
      </c>
      <c r="I911" s="4" t="str">
        <f>'Raw Data'!I911</f>
        <v>Shipped</v>
      </c>
      <c r="J911" s="4" t="str">
        <f>'Raw Data'!J911</f>
        <v>TRK76525279</v>
      </c>
      <c r="K911" s="4">
        <f>'Raw Data'!K911</f>
        <v>5</v>
      </c>
      <c r="L911" s="4" t="str">
        <f>IF('Raw Data'!L911="","No Coupon",'Raw Data'!L911)</f>
        <v>FREESHIP</v>
      </c>
      <c r="M911" s="4" t="str">
        <f>'Raw Data'!M911</f>
        <v>Instagram</v>
      </c>
      <c r="N911" s="4">
        <f>'Raw Data'!N911</f>
        <v>583.70000000000005</v>
      </c>
    </row>
    <row r="912" spans="1:14" ht="15" customHeight="1" x14ac:dyDescent="0.2">
      <c r="A912" s="4" t="str">
        <f>'Raw Data'!A912</f>
        <v>ORD200910</v>
      </c>
      <c r="B912" s="6">
        <f>'Raw Data'!B912</f>
        <v>45443</v>
      </c>
      <c r="C912" s="4" t="str">
        <f>'Raw Data'!C912</f>
        <v>C36174</v>
      </c>
      <c r="D912" s="4" t="str">
        <f>'Raw Data'!D912</f>
        <v>Printer</v>
      </c>
      <c r="E912" s="4">
        <f>'Raw Data'!E912</f>
        <v>3</v>
      </c>
      <c r="F912" s="4">
        <f>'Raw Data'!F912</f>
        <v>308.98</v>
      </c>
      <c r="G912" s="4" t="str">
        <f>'Raw Data'!G912</f>
        <v>348 Main St</v>
      </c>
      <c r="H912" s="4" t="str">
        <f>'Raw Data'!H912</f>
        <v>Cash</v>
      </c>
      <c r="I912" s="4" t="str">
        <f>'Raw Data'!I912</f>
        <v>Delivered</v>
      </c>
      <c r="J912" s="4" t="str">
        <f>'Raw Data'!J912</f>
        <v>TRK26397548</v>
      </c>
      <c r="K912" s="4">
        <f>'Raw Data'!K912</f>
        <v>3</v>
      </c>
      <c r="L912" s="4" t="str">
        <f>IF('Raw Data'!L912="","No Coupon",'Raw Data'!L912)</f>
        <v>SAVE10</v>
      </c>
      <c r="M912" s="4" t="str">
        <f>'Raw Data'!M912</f>
        <v>Instagram</v>
      </c>
      <c r="N912" s="4">
        <f>'Raw Data'!N912</f>
        <v>926.94</v>
      </c>
    </row>
    <row r="913" spans="1:14" ht="15" customHeight="1" x14ac:dyDescent="0.2">
      <c r="A913" s="4" t="str">
        <f>'Raw Data'!A913</f>
        <v>ORD200911</v>
      </c>
      <c r="B913" s="6">
        <f>'Raw Data'!B913</f>
        <v>45517</v>
      </c>
      <c r="C913" s="4" t="str">
        <f>'Raw Data'!C913</f>
        <v>C80872</v>
      </c>
      <c r="D913" s="4" t="str">
        <f>'Raw Data'!D913</f>
        <v>Desk</v>
      </c>
      <c r="E913" s="4">
        <f>'Raw Data'!E913</f>
        <v>5</v>
      </c>
      <c r="F913" s="4">
        <f>'Raw Data'!F913</f>
        <v>396.86</v>
      </c>
      <c r="G913" s="4" t="str">
        <f>'Raw Data'!G913</f>
        <v>593 Main St</v>
      </c>
      <c r="H913" s="4" t="str">
        <f>'Raw Data'!H913</f>
        <v>Cash</v>
      </c>
      <c r="I913" s="4" t="str">
        <f>'Raw Data'!I913</f>
        <v>Cancelled</v>
      </c>
      <c r="J913" s="4" t="str">
        <f>'Raw Data'!J913</f>
        <v>TRK43967487</v>
      </c>
      <c r="K913" s="4">
        <f>'Raw Data'!K913</f>
        <v>9</v>
      </c>
      <c r="L913" s="4" t="str">
        <f>IF('Raw Data'!L913="","No Coupon",'Raw Data'!L913)</f>
        <v>SAVE10</v>
      </c>
      <c r="M913" s="4" t="str">
        <f>'Raw Data'!M913</f>
        <v>Instagram</v>
      </c>
      <c r="N913" s="4">
        <f>'Raw Data'!N913</f>
        <v>1984.3</v>
      </c>
    </row>
    <row r="914" spans="1:14" ht="15" customHeight="1" x14ac:dyDescent="0.2">
      <c r="A914" s="4" t="str">
        <f>'Raw Data'!A914</f>
        <v>ORD200912</v>
      </c>
      <c r="B914" s="6">
        <f>'Raw Data'!B914</f>
        <v>45313</v>
      </c>
      <c r="C914" s="4" t="str">
        <f>'Raw Data'!C914</f>
        <v>C67604</v>
      </c>
      <c r="D914" s="4" t="str">
        <f>'Raw Data'!D914</f>
        <v>Desk</v>
      </c>
      <c r="E914" s="4">
        <f>'Raw Data'!E914</f>
        <v>2</v>
      </c>
      <c r="F914" s="4">
        <f>'Raw Data'!F914</f>
        <v>139.69</v>
      </c>
      <c r="G914" s="4" t="str">
        <f>'Raw Data'!G914</f>
        <v>318 Main St</v>
      </c>
      <c r="H914" s="4" t="str">
        <f>'Raw Data'!H914</f>
        <v>Online</v>
      </c>
      <c r="I914" s="4" t="str">
        <f>'Raw Data'!I914</f>
        <v>Returned</v>
      </c>
      <c r="J914" s="4" t="str">
        <f>'Raw Data'!J914</f>
        <v>TRK85545920</v>
      </c>
      <c r="K914" s="4">
        <f>'Raw Data'!K914</f>
        <v>7</v>
      </c>
      <c r="L914" s="4" t="str">
        <f>IF('Raw Data'!L914="","No Coupon",'Raw Data'!L914)</f>
        <v>FREESHIP</v>
      </c>
      <c r="M914" s="4" t="str">
        <f>'Raw Data'!M914</f>
        <v>Email</v>
      </c>
      <c r="N914" s="4">
        <f>'Raw Data'!N914</f>
        <v>279.38</v>
      </c>
    </row>
    <row r="915" spans="1:14" ht="15" customHeight="1" x14ac:dyDescent="0.2">
      <c r="A915" s="4" t="str">
        <f>'Raw Data'!A915</f>
        <v>ORD200913</v>
      </c>
      <c r="B915" s="6">
        <f>'Raw Data'!B915</f>
        <v>44973</v>
      </c>
      <c r="C915" s="4" t="str">
        <f>'Raw Data'!C915</f>
        <v>C45599</v>
      </c>
      <c r="D915" s="4" t="str">
        <f>'Raw Data'!D915</f>
        <v>Printer</v>
      </c>
      <c r="E915" s="4">
        <f>'Raw Data'!E915</f>
        <v>5</v>
      </c>
      <c r="F915" s="4">
        <f>'Raw Data'!F915</f>
        <v>475.95</v>
      </c>
      <c r="G915" s="4" t="str">
        <f>'Raw Data'!G915</f>
        <v>505 Main St</v>
      </c>
      <c r="H915" s="4" t="str">
        <f>'Raw Data'!H915</f>
        <v>Credit Card</v>
      </c>
      <c r="I915" s="4" t="str">
        <f>'Raw Data'!I915</f>
        <v>Returned</v>
      </c>
      <c r="J915" s="4" t="str">
        <f>'Raw Data'!J915</f>
        <v>TRK62277685</v>
      </c>
      <c r="K915" s="4">
        <f>'Raw Data'!K915</f>
        <v>8</v>
      </c>
      <c r="L915" s="4" t="str">
        <f>IF('Raw Data'!L915="","No Coupon",'Raw Data'!L915)</f>
        <v>WINTER15</v>
      </c>
      <c r="M915" s="4" t="str">
        <f>'Raw Data'!M915</f>
        <v>Facebook</v>
      </c>
      <c r="N915" s="4">
        <f>'Raw Data'!N915</f>
        <v>2379.75</v>
      </c>
    </row>
    <row r="916" spans="1:14" ht="15" customHeight="1" x14ac:dyDescent="0.2">
      <c r="A916" s="4" t="str">
        <f>'Raw Data'!A916</f>
        <v>ORD200914</v>
      </c>
      <c r="B916" s="6">
        <f>'Raw Data'!B916</f>
        <v>45698</v>
      </c>
      <c r="C916" s="4" t="str">
        <f>'Raw Data'!C916</f>
        <v>C70352</v>
      </c>
      <c r="D916" s="4" t="str">
        <f>'Raw Data'!D916</f>
        <v>Desk</v>
      </c>
      <c r="E916" s="4">
        <f>'Raw Data'!E916</f>
        <v>1</v>
      </c>
      <c r="F916" s="4">
        <f>'Raw Data'!F916</f>
        <v>626.6</v>
      </c>
      <c r="G916" s="4" t="str">
        <f>'Raw Data'!G916</f>
        <v>955 Main St</v>
      </c>
      <c r="H916" s="4" t="str">
        <f>'Raw Data'!H916</f>
        <v>Gift Card</v>
      </c>
      <c r="I916" s="4" t="str">
        <f>'Raw Data'!I916</f>
        <v>Returned</v>
      </c>
      <c r="J916" s="4" t="str">
        <f>'Raw Data'!J916</f>
        <v>TRK51589589</v>
      </c>
      <c r="K916" s="4">
        <f>'Raw Data'!K916</f>
        <v>4</v>
      </c>
      <c r="L916" s="4" t="str">
        <f>IF('Raw Data'!L916="","No Coupon",'Raw Data'!L916)</f>
        <v>WINTER15</v>
      </c>
      <c r="M916" s="4" t="str">
        <f>'Raw Data'!M916</f>
        <v>Facebook</v>
      </c>
      <c r="N916" s="4">
        <f>'Raw Data'!N916</f>
        <v>626.6</v>
      </c>
    </row>
    <row r="917" spans="1:14" ht="15" customHeight="1" x14ac:dyDescent="0.2">
      <c r="A917" s="4" t="str">
        <f>'Raw Data'!A917</f>
        <v>ORD200915</v>
      </c>
      <c r="B917" s="6">
        <f>'Raw Data'!B917</f>
        <v>45338</v>
      </c>
      <c r="C917" s="4" t="str">
        <f>'Raw Data'!C917</f>
        <v>C20643</v>
      </c>
      <c r="D917" s="4" t="str">
        <f>'Raw Data'!D917</f>
        <v>Laptop</v>
      </c>
      <c r="E917" s="4">
        <f>'Raw Data'!E917</f>
        <v>4</v>
      </c>
      <c r="F917" s="4">
        <f>'Raw Data'!F917</f>
        <v>502.99</v>
      </c>
      <c r="G917" s="4" t="str">
        <f>'Raw Data'!G917</f>
        <v>939 Main St</v>
      </c>
      <c r="H917" s="4" t="str">
        <f>'Raw Data'!H917</f>
        <v>Debit Card</v>
      </c>
      <c r="I917" s="4" t="str">
        <f>'Raw Data'!I917</f>
        <v>Shipped</v>
      </c>
      <c r="J917" s="4" t="str">
        <f>'Raw Data'!J917</f>
        <v>TRK30736692</v>
      </c>
      <c r="K917" s="4">
        <f>'Raw Data'!K917</f>
        <v>4</v>
      </c>
      <c r="L917" s="4" t="str">
        <f>IF('Raw Data'!L917="","No Coupon",'Raw Data'!L917)</f>
        <v>WINTER15</v>
      </c>
      <c r="M917" s="4" t="str">
        <f>'Raw Data'!M917</f>
        <v>Referral</v>
      </c>
      <c r="N917" s="4">
        <f>'Raw Data'!N917</f>
        <v>2011.96</v>
      </c>
    </row>
    <row r="918" spans="1:14" ht="15" customHeight="1" x14ac:dyDescent="0.2">
      <c r="A918" s="4" t="str">
        <f>'Raw Data'!A918</f>
        <v>ORD200916</v>
      </c>
      <c r="B918" s="6">
        <f>'Raw Data'!B918</f>
        <v>45464</v>
      </c>
      <c r="C918" s="4" t="str">
        <f>'Raw Data'!C918</f>
        <v>C35669</v>
      </c>
      <c r="D918" s="4" t="str">
        <f>'Raw Data'!D918</f>
        <v>Printer</v>
      </c>
      <c r="E918" s="4">
        <f>'Raw Data'!E918</f>
        <v>5</v>
      </c>
      <c r="F918" s="4">
        <f>'Raw Data'!F918</f>
        <v>578.83000000000004</v>
      </c>
      <c r="G918" s="4" t="str">
        <f>'Raw Data'!G918</f>
        <v>165 Main St</v>
      </c>
      <c r="H918" s="4" t="str">
        <f>'Raw Data'!H918</f>
        <v>Cash</v>
      </c>
      <c r="I918" s="4" t="str">
        <f>'Raw Data'!I918</f>
        <v>Returned</v>
      </c>
      <c r="J918" s="4" t="str">
        <f>'Raw Data'!J918</f>
        <v>TRK13928455</v>
      </c>
      <c r="K918" s="4">
        <f>'Raw Data'!K918</f>
        <v>6</v>
      </c>
      <c r="L918" s="4" t="str">
        <f>IF('Raw Data'!L918="","No Coupon",'Raw Data'!L918)</f>
        <v>No Coupon</v>
      </c>
      <c r="M918" s="4" t="str">
        <f>'Raw Data'!M918</f>
        <v>Referral</v>
      </c>
      <c r="N918" s="4">
        <f>'Raw Data'!N918</f>
        <v>2894.15</v>
      </c>
    </row>
    <row r="919" spans="1:14" ht="15" customHeight="1" x14ac:dyDescent="0.2">
      <c r="A919" s="4" t="str">
        <f>'Raw Data'!A919</f>
        <v>ORD200917</v>
      </c>
      <c r="B919" s="6">
        <f>'Raw Data'!B919</f>
        <v>45677</v>
      </c>
      <c r="C919" s="4" t="str">
        <f>'Raw Data'!C919</f>
        <v>C65524</v>
      </c>
      <c r="D919" s="4" t="str">
        <f>'Raw Data'!D919</f>
        <v>Laptop</v>
      </c>
      <c r="E919" s="4">
        <f>'Raw Data'!E919</f>
        <v>5</v>
      </c>
      <c r="F919" s="4">
        <f>'Raw Data'!F919</f>
        <v>383.82</v>
      </c>
      <c r="G919" s="4" t="str">
        <f>'Raw Data'!G919</f>
        <v>836 Main St</v>
      </c>
      <c r="H919" s="4" t="str">
        <f>'Raw Data'!H919</f>
        <v>Credit Card</v>
      </c>
      <c r="I919" s="4" t="str">
        <f>'Raw Data'!I919</f>
        <v>Returned</v>
      </c>
      <c r="J919" s="4" t="str">
        <f>'Raw Data'!J919</f>
        <v>TRK19315310</v>
      </c>
      <c r="K919" s="4">
        <f>'Raw Data'!K919</f>
        <v>7</v>
      </c>
      <c r="L919" s="4" t="str">
        <f>IF('Raw Data'!L919="","No Coupon",'Raw Data'!L919)</f>
        <v>FREESHIP</v>
      </c>
      <c r="M919" s="4" t="str">
        <f>'Raw Data'!M919</f>
        <v>Google</v>
      </c>
      <c r="N919" s="4">
        <f>'Raw Data'!N919</f>
        <v>1919.1</v>
      </c>
    </row>
    <row r="920" spans="1:14" ht="15" customHeight="1" x14ac:dyDescent="0.2">
      <c r="A920" s="4" t="str">
        <f>'Raw Data'!A920</f>
        <v>ORD200918</v>
      </c>
      <c r="B920" s="6">
        <f>'Raw Data'!B920</f>
        <v>45832</v>
      </c>
      <c r="C920" s="4" t="str">
        <f>'Raw Data'!C920</f>
        <v>C74359</v>
      </c>
      <c r="D920" s="4" t="str">
        <f>'Raw Data'!D920</f>
        <v>Laptop</v>
      </c>
      <c r="E920" s="4">
        <f>'Raw Data'!E920</f>
        <v>5</v>
      </c>
      <c r="F920" s="4">
        <f>'Raw Data'!F920</f>
        <v>368.25</v>
      </c>
      <c r="G920" s="4" t="str">
        <f>'Raw Data'!G920</f>
        <v>706 Main St</v>
      </c>
      <c r="H920" s="4" t="str">
        <f>'Raw Data'!H920</f>
        <v>Online</v>
      </c>
      <c r="I920" s="4" t="str">
        <f>'Raw Data'!I920</f>
        <v>Delivered</v>
      </c>
      <c r="J920" s="4" t="str">
        <f>'Raw Data'!J920</f>
        <v>TRK18250450</v>
      </c>
      <c r="K920" s="4">
        <f>'Raw Data'!K920</f>
        <v>5</v>
      </c>
      <c r="L920" s="4" t="str">
        <f>IF('Raw Data'!L920="","No Coupon",'Raw Data'!L920)</f>
        <v>No Coupon</v>
      </c>
      <c r="M920" s="4" t="str">
        <f>'Raw Data'!M920</f>
        <v>Instagram</v>
      </c>
      <c r="N920" s="4">
        <f>'Raw Data'!N920</f>
        <v>1841.25</v>
      </c>
    </row>
    <row r="921" spans="1:14" ht="15" customHeight="1" x14ac:dyDescent="0.2">
      <c r="A921" s="4" t="str">
        <f>'Raw Data'!A921</f>
        <v>ORD200919</v>
      </c>
      <c r="B921" s="6">
        <f>'Raw Data'!B921</f>
        <v>45695</v>
      </c>
      <c r="C921" s="4" t="str">
        <f>'Raw Data'!C921</f>
        <v>C92086</v>
      </c>
      <c r="D921" s="4" t="str">
        <f>'Raw Data'!D921</f>
        <v>Printer</v>
      </c>
      <c r="E921" s="4">
        <f>'Raw Data'!E921</f>
        <v>2</v>
      </c>
      <c r="F921" s="4">
        <f>'Raw Data'!F921</f>
        <v>374.6</v>
      </c>
      <c r="G921" s="4" t="str">
        <f>'Raw Data'!G921</f>
        <v>187 Main St</v>
      </c>
      <c r="H921" s="4" t="str">
        <f>'Raw Data'!H921</f>
        <v>Online</v>
      </c>
      <c r="I921" s="4" t="str">
        <f>'Raw Data'!I921</f>
        <v>Shipped</v>
      </c>
      <c r="J921" s="4" t="str">
        <f>'Raw Data'!J921</f>
        <v>TRK23357668</v>
      </c>
      <c r="K921" s="4">
        <f>'Raw Data'!K921</f>
        <v>3</v>
      </c>
      <c r="L921" s="4" t="str">
        <f>IF('Raw Data'!L921="","No Coupon",'Raw Data'!L921)</f>
        <v>FREESHIP</v>
      </c>
      <c r="M921" s="4" t="str">
        <f>'Raw Data'!M921</f>
        <v>Referral</v>
      </c>
      <c r="N921" s="4">
        <f>'Raw Data'!N921</f>
        <v>749.2</v>
      </c>
    </row>
    <row r="922" spans="1:14" ht="15" customHeight="1" x14ac:dyDescent="0.2">
      <c r="A922" s="4" t="str">
        <f>'Raw Data'!A922</f>
        <v>ORD200920</v>
      </c>
      <c r="B922" s="6">
        <f>'Raw Data'!B922</f>
        <v>45728</v>
      </c>
      <c r="C922" s="4" t="str">
        <f>'Raw Data'!C922</f>
        <v>C26137</v>
      </c>
      <c r="D922" s="4" t="str">
        <f>'Raw Data'!D922</f>
        <v>Tablet</v>
      </c>
      <c r="E922" s="4">
        <f>'Raw Data'!E922</f>
        <v>2</v>
      </c>
      <c r="F922" s="4">
        <f>'Raw Data'!F922</f>
        <v>428.09</v>
      </c>
      <c r="G922" s="4" t="str">
        <f>'Raw Data'!G922</f>
        <v>978 Main St</v>
      </c>
      <c r="H922" s="4" t="str">
        <f>'Raw Data'!H922</f>
        <v>Credit Card</v>
      </c>
      <c r="I922" s="4" t="str">
        <f>'Raw Data'!I922</f>
        <v>Returned</v>
      </c>
      <c r="J922" s="4" t="str">
        <f>'Raw Data'!J922</f>
        <v>TRK98110407</v>
      </c>
      <c r="K922" s="4">
        <f>'Raw Data'!K922</f>
        <v>6</v>
      </c>
      <c r="L922" s="4" t="str">
        <f>IF('Raw Data'!L922="","No Coupon",'Raw Data'!L922)</f>
        <v>No Coupon</v>
      </c>
      <c r="M922" s="4" t="str">
        <f>'Raw Data'!M922</f>
        <v>Instagram</v>
      </c>
      <c r="N922" s="4">
        <f>'Raw Data'!N922</f>
        <v>856.18</v>
      </c>
    </row>
    <row r="923" spans="1:14" ht="15" customHeight="1" x14ac:dyDescent="0.2">
      <c r="A923" s="4" t="str">
        <f>'Raw Data'!A923</f>
        <v>ORD200921</v>
      </c>
      <c r="B923" s="6">
        <f>'Raw Data'!B923</f>
        <v>45131</v>
      </c>
      <c r="C923" s="4" t="str">
        <f>'Raw Data'!C923</f>
        <v>C90573</v>
      </c>
      <c r="D923" s="4" t="str">
        <f>'Raw Data'!D923</f>
        <v>Tablet</v>
      </c>
      <c r="E923" s="4">
        <f>'Raw Data'!E923</f>
        <v>1</v>
      </c>
      <c r="F923" s="4">
        <f>'Raw Data'!F923</f>
        <v>438.93</v>
      </c>
      <c r="G923" s="4" t="str">
        <f>'Raw Data'!G923</f>
        <v>144 Main St</v>
      </c>
      <c r="H923" s="4" t="str">
        <f>'Raw Data'!H923</f>
        <v>Gift Card</v>
      </c>
      <c r="I923" s="4" t="str">
        <f>'Raw Data'!I923</f>
        <v>Cancelled</v>
      </c>
      <c r="J923" s="4" t="str">
        <f>'Raw Data'!J923</f>
        <v>TRK90075720</v>
      </c>
      <c r="K923" s="4">
        <f>'Raw Data'!K923</f>
        <v>3</v>
      </c>
      <c r="L923" s="4" t="str">
        <f>IF('Raw Data'!L923="","No Coupon",'Raw Data'!L923)</f>
        <v>SAVE10</v>
      </c>
      <c r="M923" s="4" t="str">
        <f>'Raw Data'!M923</f>
        <v>Referral</v>
      </c>
      <c r="N923" s="4">
        <f>'Raw Data'!N923</f>
        <v>438.93</v>
      </c>
    </row>
    <row r="924" spans="1:14" ht="15" customHeight="1" x14ac:dyDescent="0.2">
      <c r="A924" s="4" t="str">
        <f>'Raw Data'!A924</f>
        <v>ORD200922</v>
      </c>
      <c r="B924" s="6">
        <f>'Raw Data'!B924</f>
        <v>45460</v>
      </c>
      <c r="C924" s="4" t="str">
        <f>'Raw Data'!C924</f>
        <v>C81857</v>
      </c>
      <c r="D924" s="4" t="str">
        <f>'Raw Data'!D924</f>
        <v>Desk</v>
      </c>
      <c r="E924" s="4">
        <f>'Raw Data'!E924</f>
        <v>2</v>
      </c>
      <c r="F924" s="4">
        <f>'Raw Data'!F924</f>
        <v>563.82000000000005</v>
      </c>
      <c r="G924" s="4" t="str">
        <f>'Raw Data'!G924</f>
        <v>487 Main St</v>
      </c>
      <c r="H924" s="4" t="str">
        <f>'Raw Data'!H924</f>
        <v>Credit Card</v>
      </c>
      <c r="I924" s="4" t="str">
        <f>'Raw Data'!I924</f>
        <v>Pending</v>
      </c>
      <c r="J924" s="4" t="str">
        <f>'Raw Data'!J924</f>
        <v>TRK79737732</v>
      </c>
      <c r="K924" s="4">
        <f>'Raw Data'!K924</f>
        <v>3</v>
      </c>
      <c r="L924" s="4" t="str">
        <f>IF('Raw Data'!L924="","No Coupon",'Raw Data'!L924)</f>
        <v>No Coupon</v>
      </c>
      <c r="M924" s="4" t="str">
        <f>'Raw Data'!M924</f>
        <v>Instagram</v>
      </c>
      <c r="N924" s="4">
        <f>'Raw Data'!N924</f>
        <v>1127.6400000000001</v>
      </c>
    </row>
    <row r="925" spans="1:14" ht="15" customHeight="1" x14ac:dyDescent="0.2">
      <c r="A925" s="4" t="str">
        <f>'Raw Data'!A925</f>
        <v>ORD200923</v>
      </c>
      <c r="B925" s="6">
        <f>'Raw Data'!B925</f>
        <v>44968</v>
      </c>
      <c r="C925" s="4" t="str">
        <f>'Raw Data'!C925</f>
        <v>C91582</v>
      </c>
      <c r="D925" s="4" t="str">
        <f>'Raw Data'!D925</f>
        <v>Printer</v>
      </c>
      <c r="E925" s="4">
        <f>'Raw Data'!E925</f>
        <v>3</v>
      </c>
      <c r="F925" s="4">
        <f>'Raw Data'!F925</f>
        <v>649.92999999999995</v>
      </c>
      <c r="G925" s="4" t="str">
        <f>'Raw Data'!G925</f>
        <v>836 Main St</v>
      </c>
      <c r="H925" s="4" t="str">
        <f>'Raw Data'!H925</f>
        <v>Credit Card</v>
      </c>
      <c r="I925" s="4" t="str">
        <f>'Raw Data'!I925</f>
        <v>Pending</v>
      </c>
      <c r="J925" s="4" t="str">
        <f>'Raw Data'!J925</f>
        <v>TRK99938245</v>
      </c>
      <c r="K925" s="4">
        <f>'Raw Data'!K925</f>
        <v>7</v>
      </c>
      <c r="L925" s="4" t="str">
        <f>IF('Raw Data'!L925="","No Coupon",'Raw Data'!L925)</f>
        <v>WINTER15</v>
      </c>
      <c r="M925" s="4" t="str">
        <f>'Raw Data'!M925</f>
        <v>Facebook</v>
      </c>
      <c r="N925" s="4">
        <f>'Raw Data'!N925</f>
        <v>1949.79</v>
      </c>
    </row>
    <row r="926" spans="1:14" ht="15" customHeight="1" x14ac:dyDescent="0.2">
      <c r="A926" s="4" t="str">
        <f>'Raw Data'!A926</f>
        <v>ORD200924</v>
      </c>
      <c r="B926" s="6">
        <f>'Raw Data'!B926</f>
        <v>45738</v>
      </c>
      <c r="C926" s="4" t="str">
        <f>'Raw Data'!C926</f>
        <v>C81319</v>
      </c>
      <c r="D926" s="4" t="str">
        <f>'Raw Data'!D926</f>
        <v>Printer</v>
      </c>
      <c r="E926" s="4">
        <f>'Raw Data'!E926</f>
        <v>5</v>
      </c>
      <c r="F926" s="4">
        <f>'Raw Data'!F926</f>
        <v>268.43</v>
      </c>
      <c r="G926" s="4" t="str">
        <f>'Raw Data'!G926</f>
        <v>991 Main St</v>
      </c>
      <c r="H926" s="4" t="str">
        <f>'Raw Data'!H926</f>
        <v>Cash</v>
      </c>
      <c r="I926" s="4" t="str">
        <f>'Raw Data'!I926</f>
        <v>Returned</v>
      </c>
      <c r="J926" s="4" t="str">
        <f>'Raw Data'!J926</f>
        <v>TRK55330558</v>
      </c>
      <c r="K926" s="4">
        <f>'Raw Data'!K926</f>
        <v>5</v>
      </c>
      <c r="L926" s="4" t="str">
        <f>IF('Raw Data'!L926="","No Coupon",'Raw Data'!L926)</f>
        <v>SAVE10</v>
      </c>
      <c r="M926" s="4" t="str">
        <f>'Raw Data'!M926</f>
        <v>Email</v>
      </c>
      <c r="N926" s="4">
        <f>'Raw Data'!N926</f>
        <v>1342.15</v>
      </c>
    </row>
    <row r="927" spans="1:14" ht="15" customHeight="1" x14ac:dyDescent="0.2">
      <c r="A927" s="4" t="str">
        <f>'Raw Data'!A927</f>
        <v>ORD200925</v>
      </c>
      <c r="B927" s="6">
        <f>'Raw Data'!B927</f>
        <v>45646</v>
      </c>
      <c r="C927" s="4" t="str">
        <f>'Raw Data'!C927</f>
        <v>C78500</v>
      </c>
      <c r="D927" s="4" t="str">
        <f>'Raw Data'!D927</f>
        <v>Monitor</v>
      </c>
      <c r="E927" s="4">
        <f>'Raw Data'!E927</f>
        <v>5</v>
      </c>
      <c r="F927" s="4">
        <f>'Raw Data'!F927</f>
        <v>502.47</v>
      </c>
      <c r="G927" s="4" t="str">
        <f>'Raw Data'!G927</f>
        <v>304 Main St</v>
      </c>
      <c r="H927" s="4" t="str">
        <f>'Raw Data'!H927</f>
        <v>Online</v>
      </c>
      <c r="I927" s="4" t="str">
        <f>'Raw Data'!I927</f>
        <v>Shipped</v>
      </c>
      <c r="J927" s="4" t="str">
        <f>'Raw Data'!J927</f>
        <v>TRK97460884</v>
      </c>
      <c r="K927" s="4">
        <f>'Raw Data'!K927</f>
        <v>10</v>
      </c>
      <c r="L927" s="4" t="str">
        <f>IF('Raw Data'!L927="","No Coupon",'Raw Data'!L927)</f>
        <v>WINTER15</v>
      </c>
      <c r="M927" s="4" t="str">
        <f>'Raw Data'!M927</f>
        <v>Email</v>
      </c>
      <c r="N927" s="4">
        <f>'Raw Data'!N927</f>
        <v>2512.35</v>
      </c>
    </row>
    <row r="928" spans="1:14" ht="15" customHeight="1" x14ac:dyDescent="0.2">
      <c r="A928" s="4" t="str">
        <f>'Raw Data'!A928</f>
        <v>ORD200926</v>
      </c>
      <c r="B928" s="6">
        <f>'Raw Data'!B928</f>
        <v>45371</v>
      </c>
      <c r="C928" s="4" t="str">
        <f>'Raw Data'!C928</f>
        <v>C67533</v>
      </c>
      <c r="D928" s="4" t="str">
        <f>'Raw Data'!D928</f>
        <v>Desk</v>
      </c>
      <c r="E928" s="4">
        <f>'Raw Data'!E928</f>
        <v>1</v>
      </c>
      <c r="F928" s="4">
        <f>'Raw Data'!F928</f>
        <v>26.95</v>
      </c>
      <c r="G928" s="4" t="str">
        <f>'Raw Data'!G928</f>
        <v>672 Main St</v>
      </c>
      <c r="H928" s="4" t="str">
        <f>'Raw Data'!H928</f>
        <v>Cash</v>
      </c>
      <c r="I928" s="4" t="str">
        <f>'Raw Data'!I928</f>
        <v>Delivered</v>
      </c>
      <c r="J928" s="4" t="str">
        <f>'Raw Data'!J928</f>
        <v>TRK14566395</v>
      </c>
      <c r="K928" s="4">
        <f>'Raw Data'!K928</f>
        <v>1</v>
      </c>
      <c r="L928" s="4" t="str">
        <f>IF('Raw Data'!L928="","No Coupon",'Raw Data'!L928)</f>
        <v>WINTER15</v>
      </c>
      <c r="M928" s="4" t="str">
        <f>'Raw Data'!M928</f>
        <v>Email</v>
      </c>
      <c r="N928" s="4">
        <f>'Raw Data'!N928</f>
        <v>26.95</v>
      </c>
    </row>
    <row r="929" spans="1:14" ht="15" customHeight="1" x14ac:dyDescent="0.2">
      <c r="A929" s="4" t="str">
        <f>'Raw Data'!A929</f>
        <v>ORD200927</v>
      </c>
      <c r="B929" s="6">
        <f>'Raw Data'!B929</f>
        <v>44971</v>
      </c>
      <c r="C929" s="4" t="str">
        <f>'Raw Data'!C929</f>
        <v>C35566</v>
      </c>
      <c r="D929" s="4" t="str">
        <f>'Raw Data'!D929</f>
        <v>Laptop</v>
      </c>
      <c r="E929" s="4">
        <f>'Raw Data'!E929</f>
        <v>4</v>
      </c>
      <c r="F929" s="4">
        <f>'Raw Data'!F929</f>
        <v>64.69</v>
      </c>
      <c r="G929" s="4" t="str">
        <f>'Raw Data'!G929</f>
        <v>638 Main St</v>
      </c>
      <c r="H929" s="4" t="str">
        <f>'Raw Data'!H929</f>
        <v>Debit Card</v>
      </c>
      <c r="I929" s="4" t="str">
        <f>'Raw Data'!I929</f>
        <v>Shipped</v>
      </c>
      <c r="J929" s="4" t="str">
        <f>'Raw Data'!J929</f>
        <v>TRK10003020</v>
      </c>
      <c r="K929" s="4">
        <f>'Raw Data'!K929</f>
        <v>7</v>
      </c>
      <c r="L929" s="4" t="str">
        <f>IF('Raw Data'!L929="","No Coupon",'Raw Data'!L929)</f>
        <v>WINTER15</v>
      </c>
      <c r="M929" s="4" t="str">
        <f>'Raw Data'!M929</f>
        <v>Google</v>
      </c>
      <c r="N929" s="4">
        <f>'Raw Data'!N929</f>
        <v>258.76</v>
      </c>
    </row>
    <row r="930" spans="1:14" ht="15" customHeight="1" x14ac:dyDescent="0.2">
      <c r="A930" s="4" t="str">
        <f>'Raw Data'!A930</f>
        <v>ORD200928</v>
      </c>
      <c r="B930" s="6">
        <f>'Raw Data'!B930</f>
        <v>45421</v>
      </c>
      <c r="C930" s="4" t="str">
        <f>'Raw Data'!C930</f>
        <v>C77166</v>
      </c>
      <c r="D930" s="4" t="str">
        <f>'Raw Data'!D930</f>
        <v>Laptop</v>
      </c>
      <c r="E930" s="4">
        <f>'Raw Data'!E930</f>
        <v>3</v>
      </c>
      <c r="F930" s="4">
        <f>'Raw Data'!F930</f>
        <v>247.11</v>
      </c>
      <c r="G930" s="4" t="str">
        <f>'Raw Data'!G930</f>
        <v>821 Main St</v>
      </c>
      <c r="H930" s="4" t="str">
        <f>'Raw Data'!H930</f>
        <v>Debit Card</v>
      </c>
      <c r="I930" s="4" t="str">
        <f>'Raw Data'!I930</f>
        <v>Returned</v>
      </c>
      <c r="J930" s="4" t="str">
        <f>'Raw Data'!J930</f>
        <v>TRK18896595</v>
      </c>
      <c r="K930" s="4">
        <f>'Raw Data'!K930</f>
        <v>3</v>
      </c>
      <c r="L930" s="4" t="str">
        <f>IF('Raw Data'!L930="","No Coupon",'Raw Data'!L930)</f>
        <v>WINTER15</v>
      </c>
      <c r="M930" s="4" t="str">
        <f>'Raw Data'!M930</f>
        <v>Referral</v>
      </c>
      <c r="N930" s="4">
        <f>'Raw Data'!N930</f>
        <v>741.33</v>
      </c>
    </row>
    <row r="931" spans="1:14" ht="15" customHeight="1" x14ac:dyDescent="0.2">
      <c r="A931" s="4" t="str">
        <f>'Raw Data'!A931</f>
        <v>ORD200929</v>
      </c>
      <c r="B931" s="6">
        <f>'Raw Data'!B931</f>
        <v>45581</v>
      </c>
      <c r="C931" s="4" t="str">
        <f>'Raw Data'!C931</f>
        <v>C67936</v>
      </c>
      <c r="D931" s="4" t="str">
        <f>'Raw Data'!D931</f>
        <v>Tablet</v>
      </c>
      <c r="E931" s="4">
        <f>'Raw Data'!E931</f>
        <v>2</v>
      </c>
      <c r="F931" s="4">
        <f>'Raw Data'!F931</f>
        <v>536.25</v>
      </c>
      <c r="G931" s="4" t="str">
        <f>'Raw Data'!G931</f>
        <v>553 Main St</v>
      </c>
      <c r="H931" s="4" t="str">
        <f>'Raw Data'!H931</f>
        <v>Debit Card</v>
      </c>
      <c r="I931" s="4" t="str">
        <f>'Raw Data'!I931</f>
        <v>Pending</v>
      </c>
      <c r="J931" s="4" t="str">
        <f>'Raw Data'!J931</f>
        <v>TRK71803414</v>
      </c>
      <c r="K931" s="4">
        <f>'Raw Data'!K931</f>
        <v>3</v>
      </c>
      <c r="L931" s="4" t="str">
        <f>IF('Raw Data'!L931="","No Coupon",'Raw Data'!L931)</f>
        <v>No Coupon</v>
      </c>
      <c r="M931" s="4" t="str">
        <f>'Raw Data'!M931</f>
        <v>Email</v>
      </c>
      <c r="N931" s="4">
        <f>'Raw Data'!N931</f>
        <v>1072.5</v>
      </c>
    </row>
    <row r="932" spans="1:14" ht="15" customHeight="1" x14ac:dyDescent="0.2">
      <c r="A932" s="4" t="str">
        <f>'Raw Data'!A932</f>
        <v>ORD200930</v>
      </c>
      <c r="B932" s="6">
        <f>'Raw Data'!B932</f>
        <v>45642</v>
      </c>
      <c r="C932" s="4" t="str">
        <f>'Raw Data'!C932</f>
        <v>C59554</v>
      </c>
      <c r="D932" s="4" t="str">
        <f>'Raw Data'!D932</f>
        <v>Phone</v>
      </c>
      <c r="E932" s="4">
        <f>'Raw Data'!E932</f>
        <v>2</v>
      </c>
      <c r="F932" s="4">
        <f>'Raw Data'!F932</f>
        <v>456.04</v>
      </c>
      <c r="G932" s="4" t="str">
        <f>'Raw Data'!G932</f>
        <v>382 Main St</v>
      </c>
      <c r="H932" s="4" t="str">
        <f>'Raw Data'!H932</f>
        <v>Debit Card</v>
      </c>
      <c r="I932" s="4" t="str">
        <f>'Raw Data'!I932</f>
        <v>Returned</v>
      </c>
      <c r="J932" s="4" t="str">
        <f>'Raw Data'!J932</f>
        <v>TRK28182447</v>
      </c>
      <c r="K932" s="4">
        <f>'Raw Data'!K932</f>
        <v>4</v>
      </c>
      <c r="L932" s="4" t="str">
        <f>IF('Raw Data'!L932="","No Coupon",'Raw Data'!L932)</f>
        <v>FREESHIP</v>
      </c>
      <c r="M932" s="4" t="str">
        <f>'Raw Data'!M932</f>
        <v>Email</v>
      </c>
      <c r="N932" s="4">
        <f>'Raw Data'!N932</f>
        <v>912.08</v>
      </c>
    </row>
    <row r="933" spans="1:14" ht="15" customHeight="1" x14ac:dyDescent="0.2">
      <c r="A933" s="4" t="str">
        <f>'Raw Data'!A933</f>
        <v>ORD200931</v>
      </c>
      <c r="B933" s="6">
        <f>'Raw Data'!B933</f>
        <v>45292</v>
      </c>
      <c r="C933" s="4" t="str">
        <f>'Raw Data'!C933</f>
        <v>C14005</v>
      </c>
      <c r="D933" s="4" t="str">
        <f>'Raw Data'!D933</f>
        <v>Printer</v>
      </c>
      <c r="E933" s="4">
        <f>'Raw Data'!E933</f>
        <v>2</v>
      </c>
      <c r="F933" s="4">
        <f>'Raw Data'!F933</f>
        <v>40.229999999999997</v>
      </c>
      <c r="G933" s="4" t="str">
        <f>'Raw Data'!G933</f>
        <v>623 Main St</v>
      </c>
      <c r="H933" s="4" t="str">
        <f>'Raw Data'!H933</f>
        <v>Credit Card</v>
      </c>
      <c r="I933" s="4" t="str">
        <f>'Raw Data'!I933</f>
        <v>Cancelled</v>
      </c>
      <c r="J933" s="4" t="str">
        <f>'Raw Data'!J933</f>
        <v>TRK87567926</v>
      </c>
      <c r="K933" s="4">
        <f>'Raw Data'!K933</f>
        <v>4</v>
      </c>
      <c r="L933" s="4" t="str">
        <f>IF('Raw Data'!L933="","No Coupon",'Raw Data'!L933)</f>
        <v>SAVE10</v>
      </c>
      <c r="M933" s="4" t="str">
        <f>'Raw Data'!M933</f>
        <v>Google</v>
      </c>
      <c r="N933" s="4">
        <f>'Raw Data'!N933</f>
        <v>80.459999999999994</v>
      </c>
    </row>
    <row r="934" spans="1:14" ht="15" customHeight="1" x14ac:dyDescent="0.2">
      <c r="A934" s="4" t="str">
        <f>'Raw Data'!A934</f>
        <v>ORD200932</v>
      </c>
      <c r="B934" s="6">
        <f>'Raw Data'!B934</f>
        <v>45011</v>
      </c>
      <c r="C934" s="4" t="str">
        <f>'Raw Data'!C934</f>
        <v>C26118</v>
      </c>
      <c r="D934" s="4" t="str">
        <f>'Raw Data'!D934</f>
        <v>Laptop</v>
      </c>
      <c r="E934" s="4">
        <f>'Raw Data'!E934</f>
        <v>2</v>
      </c>
      <c r="F934" s="4">
        <f>'Raw Data'!F934</f>
        <v>72.39</v>
      </c>
      <c r="G934" s="4" t="str">
        <f>'Raw Data'!G934</f>
        <v>168 Main St</v>
      </c>
      <c r="H934" s="4" t="str">
        <f>'Raw Data'!H934</f>
        <v>Online</v>
      </c>
      <c r="I934" s="4" t="str">
        <f>'Raw Data'!I934</f>
        <v>Delivered</v>
      </c>
      <c r="J934" s="4" t="str">
        <f>'Raw Data'!J934</f>
        <v>TRK15334251</v>
      </c>
      <c r="K934" s="4">
        <f>'Raw Data'!K934</f>
        <v>7</v>
      </c>
      <c r="L934" s="4" t="str">
        <f>IF('Raw Data'!L934="","No Coupon",'Raw Data'!L934)</f>
        <v>WINTER15</v>
      </c>
      <c r="M934" s="4" t="str">
        <f>'Raw Data'!M934</f>
        <v>Instagram</v>
      </c>
      <c r="N934" s="4">
        <f>'Raw Data'!N934</f>
        <v>144.78</v>
      </c>
    </row>
    <row r="935" spans="1:14" ht="15" customHeight="1" x14ac:dyDescent="0.2">
      <c r="A935" s="4" t="str">
        <f>'Raw Data'!A935</f>
        <v>ORD200933</v>
      </c>
      <c r="B935" s="6">
        <f>'Raw Data'!B935</f>
        <v>44952</v>
      </c>
      <c r="C935" s="4" t="str">
        <f>'Raw Data'!C935</f>
        <v>C59685</v>
      </c>
      <c r="D935" s="4" t="str">
        <f>'Raw Data'!D935</f>
        <v>Monitor</v>
      </c>
      <c r="E935" s="4">
        <f>'Raw Data'!E935</f>
        <v>2</v>
      </c>
      <c r="F935" s="4">
        <f>'Raw Data'!F935</f>
        <v>394.16</v>
      </c>
      <c r="G935" s="4" t="str">
        <f>'Raw Data'!G935</f>
        <v>255 Main St</v>
      </c>
      <c r="H935" s="4" t="str">
        <f>'Raw Data'!H935</f>
        <v>Online</v>
      </c>
      <c r="I935" s="4" t="str">
        <f>'Raw Data'!I935</f>
        <v>Shipped</v>
      </c>
      <c r="J935" s="4" t="str">
        <f>'Raw Data'!J935</f>
        <v>TRK43718093</v>
      </c>
      <c r="K935" s="4">
        <f>'Raw Data'!K935</f>
        <v>2</v>
      </c>
      <c r="L935" s="4" t="str">
        <f>IF('Raw Data'!L935="","No Coupon",'Raw Data'!L935)</f>
        <v>No Coupon</v>
      </c>
      <c r="M935" s="4" t="str">
        <f>'Raw Data'!M935</f>
        <v>Referral</v>
      </c>
      <c r="N935" s="4">
        <f>'Raw Data'!N935</f>
        <v>788.32</v>
      </c>
    </row>
    <row r="936" spans="1:14" ht="15" customHeight="1" x14ac:dyDescent="0.2">
      <c r="A936" s="4" t="str">
        <f>'Raw Data'!A936</f>
        <v>ORD200934</v>
      </c>
      <c r="B936" s="6">
        <f>'Raw Data'!B936</f>
        <v>45809</v>
      </c>
      <c r="C936" s="4" t="str">
        <f>'Raw Data'!C936</f>
        <v>C40304</v>
      </c>
      <c r="D936" s="4" t="str">
        <f>'Raw Data'!D936</f>
        <v>Laptop</v>
      </c>
      <c r="E936" s="4">
        <f>'Raw Data'!E936</f>
        <v>4</v>
      </c>
      <c r="F936" s="4">
        <f>'Raw Data'!F936</f>
        <v>119.84</v>
      </c>
      <c r="G936" s="4" t="str">
        <f>'Raw Data'!G936</f>
        <v>692 Main St</v>
      </c>
      <c r="H936" s="4" t="str">
        <f>'Raw Data'!H936</f>
        <v>Gift Card</v>
      </c>
      <c r="I936" s="4" t="str">
        <f>'Raw Data'!I936</f>
        <v>Shipped</v>
      </c>
      <c r="J936" s="4" t="str">
        <f>'Raw Data'!J936</f>
        <v>TRK85790948</v>
      </c>
      <c r="K936" s="4">
        <f>'Raw Data'!K936</f>
        <v>8</v>
      </c>
      <c r="L936" s="4" t="str">
        <f>IF('Raw Data'!L936="","No Coupon",'Raw Data'!L936)</f>
        <v>FREESHIP</v>
      </c>
      <c r="M936" s="4" t="str">
        <f>'Raw Data'!M936</f>
        <v>Referral</v>
      </c>
      <c r="N936" s="4">
        <f>'Raw Data'!N936</f>
        <v>479.36</v>
      </c>
    </row>
    <row r="937" spans="1:14" ht="15" customHeight="1" x14ac:dyDescent="0.2">
      <c r="A937" s="4" t="str">
        <f>'Raw Data'!A937</f>
        <v>ORD200935</v>
      </c>
      <c r="B937" s="6">
        <f>'Raw Data'!B937</f>
        <v>45254</v>
      </c>
      <c r="C937" s="4" t="str">
        <f>'Raw Data'!C937</f>
        <v>C39593</v>
      </c>
      <c r="D937" s="4" t="str">
        <f>'Raw Data'!D937</f>
        <v>Phone</v>
      </c>
      <c r="E937" s="4">
        <f>'Raw Data'!E937</f>
        <v>3</v>
      </c>
      <c r="F937" s="4">
        <f>'Raw Data'!F937</f>
        <v>692.71</v>
      </c>
      <c r="G937" s="4" t="str">
        <f>'Raw Data'!G937</f>
        <v>398 Main St</v>
      </c>
      <c r="H937" s="4" t="str">
        <f>'Raw Data'!H937</f>
        <v>Credit Card</v>
      </c>
      <c r="I937" s="4" t="str">
        <f>'Raw Data'!I937</f>
        <v>Delivered</v>
      </c>
      <c r="J937" s="4" t="str">
        <f>'Raw Data'!J937</f>
        <v>TRK62405253</v>
      </c>
      <c r="K937" s="4">
        <f>'Raw Data'!K937</f>
        <v>3</v>
      </c>
      <c r="L937" s="4" t="str">
        <f>IF('Raw Data'!L937="","No Coupon",'Raw Data'!L937)</f>
        <v>FREESHIP</v>
      </c>
      <c r="M937" s="4" t="str">
        <f>'Raw Data'!M937</f>
        <v>Instagram</v>
      </c>
      <c r="N937" s="4">
        <f>'Raw Data'!N937</f>
        <v>2078.13</v>
      </c>
    </row>
    <row r="938" spans="1:14" ht="15" customHeight="1" x14ac:dyDescent="0.2">
      <c r="A938" s="4" t="str">
        <f>'Raw Data'!A938</f>
        <v>ORD200936</v>
      </c>
      <c r="B938" s="6">
        <f>'Raw Data'!B938</f>
        <v>45303</v>
      </c>
      <c r="C938" s="4" t="str">
        <f>'Raw Data'!C938</f>
        <v>C50612</v>
      </c>
      <c r="D938" s="4" t="str">
        <f>'Raw Data'!D938</f>
        <v>Chair</v>
      </c>
      <c r="E938" s="4">
        <f>'Raw Data'!E938</f>
        <v>4</v>
      </c>
      <c r="F938" s="4">
        <f>'Raw Data'!F938</f>
        <v>56.66</v>
      </c>
      <c r="G938" s="4" t="str">
        <f>'Raw Data'!G938</f>
        <v>737 Main St</v>
      </c>
      <c r="H938" s="4" t="str">
        <f>'Raw Data'!H938</f>
        <v>Online</v>
      </c>
      <c r="I938" s="4" t="str">
        <f>'Raw Data'!I938</f>
        <v>Delivered</v>
      </c>
      <c r="J938" s="4" t="str">
        <f>'Raw Data'!J938</f>
        <v>TRK44140968</v>
      </c>
      <c r="K938" s="4">
        <f>'Raw Data'!K938</f>
        <v>4</v>
      </c>
      <c r="L938" s="4" t="str">
        <f>IF('Raw Data'!L938="","No Coupon",'Raw Data'!L938)</f>
        <v>SAVE10</v>
      </c>
      <c r="M938" s="4" t="str">
        <f>'Raw Data'!M938</f>
        <v>Instagram</v>
      </c>
      <c r="N938" s="4">
        <f>'Raw Data'!N938</f>
        <v>226.64</v>
      </c>
    </row>
    <row r="939" spans="1:14" ht="15" customHeight="1" x14ac:dyDescent="0.2">
      <c r="A939" s="4" t="str">
        <f>'Raw Data'!A939</f>
        <v>ORD200937</v>
      </c>
      <c r="B939" s="6">
        <f>'Raw Data'!B939</f>
        <v>45307</v>
      </c>
      <c r="C939" s="4" t="str">
        <f>'Raw Data'!C939</f>
        <v>C39791</v>
      </c>
      <c r="D939" s="4" t="str">
        <f>'Raw Data'!D939</f>
        <v>Chair</v>
      </c>
      <c r="E939" s="4">
        <f>'Raw Data'!E939</f>
        <v>2</v>
      </c>
      <c r="F939" s="4">
        <f>'Raw Data'!F939</f>
        <v>298.52999999999997</v>
      </c>
      <c r="G939" s="4" t="str">
        <f>'Raw Data'!G939</f>
        <v>536 Main St</v>
      </c>
      <c r="H939" s="4" t="str">
        <f>'Raw Data'!H939</f>
        <v>Debit Card</v>
      </c>
      <c r="I939" s="4" t="str">
        <f>'Raw Data'!I939</f>
        <v>Cancelled</v>
      </c>
      <c r="J939" s="4" t="str">
        <f>'Raw Data'!J939</f>
        <v>TRK46221436</v>
      </c>
      <c r="K939" s="4">
        <f>'Raw Data'!K939</f>
        <v>5</v>
      </c>
      <c r="L939" s="4" t="str">
        <f>IF('Raw Data'!L939="","No Coupon",'Raw Data'!L939)</f>
        <v>WINTER15</v>
      </c>
      <c r="M939" s="4" t="str">
        <f>'Raw Data'!M939</f>
        <v>Email</v>
      </c>
      <c r="N939" s="4">
        <f>'Raw Data'!N939</f>
        <v>597.05999999999995</v>
      </c>
    </row>
    <row r="940" spans="1:14" ht="15" customHeight="1" x14ac:dyDescent="0.2">
      <c r="A940" s="4" t="str">
        <f>'Raw Data'!A940</f>
        <v>ORD200938</v>
      </c>
      <c r="B940" s="6">
        <f>'Raw Data'!B940</f>
        <v>45119</v>
      </c>
      <c r="C940" s="4" t="str">
        <f>'Raw Data'!C940</f>
        <v>C39017</v>
      </c>
      <c r="D940" s="4" t="str">
        <f>'Raw Data'!D940</f>
        <v>Chair</v>
      </c>
      <c r="E940" s="4">
        <f>'Raw Data'!E940</f>
        <v>3</v>
      </c>
      <c r="F940" s="4">
        <f>'Raw Data'!F940</f>
        <v>331.46</v>
      </c>
      <c r="G940" s="4" t="str">
        <f>'Raw Data'!G940</f>
        <v>696 Main St</v>
      </c>
      <c r="H940" s="4" t="str">
        <f>'Raw Data'!H940</f>
        <v>Credit Card</v>
      </c>
      <c r="I940" s="4" t="str">
        <f>'Raw Data'!I940</f>
        <v>Cancelled</v>
      </c>
      <c r="J940" s="4" t="str">
        <f>'Raw Data'!J940</f>
        <v>TRK91155214</v>
      </c>
      <c r="K940" s="4">
        <f>'Raw Data'!K940</f>
        <v>6</v>
      </c>
      <c r="L940" s="4" t="str">
        <f>IF('Raw Data'!L940="","No Coupon",'Raw Data'!L940)</f>
        <v>WINTER15</v>
      </c>
      <c r="M940" s="4" t="str">
        <f>'Raw Data'!M940</f>
        <v>Referral</v>
      </c>
      <c r="N940" s="4">
        <f>'Raw Data'!N940</f>
        <v>994.38</v>
      </c>
    </row>
    <row r="941" spans="1:14" ht="15" customHeight="1" x14ac:dyDescent="0.2">
      <c r="A941" s="4" t="str">
        <f>'Raw Data'!A941</f>
        <v>ORD200939</v>
      </c>
      <c r="B941" s="6">
        <f>'Raw Data'!B941</f>
        <v>45763</v>
      </c>
      <c r="C941" s="4" t="str">
        <f>'Raw Data'!C941</f>
        <v>C48510</v>
      </c>
      <c r="D941" s="4" t="str">
        <f>'Raw Data'!D941</f>
        <v>Laptop</v>
      </c>
      <c r="E941" s="4">
        <f>'Raw Data'!E941</f>
        <v>2</v>
      </c>
      <c r="F941" s="4">
        <f>'Raw Data'!F941</f>
        <v>521.4</v>
      </c>
      <c r="G941" s="4" t="str">
        <f>'Raw Data'!G941</f>
        <v>212 Main St</v>
      </c>
      <c r="H941" s="4" t="str">
        <f>'Raw Data'!H941</f>
        <v>Cash</v>
      </c>
      <c r="I941" s="4" t="str">
        <f>'Raw Data'!I941</f>
        <v>Delivered</v>
      </c>
      <c r="J941" s="4" t="str">
        <f>'Raw Data'!J941</f>
        <v>TRK53152886</v>
      </c>
      <c r="K941" s="4">
        <f>'Raw Data'!K941</f>
        <v>7</v>
      </c>
      <c r="L941" s="4" t="str">
        <f>IF('Raw Data'!L941="","No Coupon",'Raw Data'!L941)</f>
        <v>SAVE10</v>
      </c>
      <c r="M941" s="4" t="str">
        <f>'Raw Data'!M941</f>
        <v>Instagram</v>
      </c>
      <c r="N941" s="4">
        <f>'Raw Data'!N941</f>
        <v>1042.8</v>
      </c>
    </row>
    <row r="942" spans="1:14" ht="15" customHeight="1" x14ac:dyDescent="0.2">
      <c r="A942" s="4" t="str">
        <f>'Raw Data'!A942</f>
        <v>ORD200940</v>
      </c>
      <c r="B942" s="6">
        <f>'Raw Data'!B942</f>
        <v>45012</v>
      </c>
      <c r="C942" s="4" t="str">
        <f>'Raw Data'!C942</f>
        <v>C74003</v>
      </c>
      <c r="D942" s="4" t="str">
        <f>'Raw Data'!D942</f>
        <v>Printer</v>
      </c>
      <c r="E942" s="4">
        <f>'Raw Data'!E942</f>
        <v>4</v>
      </c>
      <c r="F942" s="4">
        <f>'Raw Data'!F942</f>
        <v>305.32</v>
      </c>
      <c r="G942" s="4" t="str">
        <f>'Raw Data'!G942</f>
        <v>679 Main St</v>
      </c>
      <c r="H942" s="4" t="str">
        <f>'Raw Data'!H942</f>
        <v>Online</v>
      </c>
      <c r="I942" s="4" t="str">
        <f>'Raw Data'!I942</f>
        <v>Cancelled</v>
      </c>
      <c r="J942" s="4" t="str">
        <f>'Raw Data'!J942</f>
        <v>TRK91525779</v>
      </c>
      <c r="K942" s="4">
        <f>'Raw Data'!K942</f>
        <v>4</v>
      </c>
      <c r="L942" s="4" t="str">
        <f>IF('Raw Data'!L942="","No Coupon",'Raw Data'!L942)</f>
        <v>SAVE10</v>
      </c>
      <c r="M942" s="4" t="str">
        <f>'Raw Data'!M942</f>
        <v>Google</v>
      </c>
      <c r="N942" s="4">
        <f>'Raw Data'!N942</f>
        <v>1221.28</v>
      </c>
    </row>
    <row r="943" spans="1:14" ht="15" customHeight="1" x14ac:dyDescent="0.2">
      <c r="A943" s="4" t="str">
        <f>'Raw Data'!A943</f>
        <v>ORD200941</v>
      </c>
      <c r="B943" s="6">
        <f>'Raw Data'!B943</f>
        <v>45124</v>
      </c>
      <c r="C943" s="4" t="str">
        <f>'Raw Data'!C943</f>
        <v>C91155</v>
      </c>
      <c r="D943" s="4" t="str">
        <f>'Raw Data'!D943</f>
        <v>Printer</v>
      </c>
      <c r="E943" s="4">
        <f>'Raw Data'!E943</f>
        <v>5</v>
      </c>
      <c r="F943" s="4">
        <f>'Raw Data'!F943</f>
        <v>111.7</v>
      </c>
      <c r="G943" s="4" t="str">
        <f>'Raw Data'!G943</f>
        <v>599 Main St</v>
      </c>
      <c r="H943" s="4" t="str">
        <f>'Raw Data'!H943</f>
        <v>Credit Card</v>
      </c>
      <c r="I943" s="4" t="str">
        <f>'Raw Data'!I943</f>
        <v>Cancelled</v>
      </c>
      <c r="J943" s="4" t="str">
        <f>'Raw Data'!J943</f>
        <v>TRK82162952</v>
      </c>
      <c r="K943" s="4">
        <f>'Raw Data'!K943</f>
        <v>9</v>
      </c>
      <c r="L943" s="4" t="str">
        <f>IF('Raw Data'!L943="","No Coupon",'Raw Data'!L943)</f>
        <v>FREESHIP</v>
      </c>
      <c r="M943" s="4" t="str">
        <f>'Raw Data'!M943</f>
        <v>Email</v>
      </c>
      <c r="N943" s="4">
        <f>'Raw Data'!N943</f>
        <v>558.5</v>
      </c>
    </row>
    <row r="944" spans="1:14" ht="15" customHeight="1" x14ac:dyDescent="0.2">
      <c r="A944" s="4" t="str">
        <f>'Raw Data'!A944</f>
        <v>ORD200942</v>
      </c>
      <c r="B944" s="6">
        <f>'Raw Data'!B944</f>
        <v>45198</v>
      </c>
      <c r="C944" s="4" t="str">
        <f>'Raw Data'!C944</f>
        <v>C17591</v>
      </c>
      <c r="D944" s="4" t="str">
        <f>'Raw Data'!D944</f>
        <v>Tablet</v>
      </c>
      <c r="E944" s="4">
        <f>'Raw Data'!E944</f>
        <v>1</v>
      </c>
      <c r="F944" s="4">
        <f>'Raw Data'!F944</f>
        <v>479.76</v>
      </c>
      <c r="G944" s="4" t="str">
        <f>'Raw Data'!G944</f>
        <v>882 Main St</v>
      </c>
      <c r="H944" s="4" t="str">
        <f>'Raw Data'!H944</f>
        <v>Credit Card</v>
      </c>
      <c r="I944" s="4" t="str">
        <f>'Raw Data'!I944</f>
        <v>Pending</v>
      </c>
      <c r="J944" s="4" t="str">
        <f>'Raw Data'!J944</f>
        <v>TRK56070470</v>
      </c>
      <c r="K944" s="4">
        <f>'Raw Data'!K944</f>
        <v>1</v>
      </c>
      <c r="L944" s="4" t="str">
        <f>IF('Raw Data'!L944="","No Coupon",'Raw Data'!L944)</f>
        <v>No Coupon</v>
      </c>
      <c r="M944" s="4" t="str">
        <f>'Raw Data'!M944</f>
        <v>Email</v>
      </c>
      <c r="N944" s="4">
        <f>'Raw Data'!N944</f>
        <v>479.76</v>
      </c>
    </row>
    <row r="945" spans="1:14" ht="15" customHeight="1" x14ac:dyDescent="0.2">
      <c r="A945" s="4" t="str">
        <f>'Raw Data'!A945</f>
        <v>ORD200943</v>
      </c>
      <c r="B945" s="6">
        <f>'Raw Data'!B945</f>
        <v>45287</v>
      </c>
      <c r="C945" s="4" t="str">
        <f>'Raw Data'!C945</f>
        <v>C43330</v>
      </c>
      <c r="D945" s="4" t="str">
        <f>'Raw Data'!D945</f>
        <v>Monitor</v>
      </c>
      <c r="E945" s="4">
        <f>'Raw Data'!E945</f>
        <v>3</v>
      </c>
      <c r="F945" s="4">
        <f>'Raw Data'!F945</f>
        <v>193.49</v>
      </c>
      <c r="G945" s="4" t="str">
        <f>'Raw Data'!G945</f>
        <v>355 Main St</v>
      </c>
      <c r="H945" s="4" t="str">
        <f>'Raw Data'!H945</f>
        <v>Gift Card</v>
      </c>
      <c r="I945" s="4" t="str">
        <f>'Raw Data'!I945</f>
        <v>Returned</v>
      </c>
      <c r="J945" s="4" t="str">
        <f>'Raw Data'!J945</f>
        <v>TRK71594838</v>
      </c>
      <c r="K945" s="4">
        <f>'Raw Data'!K945</f>
        <v>6</v>
      </c>
      <c r="L945" s="4" t="str">
        <f>IF('Raw Data'!L945="","No Coupon",'Raw Data'!L945)</f>
        <v>FREESHIP</v>
      </c>
      <c r="M945" s="4" t="str">
        <f>'Raw Data'!M945</f>
        <v>Facebook</v>
      </c>
      <c r="N945" s="4">
        <f>'Raw Data'!N945</f>
        <v>580.47</v>
      </c>
    </row>
    <row r="946" spans="1:14" ht="15" customHeight="1" x14ac:dyDescent="0.2">
      <c r="A946" s="4" t="str">
        <f>'Raw Data'!A946</f>
        <v>ORD200944</v>
      </c>
      <c r="B946" s="6">
        <f>'Raw Data'!B946</f>
        <v>45642</v>
      </c>
      <c r="C946" s="4" t="str">
        <f>'Raw Data'!C946</f>
        <v>C32687</v>
      </c>
      <c r="D946" s="4" t="str">
        <f>'Raw Data'!D946</f>
        <v>Laptop</v>
      </c>
      <c r="E946" s="4">
        <f>'Raw Data'!E946</f>
        <v>2</v>
      </c>
      <c r="F946" s="4">
        <f>'Raw Data'!F946</f>
        <v>426.22</v>
      </c>
      <c r="G946" s="4" t="str">
        <f>'Raw Data'!G946</f>
        <v>448 Main St</v>
      </c>
      <c r="H946" s="4" t="str">
        <f>'Raw Data'!H946</f>
        <v>Online</v>
      </c>
      <c r="I946" s="4" t="str">
        <f>'Raw Data'!I946</f>
        <v>Delivered</v>
      </c>
      <c r="J946" s="4" t="str">
        <f>'Raw Data'!J946</f>
        <v>TRK98284560</v>
      </c>
      <c r="K946" s="4">
        <f>'Raw Data'!K946</f>
        <v>7</v>
      </c>
      <c r="L946" s="4" t="str">
        <f>IF('Raw Data'!L946="","No Coupon",'Raw Data'!L946)</f>
        <v>WINTER15</v>
      </c>
      <c r="M946" s="4" t="str">
        <f>'Raw Data'!M946</f>
        <v>Google</v>
      </c>
      <c r="N946" s="4">
        <f>'Raw Data'!N946</f>
        <v>852.44</v>
      </c>
    </row>
    <row r="947" spans="1:14" ht="15" customHeight="1" x14ac:dyDescent="0.2">
      <c r="A947" s="4" t="str">
        <f>'Raw Data'!A947</f>
        <v>ORD200945</v>
      </c>
      <c r="B947" s="6">
        <f>'Raw Data'!B947</f>
        <v>45158</v>
      </c>
      <c r="C947" s="4" t="str">
        <f>'Raw Data'!C947</f>
        <v>C79722</v>
      </c>
      <c r="D947" s="4" t="str">
        <f>'Raw Data'!D947</f>
        <v>Tablet</v>
      </c>
      <c r="E947" s="4">
        <f>'Raw Data'!E947</f>
        <v>5</v>
      </c>
      <c r="F947" s="4">
        <f>'Raw Data'!F947</f>
        <v>276.44</v>
      </c>
      <c r="G947" s="4" t="str">
        <f>'Raw Data'!G947</f>
        <v>619 Main St</v>
      </c>
      <c r="H947" s="4" t="str">
        <f>'Raw Data'!H947</f>
        <v>Gift Card</v>
      </c>
      <c r="I947" s="4" t="str">
        <f>'Raw Data'!I947</f>
        <v>Shipped</v>
      </c>
      <c r="J947" s="4" t="str">
        <f>'Raw Data'!J947</f>
        <v>TRK29976438</v>
      </c>
      <c r="K947" s="4">
        <f>'Raw Data'!K947</f>
        <v>10</v>
      </c>
      <c r="L947" s="4" t="str">
        <f>IF('Raw Data'!L947="","No Coupon",'Raw Data'!L947)</f>
        <v>FREESHIP</v>
      </c>
      <c r="M947" s="4" t="str">
        <f>'Raw Data'!M947</f>
        <v>Referral</v>
      </c>
      <c r="N947" s="4">
        <f>'Raw Data'!N947</f>
        <v>1382.2</v>
      </c>
    </row>
    <row r="948" spans="1:14" ht="15" customHeight="1" x14ac:dyDescent="0.2">
      <c r="A948" s="4" t="str">
        <f>'Raw Data'!A948</f>
        <v>ORD200946</v>
      </c>
      <c r="B948" s="6">
        <f>'Raw Data'!B948</f>
        <v>45416</v>
      </c>
      <c r="C948" s="4" t="str">
        <f>'Raw Data'!C948</f>
        <v>C65021</v>
      </c>
      <c r="D948" s="4" t="str">
        <f>'Raw Data'!D948</f>
        <v>Phone</v>
      </c>
      <c r="E948" s="4">
        <f>'Raw Data'!E948</f>
        <v>2</v>
      </c>
      <c r="F948" s="4">
        <f>'Raw Data'!F948</f>
        <v>404.96</v>
      </c>
      <c r="G948" s="4" t="str">
        <f>'Raw Data'!G948</f>
        <v>546 Main St</v>
      </c>
      <c r="H948" s="4" t="str">
        <f>'Raw Data'!H948</f>
        <v>Cash</v>
      </c>
      <c r="I948" s="4" t="str">
        <f>'Raw Data'!I948</f>
        <v>Shipped</v>
      </c>
      <c r="J948" s="4" t="str">
        <f>'Raw Data'!J948</f>
        <v>TRK20626179</v>
      </c>
      <c r="K948" s="4">
        <f>'Raw Data'!K948</f>
        <v>4</v>
      </c>
      <c r="L948" s="4" t="str">
        <f>IF('Raw Data'!L948="","No Coupon",'Raw Data'!L948)</f>
        <v>SAVE10</v>
      </c>
      <c r="M948" s="4" t="str">
        <f>'Raw Data'!M948</f>
        <v>Email</v>
      </c>
      <c r="N948" s="4">
        <f>'Raw Data'!N948</f>
        <v>809.92</v>
      </c>
    </row>
    <row r="949" spans="1:14" ht="15" customHeight="1" x14ac:dyDescent="0.2">
      <c r="A949" s="4" t="str">
        <f>'Raw Data'!A949</f>
        <v>ORD200947</v>
      </c>
      <c r="B949" s="6">
        <f>'Raw Data'!B949</f>
        <v>45176</v>
      </c>
      <c r="C949" s="4" t="str">
        <f>'Raw Data'!C949</f>
        <v>C85520</v>
      </c>
      <c r="D949" s="4" t="str">
        <f>'Raw Data'!D949</f>
        <v>Phone</v>
      </c>
      <c r="E949" s="4">
        <f>'Raw Data'!E949</f>
        <v>4</v>
      </c>
      <c r="F949" s="4">
        <f>'Raw Data'!F949</f>
        <v>465.66</v>
      </c>
      <c r="G949" s="4" t="str">
        <f>'Raw Data'!G949</f>
        <v>119 Main St</v>
      </c>
      <c r="H949" s="4" t="str">
        <f>'Raw Data'!H949</f>
        <v>Online</v>
      </c>
      <c r="I949" s="4" t="str">
        <f>'Raw Data'!I949</f>
        <v>Returned</v>
      </c>
      <c r="J949" s="4" t="str">
        <f>'Raw Data'!J949</f>
        <v>TRK65994177</v>
      </c>
      <c r="K949" s="4">
        <f>'Raw Data'!K949</f>
        <v>9</v>
      </c>
      <c r="L949" s="4" t="str">
        <f>IF('Raw Data'!L949="","No Coupon",'Raw Data'!L949)</f>
        <v>FREESHIP</v>
      </c>
      <c r="M949" s="4" t="str">
        <f>'Raw Data'!M949</f>
        <v>Email</v>
      </c>
      <c r="N949" s="4">
        <f>'Raw Data'!N949</f>
        <v>1862.64</v>
      </c>
    </row>
    <row r="950" spans="1:14" ht="15" customHeight="1" x14ac:dyDescent="0.2">
      <c r="A950" s="4" t="str">
        <f>'Raw Data'!A950</f>
        <v>ORD200948</v>
      </c>
      <c r="B950" s="6">
        <f>'Raw Data'!B950</f>
        <v>45464</v>
      </c>
      <c r="C950" s="4" t="str">
        <f>'Raw Data'!C950</f>
        <v>C94569</v>
      </c>
      <c r="D950" s="4" t="str">
        <f>'Raw Data'!D950</f>
        <v>Phone</v>
      </c>
      <c r="E950" s="4">
        <f>'Raw Data'!E950</f>
        <v>2</v>
      </c>
      <c r="F950" s="4">
        <f>'Raw Data'!F950</f>
        <v>594.07000000000005</v>
      </c>
      <c r="G950" s="4" t="str">
        <f>'Raw Data'!G950</f>
        <v>739 Main St</v>
      </c>
      <c r="H950" s="4" t="str">
        <f>'Raw Data'!H950</f>
        <v>Gift Card</v>
      </c>
      <c r="I950" s="4" t="str">
        <f>'Raw Data'!I950</f>
        <v>Cancelled</v>
      </c>
      <c r="J950" s="4" t="str">
        <f>'Raw Data'!J950</f>
        <v>TRK79269291</v>
      </c>
      <c r="K950" s="4">
        <f>'Raw Data'!K950</f>
        <v>2</v>
      </c>
      <c r="L950" s="4" t="str">
        <f>IF('Raw Data'!L950="","No Coupon",'Raw Data'!L950)</f>
        <v>No Coupon</v>
      </c>
      <c r="M950" s="4" t="str">
        <f>'Raw Data'!M950</f>
        <v>Google</v>
      </c>
      <c r="N950" s="4">
        <f>'Raw Data'!N950</f>
        <v>1188.1400000000001</v>
      </c>
    </row>
    <row r="951" spans="1:14" ht="15" customHeight="1" x14ac:dyDescent="0.2">
      <c r="A951" s="4" t="str">
        <f>'Raw Data'!A951</f>
        <v>ORD200949</v>
      </c>
      <c r="B951" s="6">
        <f>'Raw Data'!B951</f>
        <v>45239</v>
      </c>
      <c r="C951" s="4" t="str">
        <f>'Raw Data'!C951</f>
        <v>C55778</v>
      </c>
      <c r="D951" s="4" t="str">
        <f>'Raw Data'!D951</f>
        <v>Desk</v>
      </c>
      <c r="E951" s="4">
        <f>'Raw Data'!E951</f>
        <v>5</v>
      </c>
      <c r="F951" s="4">
        <f>'Raw Data'!F951</f>
        <v>110.38</v>
      </c>
      <c r="G951" s="4" t="str">
        <f>'Raw Data'!G951</f>
        <v>319 Main St</v>
      </c>
      <c r="H951" s="4" t="str">
        <f>'Raw Data'!H951</f>
        <v>Cash</v>
      </c>
      <c r="I951" s="4" t="str">
        <f>'Raw Data'!I951</f>
        <v>Pending</v>
      </c>
      <c r="J951" s="4" t="str">
        <f>'Raw Data'!J951</f>
        <v>TRK93797108</v>
      </c>
      <c r="K951" s="4">
        <f>'Raw Data'!K951</f>
        <v>10</v>
      </c>
      <c r="L951" s="4" t="str">
        <f>IF('Raw Data'!L951="","No Coupon",'Raw Data'!L951)</f>
        <v>No Coupon</v>
      </c>
      <c r="M951" s="4" t="str">
        <f>'Raw Data'!M951</f>
        <v>Referral</v>
      </c>
      <c r="N951" s="4">
        <f>'Raw Data'!N951</f>
        <v>551.9</v>
      </c>
    </row>
    <row r="952" spans="1:14" ht="15" customHeight="1" x14ac:dyDescent="0.2">
      <c r="A952" s="4" t="str">
        <f>'Raw Data'!A952</f>
        <v>ORD200950</v>
      </c>
      <c r="B952" s="6">
        <f>'Raw Data'!B952</f>
        <v>45443</v>
      </c>
      <c r="C952" s="4" t="str">
        <f>'Raw Data'!C952</f>
        <v>C19722</v>
      </c>
      <c r="D952" s="4" t="str">
        <f>'Raw Data'!D952</f>
        <v>Laptop</v>
      </c>
      <c r="E952" s="4">
        <f>'Raw Data'!E952</f>
        <v>1</v>
      </c>
      <c r="F952" s="4">
        <f>'Raw Data'!F952</f>
        <v>596.24</v>
      </c>
      <c r="G952" s="4" t="str">
        <f>'Raw Data'!G952</f>
        <v>891 Main St</v>
      </c>
      <c r="H952" s="4" t="str">
        <f>'Raw Data'!H952</f>
        <v>Credit Card</v>
      </c>
      <c r="I952" s="4" t="str">
        <f>'Raw Data'!I952</f>
        <v>Returned</v>
      </c>
      <c r="J952" s="4" t="str">
        <f>'Raw Data'!J952</f>
        <v>TRK78094361</v>
      </c>
      <c r="K952" s="4">
        <f>'Raw Data'!K952</f>
        <v>4</v>
      </c>
      <c r="L952" s="4" t="str">
        <f>IF('Raw Data'!L952="","No Coupon",'Raw Data'!L952)</f>
        <v>FREESHIP</v>
      </c>
      <c r="M952" s="4" t="str">
        <f>'Raw Data'!M952</f>
        <v>Instagram</v>
      </c>
      <c r="N952" s="4">
        <f>'Raw Data'!N952</f>
        <v>596.24</v>
      </c>
    </row>
    <row r="953" spans="1:14" ht="15" customHeight="1" x14ac:dyDescent="0.2">
      <c r="A953" s="4" t="str">
        <f>'Raw Data'!A953</f>
        <v>ORD200951</v>
      </c>
      <c r="B953" s="6">
        <f>'Raw Data'!B953</f>
        <v>45495</v>
      </c>
      <c r="C953" s="4" t="str">
        <f>'Raw Data'!C953</f>
        <v>C74928</v>
      </c>
      <c r="D953" s="4" t="str">
        <f>'Raw Data'!D953</f>
        <v>Printer</v>
      </c>
      <c r="E953" s="4">
        <f>'Raw Data'!E953</f>
        <v>2</v>
      </c>
      <c r="F953" s="4">
        <f>'Raw Data'!F953</f>
        <v>306.24</v>
      </c>
      <c r="G953" s="4" t="str">
        <f>'Raw Data'!G953</f>
        <v>589 Main St</v>
      </c>
      <c r="H953" s="4" t="str">
        <f>'Raw Data'!H953</f>
        <v>Online</v>
      </c>
      <c r="I953" s="4" t="str">
        <f>'Raw Data'!I953</f>
        <v>Returned</v>
      </c>
      <c r="J953" s="4" t="str">
        <f>'Raw Data'!J953</f>
        <v>TRK39845914</v>
      </c>
      <c r="K953" s="4">
        <f>'Raw Data'!K953</f>
        <v>4</v>
      </c>
      <c r="L953" s="4" t="str">
        <f>IF('Raw Data'!L953="","No Coupon",'Raw Data'!L953)</f>
        <v>FREESHIP</v>
      </c>
      <c r="M953" s="4" t="str">
        <f>'Raw Data'!M953</f>
        <v>Email</v>
      </c>
      <c r="N953" s="4">
        <f>'Raw Data'!N953</f>
        <v>612.48</v>
      </c>
    </row>
    <row r="954" spans="1:14" ht="15" customHeight="1" x14ac:dyDescent="0.2">
      <c r="A954" s="4" t="str">
        <f>'Raw Data'!A954</f>
        <v>ORD200952</v>
      </c>
      <c r="B954" s="6">
        <f>'Raw Data'!B954</f>
        <v>45715</v>
      </c>
      <c r="C954" s="4" t="str">
        <f>'Raw Data'!C954</f>
        <v>C49111</v>
      </c>
      <c r="D954" s="4" t="str">
        <f>'Raw Data'!D954</f>
        <v>Monitor</v>
      </c>
      <c r="E954" s="4">
        <f>'Raw Data'!E954</f>
        <v>3</v>
      </c>
      <c r="F954" s="4">
        <f>'Raw Data'!F954</f>
        <v>503.39</v>
      </c>
      <c r="G954" s="4" t="str">
        <f>'Raw Data'!G954</f>
        <v>225 Main St</v>
      </c>
      <c r="H954" s="4" t="str">
        <f>'Raw Data'!H954</f>
        <v>Online</v>
      </c>
      <c r="I954" s="4" t="str">
        <f>'Raw Data'!I954</f>
        <v>Pending</v>
      </c>
      <c r="J954" s="4" t="str">
        <f>'Raw Data'!J954</f>
        <v>TRK45303393</v>
      </c>
      <c r="K954" s="4">
        <f>'Raw Data'!K954</f>
        <v>5</v>
      </c>
      <c r="L954" s="4" t="str">
        <f>IF('Raw Data'!L954="","No Coupon",'Raw Data'!L954)</f>
        <v>No Coupon</v>
      </c>
      <c r="M954" s="4" t="str">
        <f>'Raw Data'!M954</f>
        <v>Facebook</v>
      </c>
      <c r="N954" s="4">
        <f>'Raw Data'!N954</f>
        <v>1510.17</v>
      </c>
    </row>
    <row r="955" spans="1:14" ht="15" customHeight="1" x14ac:dyDescent="0.2">
      <c r="A955" s="4" t="str">
        <f>'Raw Data'!A955</f>
        <v>ORD200953</v>
      </c>
      <c r="B955" s="6">
        <f>'Raw Data'!B955</f>
        <v>44963</v>
      </c>
      <c r="C955" s="4" t="str">
        <f>'Raw Data'!C955</f>
        <v>C43721</v>
      </c>
      <c r="D955" s="4" t="str">
        <f>'Raw Data'!D955</f>
        <v>Phone</v>
      </c>
      <c r="E955" s="4">
        <f>'Raw Data'!E955</f>
        <v>1</v>
      </c>
      <c r="F955" s="4">
        <f>'Raw Data'!F955</f>
        <v>131.61000000000001</v>
      </c>
      <c r="G955" s="4" t="str">
        <f>'Raw Data'!G955</f>
        <v>971 Main St</v>
      </c>
      <c r="H955" s="4" t="str">
        <f>'Raw Data'!H955</f>
        <v>Cash</v>
      </c>
      <c r="I955" s="4" t="str">
        <f>'Raw Data'!I955</f>
        <v>Shipped</v>
      </c>
      <c r="J955" s="4" t="str">
        <f>'Raw Data'!J955</f>
        <v>TRK89392104</v>
      </c>
      <c r="K955" s="4">
        <f>'Raw Data'!K955</f>
        <v>2</v>
      </c>
      <c r="L955" s="4" t="str">
        <f>IF('Raw Data'!L955="","No Coupon",'Raw Data'!L955)</f>
        <v>FREESHIP</v>
      </c>
      <c r="M955" s="4" t="str">
        <f>'Raw Data'!M955</f>
        <v>Facebook</v>
      </c>
      <c r="N955" s="4">
        <f>'Raw Data'!N955</f>
        <v>131.61000000000001</v>
      </c>
    </row>
    <row r="956" spans="1:14" ht="15" customHeight="1" x14ac:dyDescent="0.2">
      <c r="A956" s="4" t="str">
        <f>'Raw Data'!A956</f>
        <v>ORD200954</v>
      </c>
      <c r="B956" s="6">
        <f>'Raw Data'!B956</f>
        <v>45587</v>
      </c>
      <c r="C956" s="4" t="str">
        <f>'Raw Data'!C956</f>
        <v>C68609</v>
      </c>
      <c r="D956" s="4" t="str">
        <f>'Raw Data'!D956</f>
        <v>Chair</v>
      </c>
      <c r="E956" s="4">
        <f>'Raw Data'!E956</f>
        <v>3</v>
      </c>
      <c r="F956" s="4">
        <f>'Raw Data'!F956</f>
        <v>443.44</v>
      </c>
      <c r="G956" s="4" t="str">
        <f>'Raw Data'!G956</f>
        <v>240 Main St</v>
      </c>
      <c r="H956" s="4" t="str">
        <f>'Raw Data'!H956</f>
        <v>Gift Card</v>
      </c>
      <c r="I956" s="4" t="str">
        <f>'Raw Data'!I956</f>
        <v>Shipped</v>
      </c>
      <c r="J956" s="4" t="str">
        <f>'Raw Data'!J956</f>
        <v>TRK58273778</v>
      </c>
      <c r="K956" s="4">
        <f>'Raw Data'!K956</f>
        <v>3</v>
      </c>
      <c r="L956" s="4" t="str">
        <f>IF('Raw Data'!L956="","No Coupon",'Raw Data'!L956)</f>
        <v>FREESHIP</v>
      </c>
      <c r="M956" s="4" t="str">
        <f>'Raw Data'!M956</f>
        <v>Google</v>
      </c>
      <c r="N956" s="4">
        <f>'Raw Data'!N956</f>
        <v>1330.32</v>
      </c>
    </row>
    <row r="957" spans="1:14" ht="15" customHeight="1" x14ac:dyDescent="0.2">
      <c r="A957" s="4" t="str">
        <f>'Raw Data'!A957</f>
        <v>ORD200955</v>
      </c>
      <c r="B957" s="6">
        <f>'Raw Data'!B957</f>
        <v>44949</v>
      </c>
      <c r="C957" s="4" t="str">
        <f>'Raw Data'!C957</f>
        <v>C82068</v>
      </c>
      <c r="D957" s="4" t="str">
        <f>'Raw Data'!D957</f>
        <v>Chair</v>
      </c>
      <c r="E957" s="4">
        <f>'Raw Data'!E957</f>
        <v>1</v>
      </c>
      <c r="F957" s="4">
        <f>'Raw Data'!F957</f>
        <v>408.13</v>
      </c>
      <c r="G957" s="4" t="str">
        <f>'Raw Data'!G957</f>
        <v>164 Main St</v>
      </c>
      <c r="H957" s="4" t="str">
        <f>'Raw Data'!H957</f>
        <v>Gift Card</v>
      </c>
      <c r="I957" s="4" t="str">
        <f>'Raw Data'!I957</f>
        <v>Shipped</v>
      </c>
      <c r="J957" s="4" t="str">
        <f>'Raw Data'!J957</f>
        <v>TRK25779180</v>
      </c>
      <c r="K957" s="4">
        <f>'Raw Data'!K957</f>
        <v>3</v>
      </c>
      <c r="L957" s="4" t="str">
        <f>IF('Raw Data'!L957="","No Coupon",'Raw Data'!L957)</f>
        <v>WINTER15</v>
      </c>
      <c r="M957" s="4" t="str">
        <f>'Raw Data'!M957</f>
        <v>Instagram</v>
      </c>
      <c r="N957" s="4">
        <f>'Raw Data'!N957</f>
        <v>408.13</v>
      </c>
    </row>
    <row r="958" spans="1:14" ht="15" customHeight="1" x14ac:dyDescent="0.2">
      <c r="A958" s="4" t="str">
        <f>'Raw Data'!A958</f>
        <v>ORD200956</v>
      </c>
      <c r="B958" s="6">
        <f>'Raw Data'!B958</f>
        <v>45393</v>
      </c>
      <c r="C958" s="4" t="str">
        <f>'Raw Data'!C958</f>
        <v>C21191</v>
      </c>
      <c r="D958" s="4" t="str">
        <f>'Raw Data'!D958</f>
        <v>Phone</v>
      </c>
      <c r="E958" s="4">
        <f>'Raw Data'!E958</f>
        <v>2</v>
      </c>
      <c r="F958" s="4">
        <f>'Raw Data'!F958</f>
        <v>160.97999999999999</v>
      </c>
      <c r="G958" s="4" t="str">
        <f>'Raw Data'!G958</f>
        <v>381 Main St</v>
      </c>
      <c r="H958" s="4" t="str">
        <f>'Raw Data'!H958</f>
        <v>Debit Card</v>
      </c>
      <c r="I958" s="4" t="str">
        <f>'Raw Data'!I958</f>
        <v>Delivered</v>
      </c>
      <c r="J958" s="4" t="str">
        <f>'Raw Data'!J958</f>
        <v>TRK86246309</v>
      </c>
      <c r="K958" s="4">
        <f>'Raw Data'!K958</f>
        <v>3</v>
      </c>
      <c r="L958" s="4" t="str">
        <f>IF('Raw Data'!L958="","No Coupon",'Raw Data'!L958)</f>
        <v>SAVE10</v>
      </c>
      <c r="M958" s="4" t="str">
        <f>'Raw Data'!M958</f>
        <v>Referral</v>
      </c>
      <c r="N958" s="4">
        <f>'Raw Data'!N958</f>
        <v>321.95999999999998</v>
      </c>
    </row>
    <row r="959" spans="1:14" ht="15" customHeight="1" x14ac:dyDescent="0.2">
      <c r="A959" s="4" t="str">
        <f>'Raw Data'!A959</f>
        <v>ORD200957</v>
      </c>
      <c r="B959" s="6">
        <f>'Raw Data'!B959</f>
        <v>44938</v>
      </c>
      <c r="C959" s="4" t="str">
        <f>'Raw Data'!C959</f>
        <v>C73575</v>
      </c>
      <c r="D959" s="4" t="str">
        <f>'Raw Data'!D959</f>
        <v>Monitor</v>
      </c>
      <c r="E959" s="4">
        <f>'Raw Data'!E959</f>
        <v>5</v>
      </c>
      <c r="F959" s="4">
        <f>'Raw Data'!F959</f>
        <v>643.89</v>
      </c>
      <c r="G959" s="4" t="str">
        <f>'Raw Data'!G959</f>
        <v>851 Main St</v>
      </c>
      <c r="H959" s="4" t="str">
        <f>'Raw Data'!H959</f>
        <v>Cash</v>
      </c>
      <c r="I959" s="4" t="str">
        <f>'Raw Data'!I959</f>
        <v>Returned</v>
      </c>
      <c r="J959" s="4" t="str">
        <f>'Raw Data'!J959</f>
        <v>TRK23387612</v>
      </c>
      <c r="K959" s="4">
        <f>'Raw Data'!K959</f>
        <v>8</v>
      </c>
      <c r="L959" s="4" t="str">
        <f>IF('Raw Data'!L959="","No Coupon",'Raw Data'!L959)</f>
        <v>WINTER15</v>
      </c>
      <c r="M959" s="4" t="str">
        <f>'Raw Data'!M959</f>
        <v>Facebook</v>
      </c>
      <c r="N959" s="4">
        <f>'Raw Data'!N959</f>
        <v>3219.45</v>
      </c>
    </row>
    <row r="960" spans="1:14" ht="15" customHeight="1" x14ac:dyDescent="0.2">
      <c r="A960" s="4" t="str">
        <f>'Raw Data'!A960</f>
        <v>ORD200958</v>
      </c>
      <c r="B960" s="6">
        <f>'Raw Data'!B960</f>
        <v>45059</v>
      </c>
      <c r="C960" s="4" t="str">
        <f>'Raw Data'!C960</f>
        <v>C82685</v>
      </c>
      <c r="D960" s="4" t="str">
        <f>'Raw Data'!D960</f>
        <v>Desk</v>
      </c>
      <c r="E960" s="4">
        <f>'Raw Data'!E960</f>
        <v>3</v>
      </c>
      <c r="F960" s="4">
        <f>'Raw Data'!F960</f>
        <v>158.66</v>
      </c>
      <c r="G960" s="4" t="str">
        <f>'Raw Data'!G960</f>
        <v>537 Main St</v>
      </c>
      <c r="H960" s="4" t="str">
        <f>'Raw Data'!H960</f>
        <v>Gift Card</v>
      </c>
      <c r="I960" s="4" t="str">
        <f>'Raw Data'!I960</f>
        <v>Delivered</v>
      </c>
      <c r="J960" s="4" t="str">
        <f>'Raw Data'!J960</f>
        <v>TRK70184320</v>
      </c>
      <c r="K960" s="4">
        <f>'Raw Data'!K960</f>
        <v>7</v>
      </c>
      <c r="L960" s="4" t="str">
        <f>IF('Raw Data'!L960="","No Coupon",'Raw Data'!L960)</f>
        <v>WINTER15</v>
      </c>
      <c r="M960" s="4" t="str">
        <f>'Raw Data'!M960</f>
        <v>Email</v>
      </c>
      <c r="N960" s="4">
        <f>'Raw Data'!N960</f>
        <v>475.98</v>
      </c>
    </row>
    <row r="961" spans="1:14" ht="15" customHeight="1" x14ac:dyDescent="0.2">
      <c r="A961" s="4" t="str">
        <f>'Raw Data'!A961</f>
        <v>ORD200959</v>
      </c>
      <c r="B961" s="6">
        <f>'Raw Data'!B961</f>
        <v>45395</v>
      </c>
      <c r="C961" s="4" t="str">
        <f>'Raw Data'!C961</f>
        <v>C73996</v>
      </c>
      <c r="D961" s="4" t="str">
        <f>'Raw Data'!D961</f>
        <v>Tablet</v>
      </c>
      <c r="E961" s="4">
        <f>'Raw Data'!E961</f>
        <v>2</v>
      </c>
      <c r="F961" s="4">
        <f>'Raw Data'!F961</f>
        <v>143.82</v>
      </c>
      <c r="G961" s="4" t="str">
        <f>'Raw Data'!G961</f>
        <v>856 Main St</v>
      </c>
      <c r="H961" s="4" t="str">
        <f>'Raw Data'!H961</f>
        <v>Credit Card</v>
      </c>
      <c r="I961" s="4" t="str">
        <f>'Raw Data'!I961</f>
        <v>Returned</v>
      </c>
      <c r="J961" s="4" t="str">
        <f>'Raw Data'!J961</f>
        <v>TRK74579570</v>
      </c>
      <c r="K961" s="4">
        <f>'Raw Data'!K961</f>
        <v>6</v>
      </c>
      <c r="L961" s="4" t="str">
        <f>IF('Raw Data'!L961="","No Coupon",'Raw Data'!L961)</f>
        <v>SAVE10</v>
      </c>
      <c r="M961" s="4" t="str">
        <f>'Raw Data'!M961</f>
        <v>Instagram</v>
      </c>
      <c r="N961" s="4">
        <f>'Raw Data'!N961</f>
        <v>287.64</v>
      </c>
    </row>
    <row r="962" spans="1:14" ht="15" customHeight="1" x14ac:dyDescent="0.2">
      <c r="A962" s="4" t="str">
        <f>'Raw Data'!A962</f>
        <v>ORD200960</v>
      </c>
      <c r="B962" s="6">
        <f>'Raw Data'!B962</f>
        <v>45271</v>
      </c>
      <c r="C962" s="4" t="str">
        <f>'Raw Data'!C962</f>
        <v>C87687</v>
      </c>
      <c r="D962" s="4" t="str">
        <f>'Raw Data'!D962</f>
        <v>Laptop</v>
      </c>
      <c r="E962" s="4">
        <f>'Raw Data'!E962</f>
        <v>3</v>
      </c>
      <c r="F962" s="4">
        <f>'Raw Data'!F962</f>
        <v>379.07</v>
      </c>
      <c r="G962" s="4" t="str">
        <f>'Raw Data'!G962</f>
        <v>312 Main St</v>
      </c>
      <c r="H962" s="4" t="str">
        <f>'Raw Data'!H962</f>
        <v>Gift Card</v>
      </c>
      <c r="I962" s="4" t="str">
        <f>'Raw Data'!I962</f>
        <v>Pending</v>
      </c>
      <c r="J962" s="4" t="str">
        <f>'Raw Data'!J962</f>
        <v>TRK60383805</v>
      </c>
      <c r="K962" s="4">
        <f>'Raw Data'!K962</f>
        <v>3</v>
      </c>
      <c r="L962" s="4" t="str">
        <f>IF('Raw Data'!L962="","No Coupon",'Raw Data'!L962)</f>
        <v>WINTER15</v>
      </c>
      <c r="M962" s="4" t="str">
        <f>'Raw Data'!M962</f>
        <v>Google</v>
      </c>
      <c r="N962" s="4">
        <f>'Raw Data'!N962</f>
        <v>1137.21</v>
      </c>
    </row>
    <row r="963" spans="1:14" ht="15" customHeight="1" x14ac:dyDescent="0.2">
      <c r="A963" s="4" t="str">
        <f>'Raw Data'!A963</f>
        <v>ORD200961</v>
      </c>
      <c r="B963" s="6">
        <f>'Raw Data'!B963</f>
        <v>45607</v>
      </c>
      <c r="C963" s="4" t="str">
        <f>'Raw Data'!C963</f>
        <v>C55464</v>
      </c>
      <c r="D963" s="4" t="str">
        <f>'Raw Data'!D963</f>
        <v>Phone</v>
      </c>
      <c r="E963" s="4">
        <f>'Raw Data'!E963</f>
        <v>1</v>
      </c>
      <c r="F963" s="4">
        <f>'Raw Data'!F963</f>
        <v>601.36</v>
      </c>
      <c r="G963" s="4" t="str">
        <f>'Raw Data'!G963</f>
        <v>532 Main St</v>
      </c>
      <c r="H963" s="4" t="str">
        <f>'Raw Data'!H963</f>
        <v>Online</v>
      </c>
      <c r="I963" s="4" t="str">
        <f>'Raw Data'!I963</f>
        <v>Shipped</v>
      </c>
      <c r="J963" s="4" t="str">
        <f>'Raw Data'!J963</f>
        <v>TRK81178598</v>
      </c>
      <c r="K963" s="4">
        <f>'Raw Data'!K963</f>
        <v>1</v>
      </c>
      <c r="L963" s="4" t="str">
        <f>IF('Raw Data'!L963="","No Coupon",'Raw Data'!L963)</f>
        <v>No Coupon</v>
      </c>
      <c r="M963" s="4" t="str">
        <f>'Raw Data'!M963</f>
        <v>Facebook</v>
      </c>
      <c r="N963" s="4">
        <f>'Raw Data'!N963</f>
        <v>601.36</v>
      </c>
    </row>
    <row r="964" spans="1:14" ht="15" customHeight="1" x14ac:dyDescent="0.2">
      <c r="A964" s="4" t="str">
        <f>'Raw Data'!A964</f>
        <v>ORD200962</v>
      </c>
      <c r="B964" s="6">
        <f>'Raw Data'!B964</f>
        <v>45541</v>
      </c>
      <c r="C964" s="4" t="str">
        <f>'Raw Data'!C964</f>
        <v>C12459</v>
      </c>
      <c r="D964" s="4" t="str">
        <f>'Raw Data'!D964</f>
        <v>Phone</v>
      </c>
      <c r="E964" s="4">
        <f>'Raw Data'!E964</f>
        <v>2</v>
      </c>
      <c r="F964" s="4">
        <f>'Raw Data'!F964</f>
        <v>142.08000000000001</v>
      </c>
      <c r="G964" s="4" t="str">
        <f>'Raw Data'!G964</f>
        <v>838 Main St</v>
      </c>
      <c r="H964" s="4" t="str">
        <f>'Raw Data'!H964</f>
        <v>Gift Card</v>
      </c>
      <c r="I964" s="4" t="str">
        <f>'Raw Data'!I964</f>
        <v>Delivered</v>
      </c>
      <c r="J964" s="4" t="str">
        <f>'Raw Data'!J964</f>
        <v>TRK30674085</v>
      </c>
      <c r="K964" s="4">
        <f>'Raw Data'!K964</f>
        <v>4</v>
      </c>
      <c r="L964" s="4" t="str">
        <f>IF('Raw Data'!L964="","No Coupon",'Raw Data'!L964)</f>
        <v>SAVE10</v>
      </c>
      <c r="M964" s="4" t="str">
        <f>'Raw Data'!M964</f>
        <v>Referral</v>
      </c>
      <c r="N964" s="4">
        <f>'Raw Data'!N964</f>
        <v>284.16000000000003</v>
      </c>
    </row>
    <row r="965" spans="1:14" ht="15" customHeight="1" x14ac:dyDescent="0.2">
      <c r="A965" s="4" t="str">
        <f>'Raw Data'!A965</f>
        <v>ORD200963</v>
      </c>
      <c r="B965" s="6">
        <f>'Raw Data'!B965</f>
        <v>45362</v>
      </c>
      <c r="C965" s="4" t="str">
        <f>'Raw Data'!C965</f>
        <v>C88075</v>
      </c>
      <c r="D965" s="4" t="str">
        <f>'Raw Data'!D965</f>
        <v>Chair</v>
      </c>
      <c r="E965" s="4">
        <f>'Raw Data'!E965</f>
        <v>5</v>
      </c>
      <c r="F965" s="4">
        <f>'Raw Data'!F965</f>
        <v>530.34</v>
      </c>
      <c r="G965" s="4" t="str">
        <f>'Raw Data'!G965</f>
        <v>970 Main St</v>
      </c>
      <c r="H965" s="4" t="str">
        <f>'Raw Data'!H965</f>
        <v>Online</v>
      </c>
      <c r="I965" s="4" t="str">
        <f>'Raw Data'!I965</f>
        <v>Shipped</v>
      </c>
      <c r="J965" s="4" t="str">
        <f>'Raw Data'!J965</f>
        <v>TRK42832976</v>
      </c>
      <c r="K965" s="4">
        <f>'Raw Data'!K965</f>
        <v>9</v>
      </c>
      <c r="L965" s="4" t="str">
        <f>IF('Raw Data'!L965="","No Coupon",'Raw Data'!L965)</f>
        <v>FREESHIP</v>
      </c>
      <c r="M965" s="4" t="str">
        <f>'Raw Data'!M965</f>
        <v>Google</v>
      </c>
      <c r="N965" s="4">
        <f>'Raw Data'!N965</f>
        <v>2651.7</v>
      </c>
    </row>
    <row r="966" spans="1:14" ht="15" customHeight="1" x14ac:dyDescent="0.2">
      <c r="A966" s="4" t="str">
        <f>'Raw Data'!A966</f>
        <v>ORD200964</v>
      </c>
      <c r="B966" s="6">
        <f>'Raw Data'!B966</f>
        <v>45158</v>
      </c>
      <c r="C966" s="4" t="str">
        <f>'Raw Data'!C966</f>
        <v>C18583</v>
      </c>
      <c r="D966" s="4" t="str">
        <f>'Raw Data'!D966</f>
        <v>Phone</v>
      </c>
      <c r="E966" s="4">
        <f>'Raw Data'!E966</f>
        <v>5</v>
      </c>
      <c r="F966" s="4">
        <f>'Raw Data'!F966</f>
        <v>364.42</v>
      </c>
      <c r="G966" s="4" t="str">
        <f>'Raw Data'!G966</f>
        <v>778 Main St</v>
      </c>
      <c r="H966" s="4" t="str">
        <f>'Raw Data'!H966</f>
        <v>Credit Card</v>
      </c>
      <c r="I966" s="4" t="str">
        <f>'Raw Data'!I966</f>
        <v>Cancelled</v>
      </c>
      <c r="J966" s="4" t="str">
        <f>'Raw Data'!J966</f>
        <v>TRK43084595</v>
      </c>
      <c r="K966" s="4">
        <f>'Raw Data'!K966</f>
        <v>10</v>
      </c>
      <c r="L966" s="4" t="str">
        <f>IF('Raw Data'!L966="","No Coupon",'Raw Data'!L966)</f>
        <v>SAVE10</v>
      </c>
      <c r="M966" s="4" t="str">
        <f>'Raw Data'!M966</f>
        <v>Referral</v>
      </c>
      <c r="N966" s="4">
        <f>'Raw Data'!N966</f>
        <v>1822.1</v>
      </c>
    </row>
    <row r="967" spans="1:14" ht="15" customHeight="1" x14ac:dyDescent="0.2">
      <c r="A967" s="4" t="str">
        <f>'Raw Data'!A967</f>
        <v>ORD200965</v>
      </c>
      <c r="B967" s="6">
        <f>'Raw Data'!B967</f>
        <v>45826</v>
      </c>
      <c r="C967" s="4" t="str">
        <f>'Raw Data'!C967</f>
        <v>C70412</v>
      </c>
      <c r="D967" s="4" t="str">
        <f>'Raw Data'!D967</f>
        <v>Laptop</v>
      </c>
      <c r="E967" s="4">
        <f>'Raw Data'!E967</f>
        <v>4</v>
      </c>
      <c r="F967" s="4">
        <f>'Raw Data'!F967</f>
        <v>578.28</v>
      </c>
      <c r="G967" s="4" t="str">
        <f>'Raw Data'!G967</f>
        <v>791 Main St</v>
      </c>
      <c r="H967" s="4" t="str">
        <f>'Raw Data'!H967</f>
        <v>Gift Card</v>
      </c>
      <c r="I967" s="4" t="str">
        <f>'Raw Data'!I967</f>
        <v>Cancelled</v>
      </c>
      <c r="J967" s="4" t="str">
        <f>'Raw Data'!J967</f>
        <v>TRK22192783</v>
      </c>
      <c r="K967" s="4">
        <f>'Raw Data'!K967</f>
        <v>5</v>
      </c>
      <c r="L967" s="4" t="str">
        <f>IF('Raw Data'!L967="","No Coupon",'Raw Data'!L967)</f>
        <v>FREESHIP</v>
      </c>
      <c r="M967" s="4" t="str">
        <f>'Raw Data'!M967</f>
        <v>Email</v>
      </c>
      <c r="N967" s="4">
        <f>'Raw Data'!N967</f>
        <v>2313.12</v>
      </c>
    </row>
    <row r="968" spans="1:14" ht="15" customHeight="1" x14ac:dyDescent="0.2">
      <c r="A968" s="4" t="str">
        <f>'Raw Data'!A968</f>
        <v>ORD200966</v>
      </c>
      <c r="B968" s="6">
        <f>'Raw Data'!B968</f>
        <v>45797</v>
      </c>
      <c r="C968" s="4" t="str">
        <f>'Raw Data'!C968</f>
        <v>C58503</v>
      </c>
      <c r="D968" s="4" t="str">
        <f>'Raw Data'!D968</f>
        <v>Monitor</v>
      </c>
      <c r="E968" s="4">
        <f>'Raw Data'!E968</f>
        <v>5</v>
      </c>
      <c r="F968" s="4">
        <f>'Raw Data'!F968</f>
        <v>280.52</v>
      </c>
      <c r="G968" s="4" t="str">
        <f>'Raw Data'!G968</f>
        <v>290 Main St</v>
      </c>
      <c r="H968" s="4" t="str">
        <f>'Raw Data'!H968</f>
        <v>Credit Card</v>
      </c>
      <c r="I968" s="4" t="str">
        <f>'Raw Data'!I968</f>
        <v>Cancelled</v>
      </c>
      <c r="J968" s="4" t="str">
        <f>'Raw Data'!J968</f>
        <v>TRK12981657</v>
      </c>
      <c r="K968" s="4">
        <f>'Raw Data'!K968</f>
        <v>7</v>
      </c>
      <c r="L968" s="4" t="str">
        <f>IF('Raw Data'!L968="","No Coupon",'Raw Data'!L968)</f>
        <v>WINTER15</v>
      </c>
      <c r="M968" s="4" t="str">
        <f>'Raw Data'!M968</f>
        <v>Facebook</v>
      </c>
      <c r="N968" s="4">
        <f>'Raw Data'!N968</f>
        <v>1402.6</v>
      </c>
    </row>
    <row r="969" spans="1:14" ht="15" customHeight="1" x14ac:dyDescent="0.2">
      <c r="A969" s="4" t="str">
        <f>'Raw Data'!A969</f>
        <v>ORD200967</v>
      </c>
      <c r="B969" s="6">
        <f>'Raw Data'!B969</f>
        <v>45783</v>
      </c>
      <c r="C969" s="4" t="str">
        <f>'Raw Data'!C969</f>
        <v>C52879</v>
      </c>
      <c r="D969" s="4" t="str">
        <f>'Raw Data'!D969</f>
        <v>Tablet</v>
      </c>
      <c r="E969" s="4">
        <f>'Raw Data'!E969</f>
        <v>5</v>
      </c>
      <c r="F969" s="4">
        <f>'Raw Data'!F969</f>
        <v>638.91999999999996</v>
      </c>
      <c r="G969" s="4" t="str">
        <f>'Raw Data'!G969</f>
        <v>502 Main St</v>
      </c>
      <c r="H969" s="4" t="str">
        <f>'Raw Data'!H969</f>
        <v>Credit Card</v>
      </c>
      <c r="I969" s="4" t="str">
        <f>'Raw Data'!I969</f>
        <v>Returned</v>
      </c>
      <c r="J969" s="4" t="str">
        <f>'Raw Data'!J969</f>
        <v>TRK67403284</v>
      </c>
      <c r="K969" s="4">
        <f>'Raw Data'!K969</f>
        <v>5</v>
      </c>
      <c r="L969" s="4" t="str">
        <f>IF('Raw Data'!L969="","No Coupon",'Raw Data'!L969)</f>
        <v>FREESHIP</v>
      </c>
      <c r="M969" s="4" t="str">
        <f>'Raw Data'!M969</f>
        <v>Google</v>
      </c>
      <c r="N969" s="4">
        <f>'Raw Data'!N969</f>
        <v>3194.6</v>
      </c>
    </row>
    <row r="970" spans="1:14" ht="15" customHeight="1" x14ac:dyDescent="0.2">
      <c r="A970" s="4" t="str">
        <f>'Raw Data'!A970</f>
        <v>ORD200968</v>
      </c>
      <c r="B970" s="6">
        <f>'Raw Data'!B970</f>
        <v>45330</v>
      </c>
      <c r="C970" s="4" t="str">
        <f>'Raw Data'!C970</f>
        <v>C67870</v>
      </c>
      <c r="D970" s="4" t="str">
        <f>'Raw Data'!D970</f>
        <v>Monitor</v>
      </c>
      <c r="E970" s="4">
        <f>'Raw Data'!E970</f>
        <v>4</v>
      </c>
      <c r="F970" s="4">
        <f>'Raw Data'!F970</f>
        <v>412.2</v>
      </c>
      <c r="G970" s="4" t="str">
        <f>'Raw Data'!G970</f>
        <v>664 Main St</v>
      </c>
      <c r="H970" s="4" t="str">
        <f>'Raw Data'!H970</f>
        <v>Credit Card</v>
      </c>
      <c r="I970" s="4" t="str">
        <f>'Raw Data'!I970</f>
        <v>Shipped</v>
      </c>
      <c r="J970" s="4" t="str">
        <f>'Raw Data'!J970</f>
        <v>TRK72602178</v>
      </c>
      <c r="K970" s="4">
        <f>'Raw Data'!K970</f>
        <v>6</v>
      </c>
      <c r="L970" s="4" t="str">
        <f>IF('Raw Data'!L970="","No Coupon",'Raw Data'!L970)</f>
        <v>WINTER15</v>
      </c>
      <c r="M970" s="4" t="str">
        <f>'Raw Data'!M970</f>
        <v>Referral</v>
      </c>
      <c r="N970" s="4">
        <f>'Raw Data'!N970</f>
        <v>1648.8</v>
      </c>
    </row>
    <row r="971" spans="1:14" ht="15" customHeight="1" x14ac:dyDescent="0.2">
      <c r="A971" s="4" t="str">
        <f>'Raw Data'!A971</f>
        <v>ORD200969</v>
      </c>
      <c r="B971" s="6">
        <f>'Raw Data'!B971</f>
        <v>45813</v>
      </c>
      <c r="C971" s="4" t="str">
        <f>'Raw Data'!C971</f>
        <v>C19439</v>
      </c>
      <c r="D971" s="4" t="str">
        <f>'Raw Data'!D971</f>
        <v>Desk</v>
      </c>
      <c r="E971" s="4">
        <f>'Raw Data'!E971</f>
        <v>1</v>
      </c>
      <c r="F971" s="4">
        <f>'Raw Data'!F971</f>
        <v>440.34</v>
      </c>
      <c r="G971" s="4" t="str">
        <f>'Raw Data'!G971</f>
        <v>675 Main St</v>
      </c>
      <c r="H971" s="4" t="str">
        <f>'Raw Data'!H971</f>
        <v>Gift Card</v>
      </c>
      <c r="I971" s="4" t="str">
        <f>'Raw Data'!I971</f>
        <v>Shipped</v>
      </c>
      <c r="J971" s="4" t="str">
        <f>'Raw Data'!J971</f>
        <v>TRK25383993</v>
      </c>
      <c r="K971" s="4">
        <f>'Raw Data'!K971</f>
        <v>2</v>
      </c>
      <c r="L971" s="4" t="str">
        <f>IF('Raw Data'!L971="","No Coupon",'Raw Data'!L971)</f>
        <v>WINTER15</v>
      </c>
      <c r="M971" s="4" t="str">
        <f>'Raw Data'!M971</f>
        <v>Facebook</v>
      </c>
      <c r="N971" s="4">
        <f>'Raw Data'!N971</f>
        <v>440.34</v>
      </c>
    </row>
    <row r="972" spans="1:14" ht="15" customHeight="1" x14ac:dyDescent="0.2">
      <c r="A972" s="4" t="str">
        <f>'Raw Data'!A972</f>
        <v>ORD200970</v>
      </c>
      <c r="B972" s="6">
        <f>'Raw Data'!B972</f>
        <v>45542</v>
      </c>
      <c r="C972" s="4" t="str">
        <f>'Raw Data'!C972</f>
        <v>C72664</v>
      </c>
      <c r="D972" s="4" t="str">
        <f>'Raw Data'!D972</f>
        <v>Desk</v>
      </c>
      <c r="E972" s="4">
        <f>'Raw Data'!E972</f>
        <v>1</v>
      </c>
      <c r="F972" s="4">
        <f>'Raw Data'!F972</f>
        <v>627.15</v>
      </c>
      <c r="G972" s="4" t="str">
        <f>'Raw Data'!G972</f>
        <v>241 Main St</v>
      </c>
      <c r="H972" s="4" t="str">
        <f>'Raw Data'!H972</f>
        <v>Cash</v>
      </c>
      <c r="I972" s="4" t="str">
        <f>'Raw Data'!I972</f>
        <v>Delivered</v>
      </c>
      <c r="J972" s="4" t="str">
        <f>'Raw Data'!J972</f>
        <v>TRK86694331</v>
      </c>
      <c r="K972" s="4">
        <f>'Raw Data'!K972</f>
        <v>5</v>
      </c>
      <c r="L972" s="4" t="str">
        <f>IF('Raw Data'!L972="","No Coupon",'Raw Data'!L972)</f>
        <v>SAVE10</v>
      </c>
      <c r="M972" s="4" t="str">
        <f>'Raw Data'!M972</f>
        <v>Instagram</v>
      </c>
      <c r="N972" s="4">
        <f>'Raw Data'!N972</f>
        <v>627.15</v>
      </c>
    </row>
    <row r="973" spans="1:14" ht="15" customHeight="1" x14ac:dyDescent="0.2">
      <c r="A973" s="4" t="str">
        <f>'Raw Data'!A973</f>
        <v>ORD200971</v>
      </c>
      <c r="B973" s="6">
        <f>'Raw Data'!B973</f>
        <v>45439</v>
      </c>
      <c r="C973" s="4" t="str">
        <f>'Raw Data'!C973</f>
        <v>C32650</v>
      </c>
      <c r="D973" s="4" t="str">
        <f>'Raw Data'!D973</f>
        <v>Monitor</v>
      </c>
      <c r="E973" s="4">
        <f>'Raw Data'!E973</f>
        <v>2</v>
      </c>
      <c r="F973" s="4">
        <f>'Raw Data'!F973</f>
        <v>605.26</v>
      </c>
      <c r="G973" s="4" t="str">
        <f>'Raw Data'!G973</f>
        <v>934 Main St</v>
      </c>
      <c r="H973" s="4" t="str">
        <f>'Raw Data'!H973</f>
        <v>Cash</v>
      </c>
      <c r="I973" s="4" t="str">
        <f>'Raw Data'!I973</f>
        <v>Cancelled</v>
      </c>
      <c r="J973" s="4" t="str">
        <f>'Raw Data'!J973</f>
        <v>TRK66648743</v>
      </c>
      <c r="K973" s="4">
        <f>'Raw Data'!K973</f>
        <v>4</v>
      </c>
      <c r="L973" s="4" t="str">
        <f>IF('Raw Data'!L973="","No Coupon",'Raw Data'!L973)</f>
        <v>WINTER15</v>
      </c>
      <c r="M973" s="4" t="str">
        <f>'Raw Data'!M973</f>
        <v>Referral</v>
      </c>
      <c r="N973" s="4">
        <f>'Raw Data'!N973</f>
        <v>1210.52</v>
      </c>
    </row>
    <row r="974" spans="1:14" ht="15" customHeight="1" x14ac:dyDescent="0.2">
      <c r="A974" s="4" t="str">
        <f>'Raw Data'!A974</f>
        <v>ORD200972</v>
      </c>
      <c r="B974" s="6">
        <f>'Raw Data'!B974</f>
        <v>45452</v>
      </c>
      <c r="C974" s="4" t="str">
        <f>'Raw Data'!C974</f>
        <v>C66438</v>
      </c>
      <c r="D974" s="4" t="str">
        <f>'Raw Data'!D974</f>
        <v>Laptop</v>
      </c>
      <c r="E974" s="4">
        <f>'Raw Data'!E974</f>
        <v>1</v>
      </c>
      <c r="F974" s="4">
        <f>'Raw Data'!F974</f>
        <v>90.27</v>
      </c>
      <c r="G974" s="4" t="str">
        <f>'Raw Data'!G974</f>
        <v>816 Main St</v>
      </c>
      <c r="H974" s="4" t="str">
        <f>'Raw Data'!H974</f>
        <v>Cash</v>
      </c>
      <c r="I974" s="4" t="str">
        <f>'Raw Data'!I974</f>
        <v>Delivered</v>
      </c>
      <c r="J974" s="4" t="str">
        <f>'Raw Data'!J974</f>
        <v>TRK32035271</v>
      </c>
      <c r="K974" s="4">
        <f>'Raw Data'!K974</f>
        <v>5</v>
      </c>
      <c r="L974" s="4" t="str">
        <f>IF('Raw Data'!L974="","No Coupon",'Raw Data'!L974)</f>
        <v>SAVE10</v>
      </c>
      <c r="M974" s="4" t="str">
        <f>'Raw Data'!M974</f>
        <v>Facebook</v>
      </c>
      <c r="N974" s="4">
        <f>'Raw Data'!N974</f>
        <v>90.27</v>
      </c>
    </row>
    <row r="975" spans="1:14" ht="15" customHeight="1" x14ac:dyDescent="0.2">
      <c r="A975" s="4" t="str">
        <f>'Raw Data'!A975</f>
        <v>ORD200973</v>
      </c>
      <c r="B975" s="6">
        <f>'Raw Data'!B975</f>
        <v>45817</v>
      </c>
      <c r="C975" s="4" t="str">
        <f>'Raw Data'!C975</f>
        <v>C70010</v>
      </c>
      <c r="D975" s="4" t="str">
        <f>'Raw Data'!D975</f>
        <v>Desk</v>
      </c>
      <c r="E975" s="4">
        <f>'Raw Data'!E975</f>
        <v>5</v>
      </c>
      <c r="F975" s="4">
        <f>'Raw Data'!F975</f>
        <v>230.77</v>
      </c>
      <c r="G975" s="4" t="str">
        <f>'Raw Data'!G975</f>
        <v>141 Main St</v>
      </c>
      <c r="H975" s="4" t="str">
        <f>'Raw Data'!H975</f>
        <v>Online</v>
      </c>
      <c r="I975" s="4" t="str">
        <f>'Raw Data'!I975</f>
        <v>Pending</v>
      </c>
      <c r="J975" s="4" t="str">
        <f>'Raw Data'!J975</f>
        <v>TRK50594008</v>
      </c>
      <c r="K975" s="4">
        <f>'Raw Data'!K975</f>
        <v>10</v>
      </c>
      <c r="L975" s="4" t="str">
        <f>IF('Raw Data'!L975="","No Coupon",'Raw Data'!L975)</f>
        <v>WINTER15</v>
      </c>
      <c r="M975" s="4" t="str">
        <f>'Raw Data'!M975</f>
        <v>Referral</v>
      </c>
      <c r="N975" s="4">
        <f>'Raw Data'!N975</f>
        <v>1153.8499999999999</v>
      </c>
    </row>
    <row r="976" spans="1:14" ht="15" customHeight="1" x14ac:dyDescent="0.2">
      <c r="A976" s="4" t="str">
        <f>'Raw Data'!A976</f>
        <v>ORD200974</v>
      </c>
      <c r="B976" s="6">
        <f>'Raw Data'!B976</f>
        <v>45196</v>
      </c>
      <c r="C976" s="4" t="str">
        <f>'Raw Data'!C976</f>
        <v>C30722</v>
      </c>
      <c r="D976" s="4" t="str">
        <f>'Raw Data'!D976</f>
        <v>Desk</v>
      </c>
      <c r="E976" s="4">
        <f>'Raw Data'!E976</f>
        <v>5</v>
      </c>
      <c r="F976" s="4">
        <f>'Raw Data'!F976</f>
        <v>266.77999999999997</v>
      </c>
      <c r="G976" s="4" t="str">
        <f>'Raw Data'!G976</f>
        <v>274 Main St</v>
      </c>
      <c r="H976" s="4" t="str">
        <f>'Raw Data'!H976</f>
        <v>Gift Card</v>
      </c>
      <c r="I976" s="4" t="str">
        <f>'Raw Data'!I976</f>
        <v>Cancelled</v>
      </c>
      <c r="J976" s="4" t="str">
        <f>'Raw Data'!J976</f>
        <v>TRK52088168</v>
      </c>
      <c r="K976" s="4">
        <f>'Raw Data'!K976</f>
        <v>5</v>
      </c>
      <c r="L976" s="4" t="str">
        <f>IF('Raw Data'!L976="","No Coupon",'Raw Data'!L976)</f>
        <v>No Coupon</v>
      </c>
      <c r="M976" s="4" t="str">
        <f>'Raw Data'!M976</f>
        <v>Email</v>
      </c>
      <c r="N976" s="4">
        <f>'Raw Data'!N976</f>
        <v>1333.9</v>
      </c>
    </row>
    <row r="977" spans="1:14" ht="15" customHeight="1" x14ac:dyDescent="0.2">
      <c r="A977" s="4" t="str">
        <f>'Raw Data'!A977</f>
        <v>ORD200975</v>
      </c>
      <c r="B977" s="6">
        <f>'Raw Data'!B977</f>
        <v>45064</v>
      </c>
      <c r="C977" s="4" t="str">
        <f>'Raw Data'!C977</f>
        <v>C70529</v>
      </c>
      <c r="D977" s="4" t="str">
        <f>'Raw Data'!D977</f>
        <v>Desk</v>
      </c>
      <c r="E977" s="4">
        <f>'Raw Data'!E977</f>
        <v>1</v>
      </c>
      <c r="F977" s="4">
        <f>'Raw Data'!F977</f>
        <v>105.92</v>
      </c>
      <c r="G977" s="4" t="str">
        <f>'Raw Data'!G977</f>
        <v>974 Main St</v>
      </c>
      <c r="H977" s="4" t="str">
        <f>'Raw Data'!H977</f>
        <v>Gift Card</v>
      </c>
      <c r="I977" s="4" t="str">
        <f>'Raw Data'!I977</f>
        <v>Returned</v>
      </c>
      <c r="J977" s="4" t="str">
        <f>'Raw Data'!J977</f>
        <v>TRK82165408</v>
      </c>
      <c r="K977" s="4">
        <f>'Raw Data'!K977</f>
        <v>6</v>
      </c>
      <c r="L977" s="4" t="str">
        <f>IF('Raw Data'!L977="","No Coupon",'Raw Data'!L977)</f>
        <v>SAVE10</v>
      </c>
      <c r="M977" s="4" t="str">
        <f>'Raw Data'!M977</f>
        <v>Email</v>
      </c>
      <c r="N977" s="4">
        <f>'Raw Data'!N977</f>
        <v>105.92</v>
      </c>
    </row>
    <row r="978" spans="1:14" ht="15" customHeight="1" x14ac:dyDescent="0.2">
      <c r="A978" s="4" t="str">
        <f>'Raw Data'!A978</f>
        <v>ORD200976</v>
      </c>
      <c r="B978" s="6">
        <f>'Raw Data'!B978</f>
        <v>45386</v>
      </c>
      <c r="C978" s="4" t="str">
        <f>'Raw Data'!C978</f>
        <v>C18984</v>
      </c>
      <c r="D978" s="4" t="str">
        <f>'Raw Data'!D978</f>
        <v>Tablet</v>
      </c>
      <c r="E978" s="4">
        <f>'Raw Data'!E978</f>
        <v>3</v>
      </c>
      <c r="F978" s="4">
        <f>'Raw Data'!F978</f>
        <v>589.29999999999995</v>
      </c>
      <c r="G978" s="4" t="str">
        <f>'Raw Data'!G978</f>
        <v>650 Main St</v>
      </c>
      <c r="H978" s="4" t="str">
        <f>'Raw Data'!H978</f>
        <v>Credit Card</v>
      </c>
      <c r="I978" s="4" t="str">
        <f>'Raw Data'!I978</f>
        <v>Returned</v>
      </c>
      <c r="J978" s="4" t="str">
        <f>'Raw Data'!J978</f>
        <v>TRK49298239</v>
      </c>
      <c r="K978" s="4">
        <f>'Raw Data'!K978</f>
        <v>6</v>
      </c>
      <c r="L978" s="4" t="str">
        <f>IF('Raw Data'!L978="","No Coupon",'Raw Data'!L978)</f>
        <v>WINTER15</v>
      </c>
      <c r="M978" s="4" t="str">
        <f>'Raw Data'!M978</f>
        <v>Referral</v>
      </c>
      <c r="N978" s="4">
        <f>'Raw Data'!N978</f>
        <v>1767.9</v>
      </c>
    </row>
    <row r="979" spans="1:14" ht="15" customHeight="1" x14ac:dyDescent="0.2">
      <c r="A979" s="4" t="str">
        <f>'Raw Data'!A979</f>
        <v>ORD200977</v>
      </c>
      <c r="B979" s="6">
        <f>'Raw Data'!B979</f>
        <v>44954</v>
      </c>
      <c r="C979" s="4" t="str">
        <f>'Raw Data'!C979</f>
        <v>C85841</v>
      </c>
      <c r="D979" s="4" t="str">
        <f>'Raw Data'!D979</f>
        <v>Chair</v>
      </c>
      <c r="E979" s="4">
        <f>'Raw Data'!E979</f>
        <v>4</v>
      </c>
      <c r="F979" s="4">
        <f>'Raw Data'!F979</f>
        <v>649.47</v>
      </c>
      <c r="G979" s="4" t="str">
        <f>'Raw Data'!G979</f>
        <v>608 Main St</v>
      </c>
      <c r="H979" s="4" t="str">
        <f>'Raw Data'!H979</f>
        <v>Cash</v>
      </c>
      <c r="I979" s="4" t="str">
        <f>'Raw Data'!I979</f>
        <v>Pending</v>
      </c>
      <c r="J979" s="4" t="str">
        <f>'Raw Data'!J979</f>
        <v>TRK99820544</v>
      </c>
      <c r="K979" s="4">
        <f>'Raw Data'!K979</f>
        <v>8</v>
      </c>
      <c r="L979" s="4" t="str">
        <f>IF('Raw Data'!L979="","No Coupon",'Raw Data'!L979)</f>
        <v>SAVE10</v>
      </c>
      <c r="M979" s="4" t="str">
        <f>'Raw Data'!M979</f>
        <v>Google</v>
      </c>
      <c r="N979" s="4">
        <f>'Raw Data'!N979</f>
        <v>2597.88</v>
      </c>
    </row>
    <row r="980" spans="1:14" ht="15" customHeight="1" x14ac:dyDescent="0.2">
      <c r="A980" s="4" t="str">
        <f>'Raw Data'!A980</f>
        <v>ORD200978</v>
      </c>
      <c r="B980" s="6">
        <f>'Raw Data'!B980</f>
        <v>45468</v>
      </c>
      <c r="C980" s="4" t="str">
        <f>'Raw Data'!C980</f>
        <v>C41508</v>
      </c>
      <c r="D980" s="4" t="str">
        <f>'Raw Data'!D980</f>
        <v>Printer</v>
      </c>
      <c r="E980" s="4">
        <f>'Raw Data'!E980</f>
        <v>4</v>
      </c>
      <c r="F980" s="4">
        <f>'Raw Data'!F980</f>
        <v>107.49</v>
      </c>
      <c r="G980" s="4" t="str">
        <f>'Raw Data'!G980</f>
        <v>993 Main St</v>
      </c>
      <c r="H980" s="4" t="str">
        <f>'Raw Data'!H980</f>
        <v>Cash</v>
      </c>
      <c r="I980" s="4" t="str">
        <f>'Raw Data'!I980</f>
        <v>Delivered</v>
      </c>
      <c r="J980" s="4" t="str">
        <f>'Raw Data'!J980</f>
        <v>TRK61047536</v>
      </c>
      <c r="K980" s="4">
        <f>'Raw Data'!K980</f>
        <v>5</v>
      </c>
      <c r="L980" s="4" t="str">
        <f>IF('Raw Data'!L980="","No Coupon",'Raw Data'!L980)</f>
        <v>No Coupon</v>
      </c>
      <c r="M980" s="4" t="str">
        <f>'Raw Data'!M980</f>
        <v>Google</v>
      </c>
      <c r="N980" s="4">
        <f>'Raw Data'!N980</f>
        <v>429.96</v>
      </c>
    </row>
    <row r="981" spans="1:14" ht="15" customHeight="1" x14ac:dyDescent="0.2">
      <c r="A981" s="4" t="str">
        <f>'Raw Data'!A981</f>
        <v>ORD200979</v>
      </c>
      <c r="B981" s="6">
        <f>'Raw Data'!B981</f>
        <v>45077</v>
      </c>
      <c r="C981" s="4" t="str">
        <f>'Raw Data'!C981</f>
        <v>C75018</v>
      </c>
      <c r="D981" s="4" t="str">
        <f>'Raw Data'!D981</f>
        <v>Monitor</v>
      </c>
      <c r="E981" s="4">
        <f>'Raw Data'!E981</f>
        <v>3</v>
      </c>
      <c r="F981" s="4">
        <f>'Raw Data'!F981</f>
        <v>669.06</v>
      </c>
      <c r="G981" s="4" t="str">
        <f>'Raw Data'!G981</f>
        <v>299 Main St</v>
      </c>
      <c r="H981" s="4" t="str">
        <f>'Raw Data'!H981</f>
        <v>Cash</v>
      </c>
      <c r="I981" s="4" t="str">
        <f>'Raw Data'!I981</f>
        <v>Delivered</v>
      </c>
      <c r="J981" s="4" t="str">
        <f>'Raw Data'!J981</f>
        <v>TRK51794806</v>
      </c>
      <c r="K981" s="4">
        <f>'Raw Data'!K981</f>
        <v>7</v>
      </c>
      <c r="L981" s="4" t="str">
        <f>IF('Raw Data'!L981="","No Coupon",'Raw Data'!L981)</f>
        <v>SAVE10</v>
      </c>
      <c r="M981" s="4" t="str">
        <f>'Raw Data'!M981</f>
        <v>Facebook</v>
      </c>
      <c r="N981" s="4">
        <f>'Raw Data'!N981</f>
        <v>2007.18</v>
      </c>
    </row>
    <row r="982" spans="1:14" ht="15" customHeight="1" x14ac:dyDescent="0.2">
      <c r="A982" s="4" t="str">
        <f>'Raw Data'!A982</f>
        <v>ORD200980</v>
      </c>
      <c r="B982" s="6">
        <f>'Raw Data'!B982</f>
        <v>45213</v>
      </c>
      <c r="C982" s="4" t="str">
        <f>'Raw Data'!C982</f>
        <v>C84320</v>
      </c>
      <c r="D982" s="4" t="str">
        <f>'Raw Data'!D982</f>
        <v>Chair</v>
      </c>
      <c r="E982" s="4">
        <f>'Raw Data'!E982</f>
        <v>3</v>
      </c>
      <c r="F982" s="4">
        <f>'Raw Data'!F982</f>
        <v>69.650000000000006</v>
      </c>
      <c r="G982" s="4" t="str">
        <f>'Raw Data'!G982</f>
        <v>107 Main St</v>
      </c>
      <c r="H982" s="4" t="str">
        <f>'Raw Data'!H982</f>
        <v>Cash</v>
      </c>
      <c r="I982" s="4" t="str">
        <f>'Raw Data'!I982</f>
        <v>Delivered</v>
      </c>
      <c r="J982" s="4" t="str">
        <f>'Raw Data'!J982</f>
        <v>TRK81093218</v>
      </c>
      <c r="K982" s="4">
        <f>'Raw Data'!K982</f>
        <v>7</v>
      </c>
      <c r="L982" s="4" t="str">
        <f>IF('Raw Data'!L982="","No Coupon",'Raw Data'!L982)</f>
        <v>WINTER15</v>
      </c>
      <c r="M982" s="4" t="str">
        <f>'Raw Data'!M982</f>
        <v>Instagram</v>
      </c>
      <c r="N982" s="4">
        <f>'Raw Data'!N982</f>
        <v>208.95</v>
      </c>
    </row>
    <row r="983" spans="1:14" ht="15" customHeight="1" x14ac:dyDescent="0.2">
      <c r="A983" s="4" t="str">
        <f>'Raw Data'!A983</f>
        <v>ORD200981</v>
      </c>
      <c r="B983" s="6">
        <f>'Raw Data'!B983</f>
        <v>45256</v>
      </c>
      <c r="C983" s="4" t="str">
        <f>'Raw Data'!C983</f>
        <v>C12609</v>
      </c>
      <c r="D983" s="4" t="str">
        <f>'Raw Data'!D983</f>
        <v>Phone</v>
      </c>
      <c r="E983" s="4">
        <f>'Raw Data'!E983</f>
        <v>4</v>
      </c>
      <c r="F983" s="4">
        <f>'Raw Data'!F983</f>
        <v>136.83000000000001</v>
      </c>
      <c r="G983" s="4" t="str">
        <f>'Raw Data'!G983</f>
        <v>490 Main St</v>
      </c>
      <c r="H983" s="4" t="str">
        <f>'Raw Data'!H983</f>
        <v>Debit Card</v>
      </c>
      <c r="I983" s="4" t="str">
        <f>'Raw Data'!I983</f>
        <v>Pending</v>
      </c>
      <c r="J983" s="4" t="str">
        <f>'Raw Data'!J983</f>
        <v>TRK56379337</v>
      </c>
      <c r="K983" s="4">
        <f>'Raw Data'!K983</f>
        <v>8</v>
      </c>
      <c r="L983" s="4" t="str">
        <f>IF('Raw Data'!L983="","No Coupon",'Raw Data'!L983)</f>
        <v>SAVE10</v>
      </c>
      <c r="M983" s="4" t="str">
        <f>'Raw Data'!M983</f>
        <v>Email</v>
      </c>
      <c r="N983" s="4">
        <f>'Raw Data'!N983</f>
        <v>547.32000000000005</v>
      </c>
    </row>
    <row r="984" spans="1:14" ht="15" customHeight="1" x14ac:dyDescent="0.2">
      <c r="A984" s="4" t="str">
        <f>'Raw Data'!A984</f>
        <v>ORD200982</v>
      </c>
      <c r="B984" s="6">
        <f>'Raw Data'!B984</f>
        <v>45541</v>
      </c>
      <c r="C984" s="4" t="str">
        <f>'Raw Data'!C984</f>
        <v>C64935</v>
      </c>
      <c r="D984" s="4" t="str">
        <f>'Raw Data'!D984</f>
        <v>Monitor</v>
      </c>
      <c r="E984" s="4">
        <f>'Raw Data'!E984</f>
        <v>1</v>
      </c>
      <c r="F984" s="4">
        <f>'Raw Data'!F984</f>
        <v>304.11</v>
      </c>
      <c r="G984" s="4" t="str">
        <f>'Raw Data'!G984</f>
        <v>707 Main St</v>
      </c>
      <c r="H984" s="4" t="str">
        <f>'Raw Data'!H984</f>
        <v>Gift Card</v>
      </c>
      <c r="I984" s="4" t="str">
        <f>'Raw Data'!I984</f>
        <v>Shipped</v>
      </c>
      <c r="J984" s="4" t="str">
        <f>'Raw Data'!J984</f>
        <v>TRK42969065</v>
      </c>
      <c r="K984" s="4">
        <f>'Raw Data'!K984</f>
        <v>2</v>
      </c>
      <c r="L984" s="4" t="str">
        <f>IF('Raw Data'!L984="","No Coupon",'Raw Data'!L984)</f>
        <v>SAVE10</v>
      </c>
      <c r="M984" s="4" t="str">
        <f>'Raw Data'!M984</f>
        <v>Referral</v>
      </c>
      <c r="N984" s="4">
        <f>'Raw Data'!N984</f>
        <v>304.11</v>
      </c>
    </row>
    <row r="985" spans="1:14" ht="15" customHeight="1" x14ac:dyDescent="0.2">
      <c r="A985" s="4" t="str">
        <f>'Raw Data'!A985</f>
        <v>ORD200983</v>
      </c>
      <c r="B985" s="6">
        <f>'Raw Data'!B985</f>
        <v>45620</v>
      </c>
      <c r="C985" s="4" t="str">
        <f>'Raw Data'!C985</f>
        <v>C67528</v>
      </c>
      <c r="D985" s="4" t="str">
        <f>'Raw Data'!D985</f>
        <v>Monitor</v>
      </c>
      <c r="E985" s="4">
        <f>'Raw Data'!E985</f>
        <v>4</v>
      </c>
      <c r="F985" s="4">
        <f>'Raw Data'!F985</f>
        <v>296.27999999999997</v>
      </c>
      <c r="G985" s="4" t="str">
        <f>'Raw Data'!G985</f>
        <v>110 Main St</v>
      </c>
      <c r="H985" s="4" t="str">
        <f>'Raw Data'!H985</f>
        <v>Gift Card</v>
      </c>
      <c r="I985" s="4" t="str">
        <f>'Raw Data'!I985</f>
        <v>Shipped</v>
      </c>
      <c r="J985" s="4" t="str">
        <f>'Raw Data'!J985</f>
        <v>TRK60865210</v>
      </c>
      <c r="K985" s="4">
        <f>'Raw Data'!K985</f>
        <v>5</v>
      </c>
      <c r="L985" s="4" t="str">
        <f>IF('Raw Data'!L985="","No Coupon",'Raw Data'!L985)</f>
        <v>SAVE10</v>
      </c>
      <c r="M985" s="4" t="str">
        <f>'Raw Data'!M985</f>
        <v>Email</v>
      </c>
      <c r="N985" s="4">
        <f>'Raw Data'!N985</f>
        <v>1185.1199999999999</v>
      </c>
    </row>
    <row r="986" spans="1:14" ht="15" customHeight="1" x14ac:dyDescent="0.2">
      <c r="A986" s="4" t="str">
        <f>'Raw Data'!A986</f>
        <v>ORD200984</v>
      </c>
      <c r="B986" s="6">
        <f>'Raw Data'!B986</f>
        <v>45716</v>
      </c>
      <c r="C986" s="4" t="str">
        <f>'Raw Data'!C986</f>
        <v>C44176</v>
      </c>
      <c r="D986" s="4" t="str">
        <f>'Raw Data'!D986</f>
        <v>Desk</v>
      </c>
      <c r="E986" s="4">
        <f>'Raw Data'!E986</f>
        <v>1</v>
      </c>
      <c r="F986" s="4">
        <f>'Raw Data'!F986</f>
        <v>77.64</v>
      </c>
      <c r="G986" s="4" t="str">
        <f>'Raw Data'!G986</f>
        <v>706 Main St</v>
      </c>
      <c r="H986" s="4" t="str">
        <f>'Raw Data'!H986</f>
        <v>Credit Card</v>
      </c>
      <c r="I986" s="4" t="str">
        <f>'Raw Data'!I986</f>
        <v>Shipped</v>
      </c>
      <c r="J986" s="4" t="str">
        <f>'Raw Data'!J986</f>
        <v>TRK68704764</v>
      </c>
      <c r="K986" s="4">
        <f>'Raw Data'!K986</f>
        <v>1</v>
      </c>
      <c r="L986" s="4" t="str">
        <f>IF('Raw Data'!L986="","No Coupon",'Raw Data'!L986)</f>
        <v>FREESHIP</v>
      </c>
      <c r="M986" s="4" t="str">
        <f>'Raw Data'!M986</f>
        <v>Facebook</v>
      </c>
      <c r="N986" s="4">
        <f>'Raw Data'!N986</f>
        <v>77.64</v>
      </c>
    </row>
    <row r="987" spans="1:14" ht="15" customHeight="1" x14ac:dyDescent="0.2">
      <c r="A987" s="4" t="str">
        <f>'Raw Data'!A987</f>
        <v>ORD200985</v>
      </c>
      <c r="B987" s="6">
        <f>'Raw Data'!B987</f>
        <v>45493</v>
      </c>
      <c r="C987" s="4" t="str">
        <f>'Raw Data'!C987</f>
        <v>C92788</v>
      </c>
      <c r="D987" s="4" t="str">
        <f>'Raw Data'!D987</f>
        <v>Desk</v>
      </c>
      <c r="E987" s="4">
        <f>'Raw Data'!E987</f>
        <v>1</v>
      </c>
      <c r="F987" s="4">
        <f>'Raw Data'!F987</f>
        <v>243.71</v>
      </c>
      <c r="G987" s="4" t="str">
        <f>'Raw Data'!G987</f>
        <v>948 Main St</v>
      </c>
      <c r="H987" s="4" t="str">
        <f>'Raw Data'!H987</f>
        <v>Gift Card</v>
      </c>
      <c r="I987" s="4" t="str">
        <f>'Raw Data'!I987</f>
        <v>Delivered</v>
      </c>
      <c r="J987" s="4" t="str">
        <f>'Raw Data'!J987</f>
        <v>TRK83835361</v>
      </c>
      <c r="K987" s="4">
        <f>'Raw Data'!K987</f>
        <v>6</v>
      </c>
      <c r="L987" s="4" t="str">
        <f>IF('Raw Data'!L987="","No Coupon",'Raw Data'!L987)</f>
        <v>SAVE10</v>
      </c>
      <c r="M987" s="4" t="str">
        <f>'Raw Data'!M987</f>
        <v>Google</v>
      </c>
      <c r="N987" s="4">
        <f>'Raw Data'!N987</f>
        <v>243.71</v>
      </c>
    </row>
    <row r="988" spans="1:14" ht="15" customHeight="1" x14ac:dyDescent="0.2">
      <c r="A988" s="4" t="str">
        <f>'Raw Data'!A988</f>
        <v>ORD200986</v>
      </c>
      <c r="B988" s="6">
        <f>'Raw Data'!B988</f>
        <v>45542</v>
      </c>
      <c r="C988" s="4" t="str">
        <f>'Raw Data'!C988</f>
        <v>C69213</v>
      </c>
      <c r="D988" s="4" t="str">
        <f>'Raw Data'!D988</f>
        <v>Laptop</v>
      </c>
      <c r="E988" s="4">
        <f>'Raw Data'!E988</f>
        <v>4</v>
      </c>
      <c r="F988" s="4">
        <f>'Raw Data'!F988</f>
        <v>644.96</v>
      </c>
      <c r="G988" s="4" t="str">
        <f>'Raw Data'!G988</f>
        <v>533 Main St</v>
      </c>
      <c r="H988" s="4" t="str">
        <f>'Raw Data'!H988</f>
        <v>Credit Card</v>
      </c>
      <c r="I988" s="4" t="str">
        <f>'Raw Data'!I988</f>
        <v>Pending</v>
      </c>
      <c r="J988" s="4" t="str">
        <f>'Raw Data'!J988</f>
        <v>TRK67837331</v>
      </c>
      <c r="K988" s="4">
        <f>'Raw Data'!K988</f>
        <v>7</v>
      </c>
      <c r="L988" s="4" t="str">
        <f>IF('Raw Data'!L988="","No Coupon",'Raw Data'!L988)</f>
        <v>FREESHIP</v>
      </c>
      <c r="M988" s="4" t="str">
        <f>'Raw Data'!M988</f>
        <v>Email</v>
      </c>
      <c r="N988" s="4">
        <f>'Raw Data'!N988</f>
        <v>2579.84</v>
      </c>
    </row>
    <row r="989" spans="1:14" ht="15" customHeight="1" x14ac:dyDescent="0.2">
      <c r="A989" s="4" t="str">
        <f>'Raw Data'!A989</f>
        <v>ORD200987</v>
      </c>
      <c r="B989" s="6">
        <f>'Raw Data'!B989</f>
        <v>45813</v>
      </c>
      <c r="C989" s="4" t="str">
        <f>'Raw Data'!C989</f>
        <v>C67387</v>
      </c>
      <c r="D989" s="4" t="str">
        <f>'Raw Data'!D989</f>
        <v>Phone</v>
      </c>
      <c r="E989" s="4">
        <f>'Raw Data'!E989</f>
        <v>5</v>
      </c>
      <c r="F989" s="4">
        <f>'Raw Data'!F989</f>
        <v>283.73</v>
      </c>
      <c r="G989" s="4" t="str">
        <f>'Raw Data'!G989</f>
        <v>436 Main St</v>
      </c>
      <c r="H989" s="4" t="str">
        <f>'Raw Data'!H989</f>
        <v>Gift Card</v>
      </c>
      <c r="I989" s="4" t="str">
        <f>'Raw Data'!I989</f>
        <v>Pending</v>
      </c>
      <c r="J989" s="4" t="str">
        <f>'Raw Data'!J989</f>
        <v>TRK54120003</v>
      </c>
      <c r="K989" s="4">
        <f>'Raw Data'!K989</f>
        <v>8</v>
      </c>
      <c r="L989" s="4" t="str">
        <f>IF('Raw Data'!L989="","No Coupon",'Raw Data'!L989)</f>
        <v>FREESHIP</v>
      </c>
      <c r="M989" s="4" t="str">
        <f>'Raw Data'!M989</f>
        <v>Instagram</v>
      </c>
      <c r="N989" s="4">
        <f>'Raw Data'!N989</f>
        <v>1418.65</v>
      </c>
    </row>
    <row r="990" spans="1:14" ht="15" customHeight="1" x14ac:dyDescent="0.2">
      <c r="A990" s="4" t="str">
        <f>'Raw Data'!A990</f>
        <v>ORD200988</v>
      </c>
      <c r="B990" s="6">
        <f>'Raw Data'!B990</f>
        <v>45692</v>
      </c>
      <c r="C990" s="4" t="str">
        <f>'Raw Data'!C990</f>
        <v>C90318</v>
      </c>
      <c r="D990" s="4" t="str">
        <f>'Raw Data'!D990</f>
        <v>Desk</v>
      </c>
      <c r="E990" s="4">
        <f>'Raw Data'!E990</f>
        <v>2</v>
      </c>
      <c r="F990" s="4">
        <f>'Raw Data'!F990</f>
        <v>629.55999999999995</v>
      </c>
      <c r="G990" s="4" t="str">
        <f>'Raw Data'!G990</f>
        <v>818 Main St</v>
      </c>
      <c r="H990" s="4" t="str">
        <f>'Raw Data'!H990</f>
        <v>Gift Card</v>
      </c>
      <c r="I990" s="4" t="str">
        <f>'Raw Data'!I990</f>
        <v>Cancelled</v>
      </c>
      <c r="J990" s="4" t="str">
        <f>'Raw Data'!J990</f>
        <v>TRK52765043</v>
      </c>
      <c r="K990" s="4">
        <f>'Raw Data'!K990</f>
        <v>5</v>
      </c>
      <c r="L990" s="4" t="str">
        <f>IF('Raw Data'!L990="","No Coupon",'Raw Data'!L990)</f>
        <v>WINTER15</v>
      </c>
      <c r="M990" s="4" t="str">
        <f>'Raw Data'!M990</f>
        <v>Instagram</v>
      </c>
      <c r="N990" s="4">
        <f>'Raw Data'!N990</f>
        <v>1259.1199999999999</v>
      </c>
    </row>
    <row r="991" spans="1:14" ht="15" customHeight="1" x14ac:dyDescent="0.2">
      <c r="A991" s="4" t="str">
        <f>'Raw Data'!A991</f>
        <v>ORD200989</v>
      </c>
      <c r="B991" s="6">
        <f>'Raw Data'!B991</f>
        <v>45008</v>
      </c>
      <c r="C991" s="4" t="str">
        <f>'Raw Data'!C991</f>
        <v>C49995</v>
      </c>
      <c r="D991" s="4" t="str">
        <f>'Raw Data'!D991</f>
        <v>Laptop</v>
      </c>
      <c r="E991" s="4">
        <f>'Raw Data'!E991</f>
        <v>4</v>
      </c>
      <c r="F991" s="4">
        <f>'Raw Data'!F991</f>
        <v>246.11</v>
      </c>
      <c r="G991" s="4" t="str">
        <f>'Raw Data'!G991</f>
        <v>559 Main St</v>
      </c>
      <c r="H991" s="4" t="str">
        <f>'Raw Data'!H991</f>
        <v>Credit Card</v>
      </c>
      <c r="I991" s="4" t="str">
        <f>'Raw Data'!I991</f>
        <v>Pending</v>
      </c>
      <c r="J991" s="4" t="str">
        <f>'Raw Data'!J991</f>
        <v>TRK33212013</v>
      </c>
      <c r="K991" s="4">
        <f>'Raw Data'!K991</f>
        <v>4</v>
      </c>
      <c r="L991" s="4" t="str">
        <f>IF('Raw Data'!L991="","No Coupon",'Raw Data'!L991)</f>
        <v>SAVE10</v>
      </c>
      <c r="M991" s="4" t="str">
        <f>'Raw Data'!M991</f>
        <v>Instagram</v>
      </c>
      <c r="N991" s="4">
        <f>'Raw Data'!N991</f>
        <v>984.44</v>
      </c>
    </row>
    <row r="992" spans="1:14" ht="15" customHeight="1" x14ac:dyDescent="0.2">
      <c r="A992" s="4" t="str">
        <f>'Raw Data'!A992</f>
        <v>ORD200990</v>
      </c>
      <c r="B992" s="6">
        <f>'Raw Data'!B992</f>
        <v>45249</v>
      </c>
      <c r="C992" s="4" t="str">
        <f>'Raw Data'!C992</f>
        <v>C52313</v>
      </c>
      <c r="D992" s="4" t="str">
        <f>'Raw Data'!D992</f>
        <v>Phone</v>
      </c>
      <c r="E992" s="4">
        <f>'Raw Data'!E992</f>
        <v>2</v>
      </c>
      <c r="F992" s="4">
        <f>'Raw Data'!F992</f>
        <v>418.26</v>
      </c>
      <c r="G992" s="4" t="str">
        <f>'Raw Data'!G992</f>
        <v>913 Main St</v>
      </c>
      <c r="H992" s="4" t="str">
        <f>'Raw Data'!H992</f>
        <v>Debit Card</v>
      </c>
      <c r="I992" s="4" t="str">
        <f>'Raw Data'!I992</f>
        <v>Pending</v>
      </c>
      <c r="J992" s="4" t="str">
        <f>'Raw Data'!J992</f>
        <v>TRK67368559</v>
      </c>
      <c r="K992" s="4">
        <f>'Raw Data'!K992</f>
        <v>2</v>
      </c>
      <c r="L992" s="4" t="str">
        <f>IF('Raw Data'!L992="","No Coupon",'Raw Data'!L992)</f>
        <v>SAVE10</v>
      </c>
      <c r="M992" s="4" t="str">
        <f>'Raw Data'!M992</f>
        <v>Google</v>
      </c>
      <c r="N992" s="4">
        <f>'Raw Data'!N992</f>
        <v>836.52</v>
      </c>
    </row>
    <row r="993" spans="1:14" ht="15" customHeight="1" x14ac:dyDescent="0.2">
      <c r="A993" s="4" t="str">
        <f>'Raw Data'!A993</f>
        <v>ORD200991</v>
      </c>
      <c r="B993" s="6">
        <f>'Raw Data'!B993</f>
        <v>45421</v>
      </c>
      <c r="C993" s="4" t="str">
        <f>'Raw Data'!C993</f>
        <v>C10211</v>
      </c>
      <c r="D993" s="4" t="str">
        <f>'Raw Data'!D993</f>
        <v>Desk</v>
      </c>
      <c r="E993" s="4">
        <f>'Raw Data'!E993</f>
        <v>5</v>
      </c>
      <c r="F993" s="4">
        <f>'Raw Data'!F993</f>
        <v>127.18</v>
      </c>
      <c r="G993" s="4" t="str">
        <f>'Raw Data'!G993</f>
        <v>598 Main St</v>
      </c>
      <c r="H993" s="4" t="str">
        <f>'Raw Data'!H993</f>
        <v>Debit Card</v>
      </c>
      <c r="I993" s="4" t="str">
        <f>'Raw Data'!I993</f>
        <v>Cancelled</v>
      </c>
      <c r="J993" s="4" t="str">
        <f>'Raw Data'!J993</f>
        <v>TRK68938335</v>
      </c>
      <c r="K993" s="4">
        <f>'Raw Data'!K993</f>
        <v>10</v>
      </c>
      <c r="L993" s="4" t="str">
        <f>IF('Raw Data'!L993="","No Coupon",'Raw Data'!L993)</f>
        <v>FREESHIP</v>
      </c>
      <c r="M993" s="4" t="str">
        <f>'Raw Data'!M993</f>
        <v>Google</v>
      </c>
      <c r="N993" s="4">
        <f>'Raw Data'!N993</f>
        <v>635.9</v>
      </c>
    </row>
    <row r="994" spans="1:14" ht="15" customHeight="1" x14ac:dyDescent="0.2">
      <c r="A994" s="4" t="str">
        <f>'Raw Data'!A994</f>
        <v>ORD200992</v>
      </c>
      <c r="B994" s="6">
        <f>'Raw Data'!B994</f>
        <v>45531</v>
      </c>
      <c r="C994" s="4" t="str">
        <f>'Raw Data'!C994</f>
        <v>C97907</v>
      </c>
      <c r="D994" s="4" t="str">
        <f>'Raw Data'!D994</f>
        <v>Printer</v>
      </c>
      <c r="E994" s="4">
        <f>'Raw Data'!E994</f>
        <v>3</v>
      </c>
      <c r="F994" s="4">
        <f>'Raw Data'!F994</f>
        <v>586.21</v>
      </c>
      <c r="G994" s="4" t="str">
        <f>'Raw Data'!G994</f>
        <v>933 Main St</v>
      </c>
      <c r="H994" s="4" t="str">
        <f>'Raw Data'!H994</f>
        <v>Gift Card</v>
      </c>
      <c r="I994" s="4" t="str">
        <f>'Raw Data'!I994</f>
        <v>Pending</v>
      </c>
      <c r="J994" s="4" t="str">
        <f>'Raw Data'!J994</f>
        <v>TRK89637569</v>
      </c>
      <c r="K994" s="4">
        <f>'Raw Data'!K994</f>
        <v>4</v>
      </c>
      <c r="L994" s="4" t="str">
        <f>IF('Raw Data'!L994="","No Coupon",'Raw Data'!L994)</f>
        <v>WINTER15</v>
      </c>
      <c r="M994" s="4" t="str">
        <f>'Raw Data'!M994</f>
        <v>Referral</v>
      </c>
      <c r="N994" s="4">
        <f>'Raw Data'!N994</f>
        <v>1758.63</v>
      </c>
    </row>
    <row r="995" spans="1:14" ht="15" customHeight="1" x14ac:dyDescent="0.2">
      <c r="A995" s="4" t="str">
        <f>'Raw Data'!A995</f>
        <v>ORD200993</v>
      </c>
      <c r="B995" s="6">
        <f>'Raw Data'!B995</f>
        <v>45388</v>
      </c>
      <c r="C995" s="4" t="str">
        <f>'Raw Data'!C995</f>
        <v>C61384</v>
      </c>
      <c r="D995" s="4" t="str">
        <f>'Raw Data'!D995</f>
        <v>Monitor</v>
      </c>
      <c r="E995" s="4">
        <f>'Raw Data'!E995</f>
        <v>3</v>
      </c>
      <c r="F995" s="4">
        <f>'Raw Data'!F995</f>
        <v>267.45</v>
      </c>
      <c r="G995" s="4" t="str">
        <f>'Raw Data'!G995</f>
        <v>576 Main St</v>
      </c>
      <c r="H995" s="4" t="str">
        <f>'Raw Data'!H995</f>
        <v>Gift Card</v>
      </c>
      <c r="I995" s="4" t="str">
        <f>'Raw Data'!I995</f>
        <v>Delivered</v>
      </c>
      <c r="J995" s="4" t="str">
        <f>'Raw Data'!J995</f>
        <v>TRK33323210</v>
      </c>
      <c r="K995" s="4">
        <f>'Raw Data'!K995</f>
        <v>5</v>
      </c>
      <c r="L995" s="4" t="str">
        <f>IF('Raw Data'!L995="","No Coupon",'Raw Data'!L995)</f>
        <v>WINTER15</v>
      </c>
      <c r="M995" s="4" t="str">
        <f>'Raw Data'!M995</f>
        <v>Instagram</v>
      </c>
      <c r="N995" s="4">
        <f>'Raw Data'!N995</f>
        <v>802.35</v>
      </c>
    </row>
    <row r="996" spans="1:14" ht="15" customHeight="1" x14ac:dyDescent="0.2">
      <c r="A996" s="4" t="str">
        <f>'Raw Data'!A996</f>
        <v>ORD200994</v>
      </c>
      <c r="B996" s="6">
        <f>'Raw Data'!B996</f>
        <v>45470</v>
      </c>
      <c r="C996" s="4" t="str">
        <f>'Raw Data'!C996</f>
        <v>C27613</v>
      </c>
      <c r="D996" s="4" t="str">
        <f>'Raw Data'!D996</f>
        <v>Tablet</v>
      </c>
      <c r="E996" s="4">
        <f>'Raw Data'!E996</f>
        <v>4</v>
      </c>
      <c r="F996" s="4">
        <f>'Raw Data'!F996</f>
        <v>615.65</v>
      </c>
      <c r="G996" s="4" t="str">
        <f>'Raw Data'!G996</f>
        <v>971 Main St</v>
      </c>
      <c r="H996" s="4" t="str">
        <f>'Raw Data'!H996</f>
        <v>Debit Card</v>
      </c>
      <c r="I996" s="4" t="str">
        <f>'Raw Data'!I996</f>
        <v>Delivered</v>
      </c>
      <c r="J996" s="4" t="str">
        <f>'Raw Data'!J996</f>
        <v>TRK63701318</v>
      </c>
      <c r="K996" s="4">
        <f>'Raw Data'!K996</f>
        <v>9</v>
      </c>
      <c r="L996" s="4" t="str">
        <f>IF('Raw Data'!L996="","No Coupon",'Raw Data'!L996)</f>
        <v>WINTER15</v>
      </c>
      <c r="M996" s="4" t="str">
        <f>'Raw Data'!M996</f>
        <v>Google</v>
      </c>
      <c r="N996" s="4">
        <f>'Raw Data'!N996</f>
        <v>2462.6</v>
      </c>
    </row>
    <row r="997" spans="1:14" ht="15" customHeight="1" x14ac:dyDescent="0.2">
      <c r="A997" s="4" t="str">
        <f>'Raw Data'!A997</f>
        <v>ORD200995</v>
      </c>
      <c r="B997" s="6">
        <f>'Raw Data'!B997</f>
        <v>45248</v>
      </c>
      <c r="C997" s="4" t="str">
        <f>'Raw Data'!C997</f>
        <v>C99271</v>
      </c>
      <c r="D997" s="4" t="str">
        <f>'Raw Data'!D997</f>
        <v>Monitor</v>
      </c>
      <c r="E997" s="4">
        <f>'Raw Data'!E997</f>
        <v>2</v>
      </c>
      <c r="F997" s="4">
        <f>'Raw Data'!F997</f>
        <v>113.29</v>
      </c>
      <c r="G997" s="4" t="str">
        <f>'Raw Data'!G997</f>
        <v>959 Main St</v>
      </c>
      <c r="H997" s="4" t="str">
        <f>'Raw Data'!H997</f>
        <v>Cash</v>
      </c>
      <c r="I997" s="4" t="str">
        <f>'Raw Data'!I997</f>
        <v>Pending</v>
      </c>
      <c r="J997" s="4" t="str">
        <f>'Raw Data'!J997</f>
        <v>TRK87832736</v>
      </c>
      <c r="K997" s="4">
        <f>'Raw Data'!K997</f>
        <v>5</v>
      </c>
      <c r="L997" s="4" t="str">
        <f>IF('Raw Data'!L997="","No Coupon",'Raw Data'!L997)</f>
        <v>SAVE10</v>
      </c>
      <c r="M997" s="4" t="str">
        <f>'Raw Data'!M997</f>
        <v>Facebook</v>
      </c>
      <c r="N997" s="4">
        <f>'Raw Data'!N997</f>
        <v>226.58</v>
      </c>
    </row>
    <row r="998" spans="1:14" ht="15" customHeight="1" x14ac:dyDescent="0.2">
      <c r="A998" s="4" t="str">
        <f>'Raw Data'!A998</f>
        <v>ORD200996</v>
      </c>
      <c r="B998" s="6">
        <f>'Raw Data'!B998</f>
        <v>45410</v>
      </c>
      <c r="C998" s="4" t="str">
        <f>'Raw Data'!C998</f>
        <v>C28648</v>
      </c>
      <c r="D998" s="4" t="str">
        <f>'Raw Data'!D998</f>
        <v>Monitor</v>
      </c>
      <c r="E998" s="4">
        <f>'Raw Data'!E998</f>
        <v>4</v>
      </c>
      <c r="F998" s="4">
        <f>'Raw Data'!F998</f>
        <v>473.86</v>
      </c>
      <c r="G998" s="4" t="str">
        <f>'Raw Data'!G998</f>
        <v>101 Main St</v>
      </c>
      <c r="H998" s="4" t="str">
        <f>'Raw Data'!H998</f>
        <v>Debit Card</v>
      </c>
      <c r="I998" s="4" t="str">
        <f>'Raw Data'!I998</f>
        <v>Delivered</v>
      </c>
      <c r="J998" s="4" t="str">
        <f>'Raw Data'!J998</f>
        <v>TRK92240846</v>
      </c>
      <c r="K998" s="4">
        <f>'Raw Data'!K998</f>
        <v>7</v>
      </c>
      <c r="L998" s="4" t="str">
        <f>IF('Raw Data'!L998="","No Coupon",'Raw Data'!L998)</f>
        <v>SAVE10</v>
      </c>
      <c r="M998" s="4" t="str">
        <f>'Raw Data'!M998</f>
        <v>Facebook</v>
      </c>
      <c r="N998" s="4">
        <f>'Raw Data'!N998</f>
        <v>1895.44</v>
      </c>
    </row>
    <row r="999" spans="1:14" ht="15" customHeight="1" x14ac:dyDescent="0.2">
      <c r="A999" s="4" t="str">
        <f>'Raw Data'!A999</f>
        <v>ORD200997</v>
      </c>
      <c r="B999" s="6">
        <f>'Raw Data'!B999</f>
        <v>45257</v>
      </c>
      <c r="C999" s="4" t="str">
        <f>'Raw Data'!C999</f>
        <v>C26210</v>
      </c>
      <c r="D999" s="4" t="str">
        <f>'Raw Data'!D999</f>
        <v>Laptop</v>
      </c>
      <c r="E999" s="4">
        <f>'Raw Data'!E999</f>
        <v>3</v>
      </c>
      <c r="F999" s="4">
        <f>'Raw Data'!F999</f>
        <v>444.75</v>
      </c>
      <c r="G999" s="4" t="str">
        <f>'Raw Data'!G999</f>
        <v>805 Main St</v>
      </c>
      <c r="H999" s="4" t="str">
        <f>'Raw Data'!H999</f>
        <v>Cash</v>
      </c>
      <c r="I999" s="4" t="str">
        <f>'Raw Data'!I999</f>
        <v>Delivered</v>
      </c>
      <c r="J999" s="4" t="str">
        <f>'Raw Data'!J999</f>
        <v>TRK40616861</v>
      </c>
      <c r="K999" s="4">
        <f>'Raw Data'!K999</f>
        <v>6</v>
      </c>
      <c r="L999" s="4" t="str">
        <f>IF('Raw Data'!L999="","No Coupon",'Raw Data'!L999)</f>
        <v>SAVE10</v>
      </c>
      <c r="M999" s="4" t="str">
        <f>'Raw Data'!M999</f>
        <v>Facebook</v>
      </c>
      <c r="N999" s="4">
        <f>'Raw Data'!N999</f>
        <v>1334.25</v>
      </c>
    </row>
    <row r="1000" spans="1:14" ht="15" customHeight="1" x14ac:dyDescent="0.2">
      <c r="A1000" s="4" t="str">
        <f>'Raw Data'!A1000</f>
        <v>ORD200998</v>
      </c>
      <c r="B1000" s="6">
        <f>'Raw Data'!B1000</f>
        <v>45065</v>
      </c>
      <c r="C1000" s="4" t="str">
        <f>'Raw Data'!C1000</f>
        <v>C90350</v>
      </c>
      <c r="D1000" s="4" t="str">
        <f>'Raw Data'!D1000</f>
        <v>Phone</v>
      </c>
      <c r="E1000" s="4">
        <f>'Raw Data'!E1000</f>
        <v>2</v>
      </c>
      <c r="F1000" s="4">
        <f>'Raw Data'!F1000</f>
        <v>183.67</v>
      </c>
      <c r="G1000" s="4" t="str">
        <f>'Raw Data'!G1000</f>
        <v>783 Main St</v>
      </c>
      <c r="H1000" s="4" t="str">
        <f>'Raw Data'!H1000</f>
        <v>Debit Card</v>
      </c>
      <c r="I1000" s="4" t="str">
        <f>'Raw Data'!I1000</f>
        <v>Cancelled</v>
      </c>
      <c r="J1000" s="4" t="str">
        <f>'Raw Data'!J1000</f>
        <v>TRK22824230</v>
      </c>
      <c r="K1000" s="4">
        <f>'Raw Data'!K1000</f>
        <v>6</v>
      </c>
      <c r="L1000" s="4" t="str">
        <f>IF('Raw Data'!L1000="","No Coupon",'Raw Data'!L1000)</f>
        <v>SAVE10</v>
      </c>
      <c r="M1000" s="4" t="str">
        <f>'Raw Data'!M1000</f>
        <v>Google</v>
      </c>
      <c r="N1000" s="4">
        <f>'Raw Data'!N1000</f>
        <v>367.34</v>
      </c>
    </row>
    <row r="1001" spans="1:14" ht="15" customHeight="1" x14ac:dyDescent="0.2">
      <c r="A1001" s="4" t="str">
        <f>'Raw Data'!A1001</f>
        <v>ORD200999</v>
      </c>
      <c r="B1001" s="6">
        <f>'Raw Data'!B1001</f>
        <v>45284</v>
      </c>
      <c r="C1001" s="4" t="str">
        <f>'Raw Data'!C1001</f>
        <v>C61957</v>
      </c>
      <c r="D1001" s="4" t="str">
        <f>'Raw Data'!D1001</f>
        <v>Printer</v>
      </c>
      <c r="E1001" s="4">
        <f>'Raw Data'!E1001</f>
        <v>1</v>
      </c>
      <c r="F1001" s="4">
        <f>'Raw Data'!F1001</f>
        <v>483.38</v>
      </c>
      <c r="G1001" s="4" t="str">
        <f>'Raw Data'!G1001</f>
        <v>652 Main St</v>
      </c>
      <c r="H1001" s="4" t="str">
        <f>'Raw Data'!H1001</f>
        <v>Cash</v>
      </c>
      <c r="I1001" s="4" t="str">
        <f>'Raw Data'!I1001</f>
        <v>Pending</v>
      </c>
      <c r="J1001" s="4" t="str">
        <f>'Raw Data'!J1001</f>
        <v>TRK43983841</v>
      </c>
      <c r="K1001" s="4">
        <f>'Raw Data'!K1001</f>
        <v>6</v>
      </c>
      <c r="L1001" s="4" t="str">
        <f>IF('Raw Data'!L1001="","No Coupon",'Raw Data'!L1001)</f>
        <v>FREESHIP</v>
      </c>
      <c r="M1001" s="4" t="str">
        <f>'Raw Data'!M1001</f>
        <v>Google</v>
      </c>
      <c r="N1001" s="4">
        <f>'Raw Data'!N1001</f>
        <v>483.38</v>
      </c>
    </row>
    <row r="1002" spans="1:14" ht="15" customHeight="1" x14ac:dyDescent="0.2">
      <c r="A1002" s="4" t="str">
        <f>'Raw Data'!A1002</f>
        <v>ORD201000</v>
      </c>
      <c r="B1002" s="6">
        <f>'Raw Data'!B1002</f>
        <v>45098</v>
      </c>
      <c r="C1002" s="4" t="str">
        <f>'Raw Data'!C1002</f>
        <v>C90132</v>
      </c>
      <c r="D1002" s="4" t="str">
        <f>'Raw Data'!D1002</f>
        <v>Printer</v>
      </c>
      <c r="E1002" s="4">
        <f>'Raw Data'!E1002</f>
        <v>5</v>
      </c>
      <c r="F1002" s="4">
        <f>'Raw Data'!F1002</f>
        <v>260.93</v>
      </c>
      <c r="G1002" s="4" t="str">
        <f>'Raw Data'!G1002</f>
        <v>582 Main St</v>
      </c>
      <c r="H1002" s="4" t="str">
        <f>'Raw Data'!H1002</f>
        <v>Online</v>
      </c>
      <c r="I1002" s="4" t="str">
        <f>'Raw Data'!I1002</f>
        <v>Delivered</v>
      </c>
      <c r="J1002" s="4" t="str">
        <f>'Raw Data'!J1002</f>
        <v>TRK52664903</v>
      </c>
      <c r="K1002" s="4">
        <f>'Raw Data'!K1002</f>
        <v>9</v>
      </c>
      <c r="L1002" s="4" t="str">
        <f>IF('Raw Data'!L1002="","No Coupon",'Raw Data'!L1002)</f>
        <v>SAVE10</v>
      </c>
      <c r="M1002" s="4" t="str">
        <f>'Raw Data'!M1002</f>
        <v>Email</v>
      </c>
      <c r="N1002" s="4">
        <f>'Raw Data'!N1002</f>
        <v>1304.6500000000001</v>
      </c>
    </row>
    <row r="1003" spans="1:14" ht="15" customHeight="1" x14ac:dyDescent="0.2">
      <c r="A1003" s="4" t="str">
        <f>'Raw Data'!A1003</f>
        <v>ORD201001</v>
      </c>
      <c r="B1003" s="6">
        <f>'Raw Data'!B1003</f>
        <v>45268</v>
      </c>
      <c r="C1003" s="4" t="str">
        <f>'Raw Data'!C1003</f>
        <v>C31371</v>
      </c>
      <c r="D1003" s="4" t="str">
        <f>'Raw Data'!D1003</f>
        <v>Printer</v>
      </c>
      <c r="E1003" s="4">
        <f>'Raw Data'!E1003</f>
        <v>2</v>
      </c>
      <c r="F1003" s="4">
        <f>'Raw Data'!F1003</f>
        <v>253.68</v>
      </c>
      <c r="G1003" s="4" t="str">
        <f>'Raw Data'!G1003</f>
        <v>122 Main St</v>
      </c>
      <c r="H1003" s="4" t="str">
        <f>'Raw Data'!H1003</f>
        <v>Gift Card</v>
      </c>
      <c r="I1003" s="4" t="str">
        <f>'Raw Data'!I1003</f>
        <v>Shipped</v>
      </c>
      <c r="J1003" s="4" t="str">
        <f>'Raw Data'!J1003</f>
        <v>TRK19554327</v>
      </c>
      <c r="K1003" s="4">
        <f>'Raw Data'!K1003</f>
        <v>6</v>
      </c>
      <c r="L1003" s="4" t="str">
        <f>IF('Raw Data'!L1003="","No Coupon",'Raw Data'!L1003)</f>
        <v>No Coupon</v>
      </c>
      <c r="M1003" s="4" t="str">
        <f>'Raw Data'!M1003</f>
        <v>Referral</v>
      </c>
      <c r="N1003" s="4">
        <f>'Raw Data'!N1003</f>
        <v>507.36</v>
      </c>
    </row>
    <row r="1004" spans="1:14" ht="15" customHeight="1" x14ac:dyDescent="0.2">
      <c r="A1004" s="4" t="str">
        <f>'Raw Data'!A1004</f>
        <v>ORD201002</v>
      </c>
      <c r="B1004" s="6">
        <f>'Raw Data'!B1004</f>
        <v>45827</v>
      </c>
      <c r="C1004" s="4" t="str">
        <f>'Raw Data'!C1004</f>
        <v>C83911</v>
      </c>
      <c r="D1004" s="4" t="str">
        <f>'Raw Data'!D1004</f>
        <v>Tablet</v>
      </c>
      <c r="E1004" s="4">
        <f>'Raw Data'!E1004</f>
        <v>4</v>
      </c>
      <c r="F1004" s="4">
        <f>'Raw Data'!F1004</f>
        <v>699.88</v>
      </c>
      <c r="G1004" s="4" t="str">
        <f>'Raw Data'!G1004</f>
        <v>944 Main St</v>
      </c>
      <c r="H1004" s="4" t="str">
        <f>'Raw Data'!H1004</f>
        <v>Cash</v>
      </c>
      <c r="I1004" s="4" t="str">
        <f>'Raw Data'!I1004</f>
        <v>Pending</v>
      </c>
      <c r="J1004" s="4" t="str">
        <f>'Raw Data'!J1004</f>
        <v>TRK33188106</v>
      </c>
      <c r="K1004" s="4">
        <f>'Raw Data'!K1004</f>
        <v>5</v>
      </c>
      <c r="L1004" s="4" t="str">
        <f>IF('Raw Data'!L1004="","No Coupon",'Raw Data'!L1004)</f>
        <v>WINTER15</v>
      </c>
      <c r="M1004" s="4" t="str">
        <f>'Raw Data'!M1004</f>
        <v>Referral</v>
      </c>
      <c r="N1004" s="4">
        <f>'Raw Data'!N1004</f>
        <v>2799.52</v>
      </c>
    </row>
    <row r="1005" spans="1:14" ht="15" customHeight="1" x14ac:dyDescent="0.2">
      <c r="A1005" s="4" t="str">
        <f>'Raw Data'!A1005</f>
        <v>ORD201003</v>
      </c>
      <c r="B1005" s="6">
        <f>'Raw Data'!B1005</f>
        <v>44937</v>
      </c>
      <c r="C1005" s="4" t="str">
        <f>'Raw Data'!C1005</f>
        <v>C84700</v>
      </c>
      <c r="D1005" s="4" t="str">
        <f>'Raw Data'!D1005</f>
        <v>Printer</v>
      </c>
      <c r="E1005" s="4">
        <f>'Raw Data'!E1005</f>
        <v>5</v>
      </c>
      <c r="F1005" s="4">
        <f>'Raw Data'!F1005</f>
        <v>319.97000000000003</v>
      </c>
      <c r="G1005" s="4" t="str">
        <f>'Raw Data'!G1005</f>
        <v>582 Main St</v>
      </c>
      <c r="H1005" s="4" t="str">
        <f>'Raw Data'!H1005</f>
        <v>Cash</v>
      </c>
      <c r="I1005" s="4" t="str">
        <f>'Raw Data'!I1005</f>
        <v>Shipped</v>
      </c>
      <c r="J1005" s="4" t="str">
        <f>'Raw Data'!J1005</f>
        <v>TRK14706969</v>
      </c>
      <c r="K1005" s="4">
        <f>'Raw Data'!K1005</f>
        <v>7</v>
      </c>
      <c r="L1005" s="4" t="str">
        <f>IF('Raw Data'!L1005="","No Coupon",'Raw Data'!L1005)</f>
        <v>SAVE10</v>
      </c>
      <c r="M1005" s="4" t="str">
        <f>'Raw Data'!M1005</f>
        <v>Google</v>
      </c>
      <c r="N1005" s="4">
        <f>'Raw Data'!N1005</f>
        <v>1599.85</v>
      </c>
    </row>
    <row r="1006" spans="1:14" ht="15" customHeight="1" x14ac:dyDescent="0.2">
      <c r="A1006" s="4" t="str">
        <f>'Raw Data'!A1006</f>
        <v>ORD201004</v>
      </c>
      <c r="B1006" s="6">
        <f>'Raw Data'!B1006</f>
        <v>45817</v>
      </c>
      <c r="C1006" s="4" t="str">
        <f>'Raw Data'!C1006</f>
        <v>C87529</v>
      </c>
      <c r="D1006" s="4" t="str">
        <f>'Raw Data'!D1006</f>
        <v>Chair</v>
      </c>
      <c r="E1006" s="4">
        <f>'Raw Data'!E1006</f>
        <v>4</v>
      </c>
      <c r="F1006" s="4">
        <f>'Raw Data'!F1006</f>
        <v>246.91</v>
      </c>
      <c r="G1006" s="4" t="str">
        <f>'Raw Data'!G1006</f>
        <v>296 Main St</v>
      </c>
      <c r="H1006" s="4" t="str">
        <f>'Raw Data'!H1006</f>
        <v>Online</v>
      </c>
      <c r="I1006" s="4" t="str">
        <f>'Raw Data'!I1006</f>
        <v>Pending</v>
      </c>
      <c r="J1006" s="4" t="str">
        <f>'Raw Data'!J1006</f>
        <v>TRK15739505</v>
      </c>
      <c r="K1006" s="4">
        <f>'Raw Data'!K1006</f>
        <v>8</v>
      </c>
      <c r="L1006" s="4" t="str">
        <f>IF('Raw Data'!L1006="","No Coupon",'Raw Data'!L1006)</f>
        <v>SAVE10</v>
      </c>
      <c r="M1006" s="4" t="str">
        <f>'Raw Data'!M1006</f>
        <v>Referral</v>
      </c>
      <c r="N1006" s="4">
        <f>'Raw Data'!N1006</f>
        <v>987.64</v>
      </c>
    </row>
    <row r="1007" spans="1:14" ht="15" customHeight="1" x14ac:dyDescent="0.2">
      <c r="A1007" s="4" t="str">
        <f>'Raw Data'!A1007</f>
        <v>ORD201005</v>
      </c>
      <c r="B1007" s="6">
        <f>'Raw Data'!B1007</f>
        <v>44987</v>
      </c>
      <c r="C1007" s="4" t="str">
        <f>'Raw Data'!C1007</f>
        <v>C38065</v>
      </c>
      <c r="D1007" s="4" t="str">
        <f>'Raw Data'!D1007</f>
        <v>Printer</v>
      </c>
      <c r="E1007" s="4">
        <f>'Raw Data'!E1007</f>
        <v>3</v>
      </c>
      <c r="F1007" s="4">
        <f>'Raw Data'!F1007</f>
        <v>392.85</v>
      </c>
      <c r="G1007" s="4" t="str">
        <f>'Raw Data'!G1007</f>
        <v>426 Main St</v>
      </c>
      <c r="H1007" s="4" t="str">
        <f>'Raw Data'!H1007</f>
        <v>Credit Card</v>
      </c>
      <c r="I1007" s="4" t="str">
        <f>'Raw Data'!I1007</f>
        <v>Returned</v>
      </c>
      <c r="J1007" s="4" t="str">
        <f>'Raw Data'!J1007</f>
        <v>TRK11448295</v>
      </c>
      <c r="K1007" s="4">
        <f>'Raw Data'!K1007</f>
        <v>6</v>
      </c>
      <c r="L1007" s="4" t="str">
        <f>IF('Raw Data'!L1007="","No Coupon",'Raw Data'!L1007)</f>
        <v>No Coupon</v>
      </c>
      <c r="M1007" s="4" t="str">
        <f>'Raw Data'!M1007</f>
        <v>Google</v>
      </c>
      <c r="N1007" s="4">
        <f>'Raw Data'!N1007</f>
        <v>1178.55</v>
      </c>
    </row>
    <row r="1008" spans="1:14" ht="15" customHeight="1" x14ac:dyDescent="0.2">
      <c r="A1008" s="4" t="str">
        <f>'Raw Data'!A1008</f>
        <v>ORD201006</v>
      </c>
      <c r="B1008" s="6">
        <f>'Raw Data'!B1008</f>
        <v>45439</v>
      </c>
      <c r="C1008" s="4" t="str">
        <f>'Raw Data'!C1008</f>
        <v>C27435</v>
      </c>
      <c r="D1008" s="4" t="str">
        <f>'Raw Data'!D1008</f>
        <v>Tablet</v>
      </c>
      <c r="E1008" s="4">
        <f>'Raw Data'!E1008</f>
        <v>5</v>
      </c>
      <c r="F1008" s="4">
        <f>'Raw Data'!F1008</f>
        <v>420.98</v>
      </c>
      <c r="G1008" s="4" t="str">
        <f>'Raw Data'!G1008</f>
        <v>860 Main St</v>
      </c>
      <c r="H1008" s="4" t="str">
        <f>'Raw Data'!H1008</f>
        <v>Cash</v>
      </c>
      <c r="I1008" s="4" t="str">
        <f>'Raw Data'!I1008</f>
        <v>Delivered</v>
      </c>
      <c r="J1008" s="4" t="str">
        <f>'Raw Data'!J1008</f>
        <v>TRK91458233</v>
      </c>
      <c r="K1008" s="4">
        <f>'Raw Data'!K1008</f>
        <v>7</v>
      </c>
      <c r="L1008" s="4" t="str">
        <f>IF('Raw Data'!L1008="","No Coupon",'Raw Data'!L1008)</f>
        <v>SAVE10</v>
      </c>
      <c r="M1008" s="4" t="str">
        <f>'Raw Data'!M1008</f>
        <v>Facebook</v>
      </c>
      <c r="N1008" s="4">
        <f>'Raw Data'!N1008</f>
        <v>2104.9</v>
      </c>
    </row>
    <row r="1009" spans="1:14" ht="15" customHeight="1" x14ac:dyDescent="0.2">
      <c r="A1009" s="4" t="str">
        <f>'Raw Data'!A1009</f>
        <v>ORD201007</v>
      </c>
      <c r="B1009" s="6">
        <f>'Raw Data'!B1009</f>
        <v>45371</v>
      </c>
      <c r="C1009" s="4" t="str">
        <f>'Raw Data'!C1009</f>
        <v>C46651</v>
      </c>
      <c r="D1009" s="4" t="str">
        <f>'Raw Data'!D1009</f>
        <v>Monitor</v>
      </c>
      <c r="E1009" s="4">
        <f>'Raw Data'!E1009</f>
        <v>2</v>
      </c>
      <c r="F1009" s="4">
        <f>'Raw Data'!F1009</f>
        <v>73.260000000000005</v>
      </c>
      <c r="G1009" s="4" t="str">
        <f>'Raw Data'!G1009</f>
        <v>839 Main St</v>
      </c>
      <c r="H1009" s="4" t="str">
        <f>'Raw Data'!H1009</f>
        <v>Cash</v>
      </c>
      <c r="I1009" s="4" t="str">
        <f>'Raw Data'!I1009</f>
        <v>Pending</v>
      </c>
      <c r="J1009" s="4" t="str">
        <f>'Raw Data'!J1009</f>
        <v>TRK60444502</v>
      </c>
      <c r="K1009" s="4">
        <f>'Raw Data'!K1009</f>
        <v>4</v>
      </c>
      <c r="L1009" s="4" t="str">
        <f>IF('Raw Data'!L1009="","No Coupon",'Raw Data'!L1009)</f>
        <v>WINTER15</v>
      </c>
      <c r="M1009" s="4" t="str">
        <f>'Raw Data'!M1009</f>
        <v>Facebook</v>
      </c>
      <c r="N1009" s="4">
        <f>'Raw Data'!N1009</f>
        <v>146.52000000000001</v>
      </c>
    </row>
    <row r="1010" spans="1:14" ht="15" customHeight="1" x14ac:dyDescent="0.2">
      <c r="A1010" s="4" t="str">
        <f>'Raw Data'!A1010</f>
        <v>ORD201008</v>
      </c>
      <c r="B1010" s="6">
        <f>'Raw Data'!B1010</f>
        <v>44939</v>
      </c>
      <c r="C1010" s="4" t="str">
        <f>'Raw Data'!C1010</f>
        <v>C62557</v>
      </c>
      <c r="D1010" s="4" t="str">
        <f>'Raw Data'!D1010</f>
        <v>Monitor</v>
      </c>
      <c r="E1010" s="4">
        <f>'Raw Data'!E1010</f>
        <v>3</v>
      </c>
      <c r="F1010" s="4">
        <f>'Raw Data'!F1010</f>
        <v>410.88</v>
      </c>
      <c r="G1010" s="4" t="str">
        <f>'Raw Data'!G1010</f>
        <v>257 Main St</v>
      </c>
      <c r="H1010" s="4" t="str">
        <f>'Raw Data'!H1010</f>
        <v>Cash</v>
      </c>
      <c r="I1010" s="4" t="str">
        <f>'Raw Data'!I1010</f>
        <v>Delivered</v>
      </c>
      <c r="J1010" s="4" t="str">
        <f>'Raw Data'!J1010</f>
        <v>TRK12742366</v>
      </c>
      <c r="K1010" s="4">
        <f>'Raw Data'!K1010</f>
        <v>8</v>
      </c>
      <c r="L1010" s="4" t="str">
        <f>IF('Raw Data'!L1010="","No Coupon",'Raw Data'!L1010)</f>
        <v>FREESHIP</v>
      </c>
      <c r="M1010" s="4" t="str">
        <f>'Raw Data'!M1010</f>
        <v>Instagram</v>
      </c>
      <c r="N1010" s="4">
        <f>'Raw Data'!N1010</f>
        <v>1232.6400000000001</v>
      </c>
    </row>
    <row r="1011" spans="1:14" ht="15" customHeight="1" x14ac:dyDescent="0.2">
      <c r="A1011" s="4" t="str">
        <f>'Raw Data'!A1011</f>
        <v>ORD201009</v>
      </c>
      <c r="B1011" s="6">
        <f>'Raw Data'!B1011</f>
        <v>45171</v>
      </c>
      <c r="C1011" s="4" t="str">
        <f>'Raw Data'!C1011</f>
        <v>C54494</v>
      </c>
      <c r="D1011" s="4" t="str">
        <f>'Raw Data'!D1011</f>
        <v>Tablet</v>
      </c>
      <c r="E1011" s="4">
        <f>'Raw Data'!E1011</f>
        <v>2</v>
      </c>
      <c r="F1011" s="4">
        <f>'Raw Data'!F1011</f>
        <v>176.46</v>
      </c>
      <c r="G1011" s="4" t="str">
        <f>'Raw Data'!G1011</f>
        <v>696 Main St</v>
      </c>
      <c r="H1011" s="4" t="str">
        <f>'Raw Data'!H1011</f>
        <v>Credit Card</v>
      </c>
      <c r="I1011" s="4" t="str">
        <f>'Raw Data'!I1011</f>
        <v>Delivered</v>
      </c>
      <c r="J1011" s="4" t="str">
        <f>'Raw Data'!J1011</f>
        <v>TRK95958645</v>
      </c>
      <c r="K1011" s="4">
        <f>'Raw Data'!K1011</f>
        <v>2</v>
      </c>
      <c r="L1011" s="4" t="str">
        <f>IF('Raw Data'!L1011="","No Coupon",'Raw Data'!L1011)</f>
        <v>FREESHIP</v>
      </c>
      <c r="M1011" s="4" t="str">
        <f>'Raw Data'!M1011</f>
        <v>Email</v>
      </c>
      <c r="N1011" s="4">
        <f>'Raw Data'!N1011</f>
        <v>352.92</v>
      </c>
    </row>
    <row r="1012" spans="1:14" ht="15" customHeight="1" x14ac:dyDescent="0.2">
      <c r="A1012" s="4" t="str">
        <f>'Raw Data'!A1012</f>
        <v>ORD201010</v>
      </c>
      <c r="B1012" s="6">
        <f>'Raw Data'!B1012</f>
        <v>45016</v>
      </c>
      <c r="C1012" s="4" t="str">
        <f>'Raw Data'!C1012</f>
        <v>C33729</v>
      </c>
      <c r="D1012" s="4" t="str">
        <f>'Raw Data'!D1012</f>
        <v>Monitor</v>
      </c>
      <c r="E1012" s="4">
        <f>'Raw Data'!E1012</f>
        <v>3</v>
      </c>
      <c r="F1012" s="4">
        <f>'Raw Data'!F1012</f>
        <v>659.57</v>
      </c>
      <c r="G1012" s="4" t="str">
        <f>'Raw Data'!G1012</f>
        <v>533 Main St</v>
      </c>
      <c r="H1012" s="4" t="str">
        <f>'Raw Data'!H1012</f>
        <v>Credit Card</v>
      </c>
      <c r="I1012" s="4" t="str">
        <f>'Raw Data'!I1012</f>
        <v>Cancelled</v>
      </c>
      <c r="J1012" s="4" t="str">
        <f>'Raw Data'!J1012</f>
        <v>TRK35649833</v>
      </c>
      <c r="K1012" s="4">
        <f>'Raw Data'!K1012</f>
        <v>6</v>
      </c>
      <c r="L1012" s="4" t="str">
        <f>IF('Raw Data'!L1012="","No Coupon",'Raw Data'!L1012)</f>
        <v>SAVE10</v>
      </c>
      <c r="M1012" s="4" t="str">
        <f>'Raw Data'!M1012</f>
        <v>Email</v>
      </c>
      <c r="N1012" s="4">
        <f>'Raw Data'!N1012</f>
        <v>1978.71</v>
      </c>
    </row>
    <row r="1013" spans="1:14" ht="15" customHeight="1" x14ac:dyDescent="0.2">
      <c r="A1013" s="4" t="str">
        <f>'Raw Data'!A1013</f>
        <v>ORD201011</v>
      </c>
      <c r="B1013" s="6">
        <f>'Raw Data'!B1013</f>
        <v>45629</v>
      </c>
      <c r="C1013" s="4" t="str">
        <f>'Raw Data'!C1013</f>
        <v>C47823</v>
      </c>
      <c r="D1013" s="4" t="str">
        <f>'Raw Data'!D1013</f>
        <v>Phone</v>
      </c>
      <c r="E1013" s="4">
        <f>'Raw Data'!E1013</f>
        <v>2</v>
      </c>
      <c r="F1013" s="4">
        <f>'Raw Data'!F1013</f>
        <v>478.36</v>
      </c>
      <c r="G1013" s="4" t="str">
        <f>'Raw Data'!G1013</f>
        <v>654 Main St</v>
      </c>
      <c r="H1013" s="4" t="str">
        <f>'Raw Data'!H1013</f>
        <v>Online</v>
      </c>
      <c r="I1013" s="4" t="str">
        <f>'Raw Data'!I1013</f>
        <v>Shipped</v>
      </c>
      <c r="J1013" s="4" t="str">
        <f>'Raw Data'!J1013</f>
        <v>TRK22271097</v>
      </c>
      <c r="K1013" s="4">
        <f>'Raw Data'!K1013</f>
        <v>3</v>
      </c>
      <c r="L1013" s="4" t="str">
        <f>IF('Raw Data'!L1013="","No Coupon",'Raw Data'!L1013)</f>
        <v>No Coupon</v>
      </c>
      <c r="M1013" s="4" t="str">
        <f>'Raw Data'!M1013</f>
        <v>Google</v>
      </c>
      <c r="N1013" s="4">
        <f>'Raw Data'!N1013</f>
        <v>956.72</v>
      </c>
    </row>
    <row r="1014" spans="1:14" ht="15" customHeight="1" x14ac:dyDescent="0.2">
      <c r="A1014" s="4" t="str">
        <f>'Raw Data'!A1014</f>
        <v>ORD201012</v>
      </c>
      <c r="B1014" s="6">
        <f>'Raw Data'!B1014</f>
        <v>45629</v>
      </c>
      <c r="C1014" s="4" t="str">
        <f>'Raw Data'!C1014</f>
        <v>C84570</v>
      </c>
      <c r="D1014" s="4" t="str">
        <f>'Raw Data'!D1014</f>
        <v>Printer</v>
      </c>
      <c r="E1014" s="4">
        <f>'Raw Data'!E1014</f>
        <v>4</v>
      </c>
      <c r="F1014" s="4">
        <f>'Raw Data'!F1014</f>
        <v>30.05</v>
      </c>
      <c r="G1014" s="4" t="str">
        <f>'Raw Data'!G1014</f>
        <v>301 Main St</v>
      </c>
      <c r="H1014" s="4" t="str">
        <f>'Raw Data'!H1014</f>
        <v>Online</v>
      </c>
      <c r="I1014" s="4" t="str">
        <f>'Raw Data'!I1014</f>
        <v>Returned</v>
      </c>
      <c r="J1014" s="4" t="str">
        <f>'Raw Data'!J1014</f>
        <v>TRK12551882</v>
      </c>
      <c r="K1014" s="4">
        <f>'Raw Data'!K1014</f>
        <v>6</v>
      </c>
      <c r="L1014" s="4" t="str">
        <f>IF('Raw Data'!L1014="","No Coupon",'Raw Data'!L1014)</f>
        <v>No Coupon</v>
      </c>
      <c r="M1014" s="4" t="str">
        <f>'Raw Data'!M1014</f>
        <v>Facebook</v>
      </c>
      <c r="N1014" s="4">
        <f>'Raw Data'!N1014</f>
        <v>120.2</v>
      </c>
    </row>
    <row r="1015" spans="1:14" ht="15" customHeight="1" x14ac:dyDescent="0.2">
      <c r="A1015" s="4" t="str">
        <f>'Raw Data'!A1015</f>
        <v>ORD201013</v>
      </c>
      <c r="B1015" s="6">
        <f>'Raw Data'!B1015</f>
        <v>45773</v>
      </c>
      <c r="C1015" s="4" t="str">
        <f>'Raw Data'!C1015</f>
        <v>C91123</v>
      </c>
      <c r="D1015" s="4" t="str">
        <f>'Raw Data'!D1015</f>
        <v>Laptop</v>
      </c>
      <c r="E1015" s="4">
        <f>'Raw Data'!E1015</f>
        <v>4</v>
      </c>
      <c r="F1015" s="4">
        <f>'Raw Data'!F1015</f>
        <v>300.56</v>
      </c>
      <c r="G1015" s="4" t="str">
        <f>'Raw Data'!G1015</f>
        <v>842 Main St</v>
      </c>
      <c r="H1015" s="4" t="str">
        <f>'Raw Data'!H1015</f>
        <v>Cash</v>
      </c>
      <c r="I1015" s="4" t="str">
        <f>'Raw Data'!I1015</f>
        <v>Cancelled</v>
      </c>
      <c r="J1015" s="4" t="str">
        <f>'Raw Data'!J1015</f>
        <v>TRK49568409</v>
      </c>
      <c r="K1015" s="4">
        <f>'Raw Data'!K1015</f>
        <v>9</v>
      </c>
      <c r="L1015" s="4" t="str">
        <f>IF('Raw Data'!L1015="","No Coupon",'Raw Data'!L1015)</f>
        <v>FREESHIP</v>
      </c>
      <c r="M1015" s="4" t="str">
        <f>'Raw Data'!M1015</f>
        <v>Facebook</v>
      </c>
      <c r="N1015" s="4">
        <f>'Raw Data'!N1015</f>
        <v>1202.24</v>
      </c>
    </row>
    <row r="1016" spans="1:14" ht="15" customHeight="1" x14ac:dyDescent="0.2">
      <c r="A1016" s="4" t="str">
        <f>'Raw Data'!A1016</f>
        <v>ORD201014</v>
      </c>
      <c r="B1016" s="6">
        <f>'Raw Data'!B1016</f>
        <v>45326</v>
      </c>
      <c r="C1016" s="4" t="str">
        <f>'Raw Data'!C1016</f>
        <v>C92548</v>
      </c>
      <c r="D1016" s="4" t="str">
        <f>'Raw Data'!D1016</f>
        <v>Tablet</v>
      </c>
      <c r="E1016" s="4">
        <f>'Raw Data'!E1016</f>
        <v>5</v>
      </c>
      <c r="F1016" s="4">
        <f>'Raw Data'!F1016</f>
        <v>226.45</v>
      </c>
      <c r="G1016" s="4" t="str">
        <f>'Raw Data'!G1016</f>
        <v>160 Main St</v>
      </c>
      <c r="H1016" s="4" t="str">
        <f>'Raw Data'!H1016</f>
        <v>Debit Card</v>
      </c>
      <c r="I1016" s="4" t="str">
        <f>'Raw Data'!I1016</f>
        <v>Returned</v>
      </c>
      <c r="J1016" s="4" t="str">
        <f>'Raw Data'!J1016</f>
        <v>TRK21682892</v>
      </c>
      <c r="K1016" s="4">
        <f>'Raw Data'!K1016</f>
        <v>6</v>
      </c>
      <c r="L1016" s="4" t="str">
        <f>IF('Raw Data'!L1016="","No Coupon",'Raw Data'!L1016)</f>
        <v>FREESHIP</v>
      </c>
      <c r="M1016" s="4" t="str">
        <f>'Raw Data'!M1016</f>
        <v>Email</v>
      </c>
      <c r="N1016" s="4">
        <f>'Raw Data'!N1016</f>
        <v>1132.25</v>
      </c>
    </row>
    <row r="1017" spans="1:14" ht="15" customHeight="1" x14ac:dyDescent="0.2">
      <c r="A1017" s="4" t="str">
        <f>'Raw Data'!A1017</f>
        <v>ORD201015</v>
      </c>
      <c r="B1017" s="6">
        <f>'Raw Data'!B1017</f>
        <v>45317</v>
      </c>
      <c r="C1017" s="4" t="str">
        <f>'Raw Data'!C1017</f>
        <v>C97454</v>
      </c>
      <c r="D1017" s="4" t="str">
        <f>'Raw Data'!D1017</f>
        <v>Printer</v>
      </c>
      <c r="E1017" s="4">
        <f>'Raw Data'!E1017</f>
        <v>2</v>
      </c>
      <c r="F1017" s="4">
        <f>'Raw Data'!F1017</f>
        <v>349.4</v>
      </c>
      <c r="G1017" s="4" t="str">
        <f>'Raw Data'!G1017</f>
        <v>892 Main St</v>
      </c>
      <c r="H1017" s="4" t="str">
        <f>'Raw Data'!H1017</f>
        <v>Online</v>
      </c>
      <c r="I1017" s="4" t="str">
        <f>'Raw Data'!I1017</f>
        <v>Shipped</v>
      </c>
      <c r="J1017" s="4" t="str">
        <f>'Raw Data'!J1017</f>
        <v>TRK73249329</v>
      </c>
      <c r="K1017" s="4">
        <f>'Raw Data'!K1017</f>
        <v>2</v>
      </c>
      <c r="L1017" s="4" t="str">
        <f>IF('Raw Data'!L1017="","No Coupon",'Raw Data'!L1017)</f>
        <v>SAVE10</v>
      </c>
      <c r="M1017" s="4" t="str">
        <f>'Raw Data'!M1017</f>
        <v>Instagram</v>
      </c>
      <c r="N1017" s="4">
        <f>'Raw Data'!N1017</f>
        <v>698.8</v>
      </c>
    </row>
    <row r="1018" spans="1:14" ht="15" customHeight="1" x14ac:dyDescent="0.2">
      <c r="A1018" s="4" t="str">
        <f>'Raw Data'!A1018</f>
        <v>ORD201016</v>
      </c>
      <c r="B1018" s="6">
        <f>'Raw Data'!B1018</f>
        <v>45289</v>
      </c>
      <c r="C1018" s="4" t="str">
        <f>'Raw Data'!C1018</f>
        <v>C20257</v>
      </c>
      <c r="D1018" s="4" t="str">
        <f>'Raw Data'!D1018</f>
        <v>Tablet</v>
      </c>
      <c r="E1018" s="4">
        <f>'Raw Data'!E1018</f>
        <v>5</v>
      </c>
      <c r="F1018" s="4">
        <f>'Raw Data'!F1018</f>
        <v>268.77999999999997</v>
      </c>
      <c r="G1018" s="4" t="str">
        <f>'Raw Data'!G1018</f>
        <v>669 Main St</v>
      </c>
      <c r="H1018" s="4" t="str">
        <f>'Raw Data'!H1018</f>
        <v>Debit Card</v>
      </c>
      <c r="I1018" s="4" t="str">
        <f>'Raw Data'!I1018</f>
        <v>Delivered</v>
      </c>
      <c r="J1018" s="4" t="str">
        <f>'Raw Data'!J1018</f>
        <v>TRK62135578</v>
      </c>
      <c r="K1018" s="4">
        <f>'Raw Data'!K1018</f>
        <v>7</v>
      </c>
      <c r="L1018" s="4" t="str">
        <f>IF('Raw Data'!L1018="","No Coupon",'Raw Data'!L1018)</f>
        <v>WINTER15</v>
      </c>
      <c r="M1018" s="4" t="str">
        <f>'Raw Data'!M1018</f>
        <v>Email</v>
      </c>
      <c r="N1018" s="4">
        <f>'Raw Data'!N1018</f>
        <v>1343.9</v>
      </c>
    </row>
    <row r="1019" spans="1:14" ht="15" customHeight="1" x14ac:dyDescent="0.2">
      <c r="A1019" s="4" t="str">
        <f>'Raw Data'!A1019</f>
        <v>ORD201017</v>
      </c>
      <c r="B1019" s="6">
        <f>'Raw Data'!B1019</f>
        <v>45529</v>
      </c>
      <c r="C1019" s="4" t="str">
        <f>'Raw Data'!C1019</f>
        <v>C51694</v>
      </c>
      <c r="D1019" s="4" t="str">
        <f>'Raw Data'!D1019</f>
        <v>Chair</v>
      </c>
      <c r="E1019" s="4">
        <f>'Raw Data'!E1019</f>
        <v>2</v>
      </c>
      <c r="F1019" s="4">
        <f>'Raw Data'!F1019</f>
        <v>680.85</v>
      </c>
      <c r="G1019" s="4" t="str">
        <f>'Raw Data'!G1019</f>
        <v>953 Main St</v>
      </c>
      <c r="H1019" s="4" t="str">
        <f>'Raw Data'!H1019</f>
        <v>Gift Card</v>
      </c>
      <c r="I1019" s="4" t="str">
        <f>'Raw Data'!I1019</f>
        <v>Delivered</v>
      </c>
      <c r="J1019" s="4" t="str">
        <f>'Raw Data'!J1019</f>
        <v>TRK83122112</v>
      </c>
      <c r="K1019" s="4">
        <f>'Raw Data'!K1019</f>
        <v>6</v>
      </c>
      <c r="L1019" s="4" t="str">
        <f>IF('Raw Data'!L1019="","No Coupon",'Raw Data'!L1019)</f>
        <v>FREESHIP</v>
      </c>
      <c r="M1019" s="4" t="str">
        <f>'Raw Data'!M1019</f>
        <v>Referral</v>
      </c>
      <c r="N1019" s="4">
        <f>'Raw Data'!N1019</f>
        <v>1361.7</v>
      </c>
    </row>
    <row r="1020" spans="1:14" ht="15" customHeight="1" x14ac:dyDescent="0.2">
      <c r="A1020" s="4" t="str">
        <f>'Raw Data'!A1020</f>
        <v>ORD201018</v>
      </c>
      <c r="B1020" s="6">
        <f>'Raw Data'!B1020</f>
        <v>45115</v>
      </c>
      <c r="C1020" s="4" t="str">
        <f>'Raw Data'!C1020</f>
        <v>C77499</v>
      </c>
      <c r="D1020" s="4" t="str">
        <f>'Raw Data'!D1020</f>
        <v>Laptop</v>
      </c>
      <c r="E1020" s="4">
        <f>'Raw Data'!E1020</f>
        <v>3</v>
      </c>
      <c r="F1020" s="4">
        <f>'Raw Data'!F1020</f>
        <v>182.48</v>
      </c>
      <c r="G1020" s="4" t="str">
        <f>'Raw Data'!G1020</f>
        <v>209 Main St</v>
      </c>
      <c r="H1020" s="4" t="str">
        <f>'Raw Data'!H1020</f>
        <v>Cash</v>
      </c>
      <c r="I1020" s="4" t="str">
        <f>'Raw Data'!I1020</f>
        <v>Delivered</v>
      </c>
      <c r="J1020" s="4" t="str">
        <f>'Raw Data'!J1020</f>
        <v>TRK20703086</v>
      </c>
      <c r="K1020" s="4">
        <f>'Raw Data'!K1020</f>
        <v>3</v>
      </c>
      <c r="L1020" s="4" t="str">
        <f>IF('Raw Data'!L1020="","No Coupon",'Raw Data'!L1020)</f>
        <v>No Coupon</v>
      </c>
      <c r="M1020" s="4" t="str">
        <f>'Raw Data'!M1020</f>
        <v>Instagram</v>
      </c>
      <c r="N1020" s="4">
        <f>'Raw Data'!N1020</f>
        <v>547.44000000000005</v>
      </c>
    </row>
    <row r="1021" spans="1:14" ht="15" customHeight="1" x14ac:dyDescent="0.2">
      <c r="A1021" s="4" t="str">
        <f>'Raw Data'!A1021</f>
        <v>ORD201019</v>
      </c>
      <c r="B1021" s="6">
        <f>'Raw Data'!B1021</f>
        <v>45388</v>
      </c>
      <c r="C1021" s="4" t="str">
        <f>'Raw Data'!C1021</f>
        <v>C28386</v>
      </c>
      <c r="D1021" s="4" t="str">
        <f>'Raw Data'!D1021</f>
        <v>Desk</v>
      </c>
      <c r="E1021" s="4">
        <f>'Raw Data'!E1021</f>
        <v>1</v>
      </c>
      <c r="F1021" s="4">
        <f>'Raw Data'!F1021</f>
        <v>277.08999999999997</v>
      </c>
      <c r="G1021" s="4" t="str">
        <f>'Raw Data'!G1021</f>
        <v>293 Main St</v>
      </c>
      <c r="H1021" s="4" t="str">
        <f>'Raw Data'!H1021</f>
        <v>Cash</v>
      </c>
      <c r="I1021" s="4" t="str">
        <f>'Raw Data'!I1021</f>
        <v>Returned</v>
      </c>
      <c r="J1021" s="4" t="str">
        <f>'Raw Data'!J1021</f>
        <v>TRK32954229</v>
      </c>
      <c r="K1021" s="4">
        <f>'Raw Data'!K1021</f>
        <v>2</v>
      </c>
      <c r="L1021" s="4" t="str">
        <f>IF('Raw Data'!L1021="","No Coupon",'Raw Data'!L1021)</f>
        <v>SAVE10</v>
      </c>
      <c r="M1021" s="4" t="str">
        <f>'Raw Data'!M1021</f>
        <v>Referral</v>
      </c>
      <c r="N1021" s="4">
        <f>'Raw Data'!N1021</f>
        <v>277.08999999999997</v>
      </c>
    </row>
    <row r="1022" spans="1:14" ht="15" customHeight="1" x14ac:dyDescent="0.2">
      <c r="A1022" s="4" t="str">
        <f>'Raw Data'!A1022</f>
        <v>ORD201020</v>
      </c>
      <c r="B1022" s="6">
        <f>'Raw Data'!B1022</f>
        <v>45404</v>
      </c>
      <c r="C1022" s="4" t="str">
        <f>'Raw Data'!C1022</f>
        <v>C50211</v>
      </c>
      <c r="D1022" s="4" t="str">
        <f>'Raw Data'!D1022</f>
        <v>Tablet</v>
      </c>
      <c r="E1022" s="4">
        <f>'Raw Data'!E1022</f>
        <v>2</v>
      </c>
      <c r="F1022" s="4">
        <f>'Raw Data'!F1022</f>
        <v>26.5</v>
      </c>
      <c r="G1022" s="4" t="str">
        <f>'Raw Data'!G1022</f>
        <v>312 Main St</v>
      </c>
      <c r="H1022" s="4" t="str">
        <f>'Raw Data'!H1022</f>
        <v>Online</v>
      </c>
      <c r="I1022" s="4" t="str">
        <f>'Raw Data'!I1022</f>
        <v>Delivered</v>
      </c>
      <c r="J1022" s="4" t="str">
        <f>'Raw Data'!J1022</f>
        <v>TRK47787981</v>
      </c>
      <c r="K1022" s="4">
        <f>'Raw Data'!K1022</f>
        <v>3</v>
      </c>
      <c r="L1022" s="4" t="str">
        <f>IF('Raw Data'!L1022="","No Coupon",'Raw Data'!L1022)</f>
        <v>SAVE10</v>
      </c>
      <c r="M1022" s="4" t="str">
        <f>'Raw Data'!M1022</f>
        <v>Instagram</v>
      </c>
      <c r="N1022" s="4">
        <f>'Raw Data'!N1022</f>
        <v>53</v>
      </c>
    </row>
    <row r="1023" spans="1:14" ht="15" customHeight="1" x14ac:dyDescent="0.2">
      <c r="A1023" s="4" t="str">
        <f>'Raw Data'!A1023</f>
        <v>ORD201021</v>
      </c>
      <c r="B1023" s="6">
        <f>'Raw Data'!B1023</f>
        <v>45222</v>
      </c>
      <c r="C1023" s="4" t="str">
        <f>'Raw Data'!C1023</f>
        <v>C74519</v>
      </c>
      <c r="D1023" s="4" t="str">
        <f>'Raw Data'!D1023</f>
        <v>Phone</v>
      </c>
      <c r="E1023" s="4">
        <f>'Raw Data'!E1023</f>
        <v>3</v>
      </c>
      <c r="F1023" s="4">
        <f>'Raw Data'!F1023</f>
        <v>315.27</v>
      </c>
      <c r="G1023" s="4" t="str">
        <f>'Raw Data'!G1023</f>
        <v>309 Main St</v>
      </c>
      <c r="H1023" s="4" t="str">
        <f>'Raw Data'!H1023</f>
        <v>Credit Card</v>
      </c>
      <c r="I1023" s="4" t="str">
        <f>'Raw Data'!I1023</f>
        <v>Cancelled</v>
      </c>
      <c r="J1023" s="4" t="str">
        <f>'Raw Data'!J1023</f>
        <v>TRK97351945</v>
      </c>
      <c r="K1023" s="4">
        <f>'Raw Data'!K1023</f>
        <v>4</v>
      </c>
      <c r="L1023" s="4" t="str">
        <f>IF('Raw Data'!L1023="","No Coupon",'Raw Data'!L1023)</f>
        <v>SAVE10</v>
      </c>
      <c r="M1023" s="4" t="str">
        <f>'Raw Data'!M1023</f>
        <v>Email</v>
      </c>
      <c r="N1023" s="4">
        <f>'Raw Data'!N1023</f>
        <v>945.81</v>
      </c>
    </row>
    <row r="1024" spans="1:14" ht="15" customHeight="1" x14ac:dyDescent="0.2">
      <c r="A1024" s="4" t="str">
        <f>'Raw Data'!A1024</f>
        <v>ORD201022</v>
      </c>
      <c r="B1024" s="6">
        <f>'Raw Data'!B1024</f>
        <v>45712</v>
      </c>
      <c r="C1024" s="4" t="str">
        <f>'Raw Data'!C1024</f>
        <v>C19071</v>
      </c>
      <c r="D1024" s="4" t="str">
        <f>'Raw Data'!D1024</f>
        <v>Tablet</v>
      </c>
      <c r="E1024" s="4">
        <f>'Raw Data'!E1024</f>
        <v>3</v>
      </c>
      <c r="F1024" s="4">
        <f>'Raw Data'!F1024</f>
        <v>450.98</v>
      </c>
      <c r="G1024" s="4" t="str">
        <f>'Raw Data'!G1024</f>
        <v>396 Main St</v>
      </c>
      <c r="H1024" s="4" t="str">
        <f>'Raw Data'!H1024</f>
        <v>Credit Card</v>
      </c>
      <c r="I1024" s="4" t="str">
        <f>'Raw Data'!I1024</f>
        <v>Shipped</v>
      </c>
      <c r="J1024" s="4" t="str">
        <f>'Raw Data'!J1024</f>
        <v>TRK66537096</v>
      </c>
      <c r="K1024" s="4">
        <f>'Raw Data'!K1024</f>
        <v>8</v>
      </c>
      <c r="L1024" s="4" t="str">
        <f>IF('Raw Data'!L1024="","No Coupon",'Raw Data'!L1024)</f>
        <v>SAVE10</v>
      </c>
      <c r="M1024" s="4" t="str">
        <f>'Raw Data'!M1024</f>
        <v>Referral</v>
      </c>
      <c r="N1024" s="4">
        <f>'Raw Data'!N1024</f>
        <v>1352.94</v>
      </c>
    </row>
    <row r="1025" spans="1:14" ht="15" customHeight="1" x14ac:dyDescent="0.2">
      <c r="A1025" s="4" t="str">
        <f>'Raw Data'!A1025</f>
        <v>ORD201023</v>
      </c>
      <c r="B1025" s="6">
        <f>'Raw Data'!B1025</f>
        <v>45558</v>
      </c>
      <c r="C1025" s="4" t="str">
        <f>'Raw Data'!C1025</f>
        <v>C65251</v>
      </c>
      <c r="D1025" s="4" t="str">
        <f>'Raw Data'!D1025</f>
        <v>Laptop</v>
      </c>
      <c r="E1025" s="4">
        <f>'Raw Data'!E1025</f>
        <v>5</v>
      </c>
      <c r="F1025" s="4">
        <f>'Raw Data'!F1025</f>
        <v>233.67</v>
      </c>
      <c r="G1025" s="4" t="str">
        <f>'Raw Data'!G1025</f>
        <v>291 Main St</v>
      </c>
      <c r="H1025" s="4" t="str">
        <f>'Raw Data'!H1025</f>
        <v>Cash</v>
      </c>
      <c r="I1025" s="4" t="str">
        <f>'Raw Data'!I1025</f>
        <v>Shipped</v>
      </c>
      <c r="J1025" s="4" t="str">
        <f>'Raw Data'!J1025</f>
        <v>TRK32059025</v>
      </c>
      <c r="K1025" s="4">
        <f>'Raw Data'!K1025</f>
        <v>10</v>
      </c>
      <c r="L1025" s="4" t="str">
        <f>IF('Raw Data'!L1025="","No Coupon",'Raw Data'!L1025)</f>
        <v>No Coupon</v>
      </c>
      <c r="M1025" s="4" t="str">
        <f>'Raw Data'!M1025</f>
        <v>Referral</v>
      </c>
      <c r="N1025" s="4">
        <f>'Raw Data'!N1025</f>
        <v>1168.3499999999999</v>
      </c>
    </row>
    <row r="1026" spans="1:14" ht="15" customHeight="1" x14ac:dyDescent="0.2">
      <c r="A1026" s="4" t="str">
        <f>'Raw Data'!A1026</f>
        <v>ORD201024</v>
      </c>
      <c r="B1026" s="6">
        <f>'Raw Data'!B1026</f>
        <v>45320</v>
      </c>
      <c r="C1026" s="4" t="str">
        <f>'Raw Data'!C1026</f>
        <v>C90612</v>
      </c>
      <c r="D1026" s="4" t="str">
        <f>'Raw Data'!D1026</f>
        <v>Chair</v>
      </c>
      <c r="E1026" s="4">
        <f>'Raw Data'!E1026</f>
        <v>3</v>
      </c>
      <c r="F1026" s="4">
        <f>'Raw Data'!F1026</f>
        <v>367.75</v>
      </c>
      <c r="G1026" s="4" t="str">
        <f>'Raw Data'!G1026</f>
        <v>731 Main St</v>
      </c>
      <c r="H1026" s="4" t="str">
        <f>'Raw Data'!H1026</f>
        <v>Cash</v>
      </c>
      <c r="I1026" s="4" t="str">
        <f>'Raw Data'!I1026</f>
        <v>Pending</v>
      </c>
      <c r="J1026" s="4" t="str">
        <f>'Raw Data'!J1026</f>
        <v>TRK93022878</v>
      </c>
      <c r="K1026" s="4">
        <f>'Raw Data'!K1026</f>
        <v>7</v>
      </c>
      <c r="L1026" s="4" t="str">
        <f>IF('Raw Data'!L1026="","No Coupon",'Raw Data'!L1026)</f>
        <v>FREESHIP</v>
      </c>
      <c r="M1026" s="4" t="str">
        <f>'Raw Data'!M1026</f>
        <v>Facebook</v>
      </c>
      <c r="N1026" s="4">
        <f>'Raw Data'!N1026</f>
        <v>1103.25</v>
      </c>
    </row>
    <row r="1027" spans="1:14" ht="15" customHeight="1" x14ac:dyDescent="0.2">
      <c r="A1027" s="4" t="str">
        <f>'Raw Data'!A1027</f>
        <v>ORD201025</v>
      </c>
      <c r="B1027" s="6">
        <f>'Raw Data'!B1027</f>
        <v>45794</v>
      </c>
      <c r="C1027" s="4" t="str">
        <f>'Raw Data'!C1027</f>
        <v>C28406</v>
      </c>
      <c r="D1027" s="4" t="str">
        <f>'Raw Data'!D1027</f>
        <v>Chair</v>
      </c>
      <c r="E1027" s="4">
        <f>'Raw Data'!E1027</f>
        <v>1</v>
      </c>
      <c r="F1027" s="4">
        <f>'Raw Data'!F1027</f>
        <v>23.53</v>
      </c>
      <c r="G1027" s="4" t="str">
        <f>'Raw Data'!G1027</f>
        <v>174 Main St</v>
      </c>
      <c r="H1027" s="4" t="str">
        <f>'Raw Data'!H1027</f>
        <v>Gift Card</v>
      </c>
      <c r="I1027" s="4" t="str">
        <f>'Raw Data'!I1027</f>
        <v>Delivered</v>
      </c>
      <c r="J1027" s="4" t="str">
        <f>'Raw Data'!J1027</f>
        <v>TRK98841457</v>
      </c>
      <c r="K1027" s="4">
        <f>'Raw Data'!K1027</f>
        <v>2</v>
      </c>
      <c r="L1027" s="4" t="str">
        <f>IF('Raw Data'!L1027="","No Coupon",'Raw Data'!L1027)</f>
        <v>FREESHIP</v>
      </c>
      <c r="M1027" s="4" t="str">
        <f>'Raw Data'!M1027</f>
        <v>Instagram</v>
      </c>
      <c r="N1027" s="4">
        <f>'Raw Data'!N1027</f>
        <v>23.53</v>
      </c>
    </row>
    <row r="1028" spans="1:14" ht="15" customHeight="1" x14ac:dyDescent="0.2">
      <c r="A1028" s="4" t="str">
        <f>'Raw Data'!A1028</f>
        <v>ORD201026</v>
      </c>
      <c r="B1028" s="6">
        <f>'Raw Data'!B1028</f>
        <v>45047</v>
      </c>
      <c r="C1028" s="4" t="str">
        <f>'Raw Data'!C1028</f>
        <v>C55454</v>
      </c>
      <c r="D1028" s="4" t="str">
        <f>'Raw Data'!D1028</f>
        <v>Monitor</v>
      </c>
      <c r="E1028" s="4">
        <f>'Raw Data'!E1028</f>
        <v>1</v>
      </c>
      <c r="F1028" s="4">
        <f>'Raw Data'!F1028</f>
        <v>677.48</v>
      </c>
      <c r="G1028" s="4" t="str">
        <f>'Raw Data'!G1028</f>
        <v>807 Main St</v>
      </c>
      <c r="H1028" s="4" t="str">
        <f>'Raw Data'!H1028</f>
        <v>Online</v>
      </c>
      <c r="I1028" s="4" t="str">
        <f>'Raw Data'!I1028</f>
        <v>Delivered</v>
      </c>
      <c r="J1028" s="4" t="str">
        <f>'Raw Data'!J1028</f>
        <v>TRK13281370</v>
      </c>
      <c r="K1028" s="4">
        <f>'Raw Data'!K1028</f>
        <v>1</v>
      </c>
      <c r="L1028" s="4" t="str">
        <f>IF('Raw Data'!L1028="","No Coupon",'Raw Data'!L1028)</f>
        <v>WINTER15</v>
      </c>
      <c r="M1028" s="4" t="str">
        <f>'Raw Data'!M1028</f>
        <v>Facebook</v>
      </c>
      <c r="N1028" s="4">
        <f>'Raw Data'!N1028</f>
        <v>677.48</v>
      </c>
    </row>
    <row r="1029" spans="1:14" ht="15" customHeight="1" x14ac:dyDescent="0.2">
      <c r="A1029" s="4" t="str">
        <f>'Raw Data'!A1029</f>
        <v>ORD201027</v>
      </c>
      <c r="B1029" s="6">
        <f>'Raw Data'!B1029</f>
        <v>45433</v>
      </c>
      <c r="C1029" s="4" t="str">
        <f>'Raw Data'!C1029</f>
        <v>C93467</v>
      </c>
      <c r="D1029" s="4" t="str">
        <f>'Raw Data'!D1029</f>
        <v>Laptop</v>
      </c>
      <c r="E1029" s="4">
        <f>'Raw Data'!E1029</f>
        <v>4</v>
      </c>
      <c r="F1029" s="4">
        <f>'Raw Data'!F1029</f>
        <v>554.83000000000004</v>
      </c>
      <c r="G1029" s="4" t="str">
        <f>'Raw Data'!G1029</f>
        <v>983 Main St</v>
      </c>
      <c r="H1029" s="4" t="str">
        <f>'Raw Data'!H1029</f>
        <v>Cash</v>
      </c>
      <c r="I1029" s="4" t="str">
        <f>'Raw Data'!I1029</f>
        <v>Returned</v>
      </c>
      <c r="J1029" s="4" t="str">
        <f>'Raw Data'!J1029</f>
        <v>TRK77377373</v>
      </c>
      <c r="K1029" s="4">
        <f>'Raw Data'!K1029</f>
        <v>6</v>
      </c>
      <c r="L1029" s="4" t="str">
        <f>IF('Raw Data'!L1029="","No Coupon",'Raw Data'!L1029)</f>
        <v>No Coupon</v>
      </c>
      <c r="M1029" s="4" t="str">
        <f>'Raw Data'!M1029</f>
        <v>Google</v>
      </c>
      <c r="N1029" s="4">
        <f>'Raw Data'!N1029</f>
        <v>2219.3200000000002</v>
      </c>
    </row>
    <row r="1030" spans="1:14" ht="15" customHeight="1" x14ac:dyDescent="0.2">
      <c r="A1030" s="4" t="str">
        <f>'Raw Data'!A1030</f>
        <v>ORD201028</v>
      </c>
      <c r="B1030" s="6">
        <f>'Raw Data'!B1030</f>
        <v>44974</v>
      </c>
      <c r="C1030" s="4" t="str">
        <f>'Raw Data'!C1030</f>
        <v>C60042</v>
      </c>
      <c r="D1030" s="4" t="str">
        <f>'Raw Data'!D1030</f>
        <v>Desk</v>
      </c>
      <c r="E1030" s="4">
        <f>'Raw Data'!E1030</f>
        <v>4</v>
      </c>
      <c r="F1030" s="4">
        <f>'Raw Data'!F1030</f>
        <v>440.31</v>
      </c>
      <c r="G1030" s="4" t="str">
        <f>'Raw Data'!G1030</f>
        <v>610 Main St</v>
      </c>
      <c r="H1030" s="4" t="str">
        <f>'Raw Data'!H1030</f>
        <v>Cash</v>
      </c>
      <c r="I1030" s="4" t="str">
        <f>'Raw Data'!I1030</f>
        <v>Cancelled</v>
      </c>
      <c r="J1030" s="4" t="str">
        <f>'Raw Data'!J1030</f>
        <v>TRK84651559</v>
      </c>
      <c r="K1030" s="4">
        <f>'Raw Data'!K1030</f>
        <v>6</v>
      </c>
      <c r="L1030" s="4" t="str">
        <f>IF('Raw Data'!L1030="","No Coupon",'Raw Data'!L1030)</f>
        <v>No Coupon</v>
      </c>
      <c r="M1030" s="4" t="str">
        <f>'Raw Data'!M1030</f>
        <v>Instagram</v>
      </c>
      <c r="N1030" s="4">
        <f>'Raw Data'!N1030</f>
        <v>1761.24</v>
      </c>
    </row>
    <row r="1031" spans="1:14" ht="15" customHeight="1" x14ac:dyDescent="0.2">
      <c r="A1031" s="4" t="str">
        <f>'Raw Data'!A1031</f>
        <v>ORD201029</v>
      </c>
      <c r="B1031" s="6">
        <f>'Raw Data'!B1031</f>
        <v>45717</v>
      </c>
      <c r="C1031" s="4" t="str">
        <f>'Raw Data'!C1031</f>
        <v>C44733</v>
      </c>
      <c r="D1031" s="4" t="str">
        <f>'Raw Data'!D1031</f>
        <v>Desk</v>
      </c>
      <c r="E1031" s="4">
        <f>'Raw Data'!E1031</f>
        <v>1</v>
      </c>
      <c r="F1031" s="4">
        <f>'Raw Data'!F1031</f>
        <v>87.06</v>
      </c>
      <c r="G1031" s="4" t="str">
        <f>'Raw Data'!G1031</f>
        <v>851 Main St</v>
      </c>
      <c r="H1031" s="4" t="str">
        <f>'Raw Data'!H1031</f>
        <v>Credit Card</v>
      </c>
      <c r="I1031" s="4" t="str">
        <f>'Raw Data'!I1031</f>
        <v>Shipped</v>
      </c>
      <c r="J1031" s="4" t="str">
        <f>'Raw Data'!J1031</f>
        <v>TRK41500198</v>
      </c>
      <c r="K1031" s="4">
        <f>'Raw Data'!K1031</f>
        <v>4</v>
      </c>
      <c r="L1031" s="4" t="str">
        <f>IF('Raw Data'!L1031="","No Coupon",'Raw Data'!L1031)</f>
        <v>FREESHIP</v>
      </c>
      <c r="M1031" s="4" t="str">
        <f>'Raw Data'!M1031</f>
        <v>Email</v>
      </c>
      <c r="N1031" s="4">
        <f>'Raw Data'!N1031</f>
        <v>87.06</v>
      </c>
    </row>
    <row r="1032" spans="1:14" ht="15" customHeight="1" x14ac:dyDescent="0.2">
      <c r="A1032" s="4" t="str">
        <f>'Raw Data'!A1032</f>
        <v>ORD201030</v>
      </c>
      <c r="B1032" s="6">
        <f>'Raw Data'!B1032</f>
        <v>45201</v>
      </c>
      <c r="C1032" s="4" t="str">
        <f>'Raw Data'!C1032</f>
        <v>C61773</v>
      </c>
      <c r="D1032" s="4" t="str">
        <f>'Raw Data'!D1032</f>
        <v>Phone</v>
      </c>
      <c r="E1032" s="4">
        <f>'Raw Data'!E1032</f>
        <v>4</v>
      </c>
      <c r="F1032" s="4">
        <f>'Raw Data'!F1032</f>
        <v>245.28</v>
      </c>
      <c r="G1032" s="4" t="str">
        <f>'Raw Data'!G1032</f>
        <v>176 Main St</v>
      </c>
      <c r="H1032" s="4" t="str">
        <f>'Raw Data'!H1032</f>
        <v>Credit Card</v>
      </c>
      <c r="I1032" s="4" t="str">
        <f>'Raw Data'!I1032</f>
        <v>Delivered</v>
      </c>
      <c r="J1032" s="4" t="str">
        <f>'Raw Data'!J1032</f>
        <v>TRK12936357</v>
      </c>
      <c r="K1032" s="4">
        <f>'Raw Data'!K1032</f>
        <v>6</v>
      </c>
      <c r="L1032" s="4" t="str">
        <f>IF('Raw Data'!L1032="","No Coupon",'Raw Data'!L1032)</f>
        <v>WINTER15</v>
      </c>
      <c r="M1032" s="4" t="str">
        <f>'Raw Data'!M1032</f>
        <v>Email</v>
      </c>
      <c r="N1032" s="4">
        <f>'Raw Data'!N1032</f>
        <v>981.12</v>
      </c>
    </row>
    <row r="1033" spans="1:14" ht="15" customHeight="1" x14ac:dyDescent="0.2">
      <c r="A1033" s="4" t="str">
        <f>'Raw Data'!A1033</f>
        <v>ORD201031</v>
      </c>
      <c r="B1033" s="6">
        <f>'Raw Data'!B1033</f>
        <v>44985</v>
      </c>
      <c r="C1033" s="4" t="str">
        <f>'Raw Data'!C1033</f>
        <v>C59183</v>
      </c>
      <c r="D1033" s="4" t="str">
        <f>'Raw Data'!D1033</f>
        <v>Phone</v>
      </c>
      <c r="E1033" s="4">
        <f>'Raw Data'!E1033</f>
        <v>5</v>
      </c>
      <c r="F1033" s="4">
        <f>'Raw Data'!F1033</f>
        <v>664.51</v>
      </c>
      <c r="G1033" s="4" t="str">
        <f>'Raw Data'!G1033</f>
        <v>136 Main St</v>
      </c>
      <c r="H1033" s="4" t="str">
        <f>'Raw Data'!H1033</f>
        <v>Debit Card</v>
      </c>
      <c r="I1033" s="4" t="str">
        <f>'Raw Data'!I1033</f>
        <v>Pending</v>
      </c>
      <c r="J1033" s="4" t="str">
        <f>'Raw Data'!J1033</f>
        <v>TRK18129706</v>
      </c>
      <c r="K1033" s="4">
        <f>'Raw Data'!K1033</f>
        <v>8</v>
      </c>
      <c r="L1033" s="4" t="str">
        <f>IF('Raw Data'!L1033="","No Coupon",'Raw Data'!L1033)</f>
        <v>SAVE10</v>
      </c>
      <c r="M1033" s="4" t="str">
        <f>'Raw Data'!M1033</f>
        <v>Email</v>
      </c>
      <c r="N1033" s="4">
        <f>'Raw Data'!N1033</f>
        <v>3322.55</v>
      </c>
    </row>
    <row r="1034" spans="1:14" ht="15" customHeight="1" x14ac:dyDescent="0.2">
      <c r="A1034" s="4" t="str">
        <f>'Raw Data'!A1034</f>
        <v>ORD201032</v>
      </c>
      <c r="B1034" s="6">
        <f>'Raw Data'!B1034</f>
        <v>45036</v>
      </c>
      <c r="C1034" s="4" t="str">
        <f>'Raw Data'!C1034</f>
        <v>C26188</v>
      </c>
      <c r="D1034" s="4" t="str">
        <f>'Raw Data'!D1034</f>
        <v>Chair</v>
      </c>
      <c r="E1034" s="4">
        <f>'Raw Data'!E1034</f>
        <v>1</v>
      </c>
      <c r="F1034" s="4">
        <f>'Raw Data'!F1034</f>
        <v>618.67999999999995</v>
      </c>
      <c r="G1034" s="4" t="str">
        <f>'Raw Data'!G1034</f>
        <v>990 Main St</v>
      </c>
      <c r="H1034" s="4" t="str">
        <f>'Raw Data'!H1034</f>
        <v>Online</v>
      </c>
      <c r="I1034" s="4" t="str">
        <f>'Raw Data'!I1034</f>
        <v>Delivered</v>
      </c>
      <c r="J1034" s="4" t="str">
        <f>'Raw Data'!J1034</f>
        <v>TRK61634201</v>
      </c>
      <c r="K1034" s="4">
        <f>'Raw Data'!K1034</f>
        <v>6</v>
      </c>
      <c r="L1034" s="4" t="str">
        <f>IF('Raw Data'!L1034="","No Coupon",'Raw Data'!L1034)</f>
        <v>WINTER15</v>
      </c>
      <c r="M1034" s="4" t="str">
        <f>'Raw Data'!M1034</f>
        <v>Referral</v>
      </c>
      <c r="N1034" s="4">
        <f>'Raw Data'!N1034</f>
        <v>618.67999999999995</v>
      </c>
    </row>
    <row r="1035" spans="1:14" ht="15" customHeight="1" x14ac:dyDescent="0.2">
      <c r="A1035" s="4" t="str">
        <f>'Raw Data'!A1035</f>
        <v>ORD201033</v>
      </c>
      <c r="B1035" s="6">
        <f>'Raw Data'!B1035</f>
        <v>45650</v>
      </c>
      <c r="C1035" s="4" t="str">
        <f>'Raw Data'!C1035</f>
        <v>C20338</v>
      </c>
      <c r="D1035" s="4" t="str">
        <f>'Raw Data'!D1035</f>
        <v>Monitor</v>
      </c>
      <c r="E1035" s="4">
        <f>'Raw Data'!E1035</f>
        <v>1</v>
      </c>
      <c r="F1035" s="4">
        <f>'Raw Data'!F1035</f>
        <v>370.85</v>
      </c>
      <c r="G1035" s="4" t="str">
        <f>'Raw Data'!G1035</f>
        <v>331 Main St</v>
      </c>
      <c r="H1035" s="4" t="str">
        <f>'Raw Data'!H1035</f>
        <v>Gift Card</v>
      </c>
      <c r="I1035" s="4" t="str">
        <f>'Raw Data'!I1035</f>
        <v>Delivered</v>
      </c>
      <c r="J1035" s="4" t="str">
        <f>'Raw Data'!J1035</f>
        <v>TRK30654048</v>
      </c>
      <c r="K1035" s="4">
        <f>'Raw Data'!K1035</f>
        <v>2</v>
      </c>
      <c r="L1035" s="4" t="str">
        <f>IF('Raw Data'!L1035="","No Coupon",'Raw Data'!L1035)</f>
        <v>FREESHIP</v>
      </c>
      <c r="M1035" s="4" t="str">
        <f>'Raw Data'!M1035</f>
        <v>Referral</v>
      </c>
      <c r="N1035" s="4">
        <f>'Raw Data'!N1035</f>
        <v>370.85</v>
      </c>
    </row>
    <row r="1036" spans="1:14" ht="15" customHeight="1" x14ac:dyDescent="0.2">
      <c r="A1036" s="4" t="str">
        <f>'Raw Data'!A1036</f>
        <v>ORD201034</v>
      </c>
      <c r="B1036" s="6">
        <f>'Raw Data'!B1036</f>
        <v>45459</v>
      </c>
      <c r="C1036" s="4" t="str">
        <f>'Raw Data'!C1036</f>
        <v>C84524</v>
      </c>
      <c r="D1036" s="4" t="str">
        <f>'Raw Data'!D1036</f>
        <v>Printer</v>
      </c>
      <c r="E1036" s="4">
        <f>'Raw Data'!E1036</f>
        <v>4</v>
      </c>
      <c r="F1036" s="4">
        <f>'Raw Data'!F1036</f>
        <v>517.98</v>
      </c>
      <c r="G1036" s="4" t="str">
        <f>'Raw Data'!G1036</f>
        <v>766 Main St</v>
      </c>
      <c r="H1036" s="4" t="str">
        <f>'Raw Data'!H1036</f>
        <v>Cash</v>
      </c>
      <c r="I1036" s="4" t="str">
        <f>'Raw Data'!I1036</f>
        <v>Cancelled</v>
      </c>
      <c r="J1036" s="4" t="str">
        <f>'Raw Data'!J1036</f>
        <v>TRK76751888</v>
      </c>
      <c r="K1036" s="4">
        <f>'Raw Data'!K1036</f>
        <v>8</v>
      </c>
      <c r="L1036" s="4" t="str">
        <f>IF('Raw Data'!L1036="","No Coupon",'Raw Data'!L1036)</f>
        <v>FREESHIP</v>
      </c>
      <c r="M1036" s="4" t="str">
        <f>'Raw Data'!M1036</f>
        <v>Facebook</v>
      </c>
      <c r="N1036" s="4">
        <f>'Raw Data'!N1036</f>
        <v>2071.92</v>
      </c>
    </row>
    <row r="1037" spans="1:14" ht="15" customHeight="1" x14ac:dyDescent="0.2">
      <c r="A1037" s="4" t="str">
        <f>'Raw Data'!A1037</f>
        <v>ORD201035</v>
      </c>
      <c r="B1037" s="6">
        <f>'Raw Data'!B1037</f>
        <v>45242</v>
      </c>
      <c r="C1037" s="4" t="str">
        <f>'Raw Data'!C1037</f>
        <v>C70315</v>
      </c>
      <c r="D1037" s="4" t="str">
        <f>'Raw Data'!D1037</f>
        <v>Laptop</v>
      </c>
      <c r="E1037" s="4">
        <f>'Raw Data'!E1037</f>
        <v>4</v>
      </c>
      <c r="F1037" s="4">
        <f>'Raw Data'!F1037</f>
        <v>506.11</v>
      </c>
      <c r="G1037" s="4" t="str">
        <f>'Raw Data'!G1037</f>
        <v>911 Main St</v>
      </c>
      <c r="H1037" s="4" t="str">
        <f>'Raw Data'!H1037</f>
        <v>Cash</v>
      </c>
      <c r="I1037" s="4" t="str">
        <f>'Raw Data'!I1037</f>
        <v>Cancelled</v>
      </c>
      <c r="J1037" s="4" t="str">
        <f>'Raw Data'!J1037</f>
        <v>TRK97732085</v>
      </c>
      <c r="K1037" s="4">
        <f>'Raw Data'!K1037</f>
        <v>5</v>
      </c>
      <c r="L1037" s="4" t="str">
        <f>IF('Raw Data'!L1037="","No Coupon",'Raw Data'!L1037)</f>
        <v>No Coupon</v>
      </c>
      <c r="M1037" s="4" t="str">
        <f>'Raw Data'!M1037</f>
        <v>Referral</v>
      </c>
      <c r="N1037" s="4">
        <f>'Raw Data'!N1037</f>
        <v>2024.44</v>
      </c>
    </row>
    <row r="1038" spans="1:14" ht="15" customHeight="1" x14ac:dyDescent="0.2">
      <c r="A1038" s="4" t="str">
        <f>'Raw Data'!A1038</f>
        <v>ORD201036</v>
      </c>
      <c r="B1038" s="6">
        <f>'Raw Data'!B1038</f>
        <v>45443</v>
      </c>
      <c r="C1038" s="4" t="str">
        <f>'Raw Data'!C1038</f>
        <v>C98278</v>
      </c>
      <c r="D1038" s="4" t="str">
        <f>'Raw Data'!D1038</f>
        <v>Phone</v>
      </c>
      <c r="E1038" s="4">
        <f>'Raw Data'!E1038</f>
        <v>3</v>
      </c>
      <c r="F1038" s="4">
        <f>'Raw Data'!F1038</f>
        <v>413.83</v>
      </c>
      <c r="G1038" s="4" t="str">
        <f>'Raw Data'!G1038</f>
        <v>552 Main St</v>
      </c>
      <c r="H1038" s="4" t="str">
        <f>'Raw Data'!H1038</f>
        <v>Gift Card</v>
      </c>
      <c r="I1038" s="4" t="str">
        <f>'Raw Data'!I1038</f>
        <v>Shipped</v>
      </c>
      <c r="J1038" s="4" t="str">
        <f>'Raw Data'!J1038</f>
        <v>TRK49684737</v>
      </c>
      <c r="K1038" s="4">
        <f>'Raw Data'!K1038</f>
        <v>8</v>
      </c>
      <c r="L1038" s="4" t="str">
        <f>IF('Raw Data'!L1038="","No Coupon",'Raw Data'!L1038)</f>
        <v>SAVE10</v>
      </c>
      <c r="M1038" s="4" t="str">
        <f>'Raw Data'!M1038</f>
        <v>Facebook</v>
      </c>
      <c r="N1038" s="4">
        <f>'Raw Data'!N1038</f>
        <v>1241.49</v>
      </c>
    </row>
    <row r="1039" spans="1:14" ht="15" customHeight="1" x14ac:dyDescent="0.2">
      <c r="A1039" s="4" t="str">
        <f>'Raw Data'!A1039</f>
        <v>ORD201037</v>
      </c>
      <c r="B1039" s="6">
        <f>'Raw Data'!B1039</f>
        <v>45273</v>
      </c>
      <c r="C1039" s="4" t="str">
        <f>'Raw Data'!C1039</f>
        <v>C32347</v>
      </c>
      <c r="D1039" s="4" t="str">
        <f>'Raw Data'!D1039</f>
        <v>Printer</v>
      </c>
      <c r="E1039" s="4">
        <f>'Raw Data'!E1039</f>
        <v>1</v>
      </c>
      <c r="F1039" s="4">
        <f>'Raw Data'!F1039</f>
        <v>249.81</v>
      </c>
      <c r="G1039" s="4" t="str">
        <f>'Raw Data'!G1039</f>
        <v>408 Main St</v>
      </c>
      <c r="H1039" s="4" t="str">
        <f>'Raw Data'!H1039</f>
        <v>Cash</v>
      </c>
      <c r="I1039" s="4" t="str">
        <f>'Raw Data'!I1039</f>
        <v>Pending</v>
      </c>
      <c r="J1039" s="4" t="str">
        <f>'Raw Data'!J1039</f>
        <v>TRK54073964</v>
      </c>
      <c r="K1039" s="4">
        <f>'Raw Data'!K1039</f>
        <v>1</v>
      </c>
      <c r="L1039" s="4" t="str">
        <f>IF('Raw Data'!L1039="","No Coupon",'Raw Data'!L1039)</f>
        <v>SAVE10</v>
      </c>
      <c r="M1039" s="4" t="str">
        <f>'Raw Data'!M1039</f>
        <v>Google</v>
      </c>
      <c r="N1039" s="4">
        <f>'Raw Data'!N1039</f>
        <v>249.81</v>
      </c>
    </row>
    <row r="1040" spans="1:14" ht="15" customHeight="1" x14ac:dyDescent="0.2">
      <c r="A1040" s="4" t="str">
        <f>'Raw Data'!A1040</f>
        <v>ORD201038</v>
      </c>
      <c r="B1040" s="6">
        <f>'Raw Data'!B1040</f>
        <v>45731</v>
      </c>
      <c r="C1040" s="4" t="str">
        <f>'Raw Data'!C1040</f>
        <v>C77961</v>
      </c>
      <c r="D1040" s="4" t="str">
        <f>'Raw Data'!D1040</f>
        <v>Tablet</v>
      </c>
      <c r="E1040" s="4">
        <f>'Raw Data'!E1040</f>
        <v>3</v>
      </c>
      <c r="F1040" s="4">
        <f>'Raw Data'!F1040</f>
        <v>362.53</v>
      </c>
      <c r="G1040" s="4" t="str">
        <f>'Raw Data'!G1040</f>
        <v>422 Main St</v>
      </c>
      <c r="H1040" s="4" t="str">
        <f>'Raw Data'!H1040</f>
        <v>Debit Card</v>
      </c>
      <c r="I1040" s="4" t="str">
        <f>'Raw Data'!I1040</f>
        <v>Returned</v>
      </c>
      <c r="J1040" s="4" t="str">
        <f>'Raw Data'!J1040</f>
        <v>TRK28969024</v>
      </c>
      <c r="K1040" s="4">
        <f>'Raw Data'!K1040</f>
        <v>5</v>
      </c>
      <c r="L1040" s="4" t="str">
        <f>IF('Raw Data'!L1040="","No Coupon",'Raw Data'!L1040)</f>
        <v>No Coupon</v>
      </c>
      <c r="M1040" s="4" t="str">
        <f>'Raw Data'!M1040</f>
        <v>Facebook</v>
      </c>
      <c r="N1040" s="4">
        <f>'Raw Data'!N1040</f>
        <v>1087.5899999999999</v>
      </c>
    </row>
    <row r="1041" spans="1:14" ht="15" customHeight="1" x14ac:dyDescent="0.2">
      <c r="A1041" s="4" t="str">
        <f>'Raw Data'!A1041</f>
        <v>ORD201039</v>
      </c>
      <c r="B1041" s="6">
        <f>'Raw Data'!B1041</f>
        <v>45836</v>
      </c>
      <c r="C1041" s="4" t="str">
        <f>'Raw Data'!C1041</f>
        <v>C49137</v>
      </c>
      <c r="D1041" s="4" t="str">
        <f>'Raw Data'!D1041</f>
        <v>Desk</v>
      </c>
      <c r="E1041" s="4">
        <f>'Raw Data'!E1041</f>
        <v>2</v>
      </c>
      <c r="F1041" s="4">
        <f>'Raw Data'!F1041</f>
        <v>299.23</v>
      </c>
      <c r="G1041" s="4" t="str">
        <f>'Raw Data'!G1041</f>
        <v>177 Main St</v>
      </c>
      <c r="H1041" s="4" t="str">
        <f>'Raw Data'!H1041</f>
        <v>Credit Card</v>
      </c>
      <c r="I1041" s="4" t="str">
        <f>'Raw Data'!I1041</f>
        <v>Cancelled</v>
      </c>
      <c r="J1041" s="4" t="str">
        <f>'Raw Data'!J1041</f>
        <v>TRK79362428</v>
      </c>
      <c r="K1041" s="4">
        <f>'Raw Data'!K1041</f>
        <v>2</v>
      </c>
      <c r="L1041" s="4" t="str">
        <f>IF('Raw Data'!L1041="","No Coupon",'Raw Data'!L1041)</f>
        <v>WINTER15</v>
      </c>
      <c r="M1041" s="4" t="str">
        <f>'Raw Data'!M1041</f>
        <v>Instagram</v>
      </c>
      <c r="N1041" s="4">
        <f>'Raw Data'!N1041</f>
        <v>598.46</v>
      </c>
    </row>
    <row r="1042" spans="1:14" ht="15" customHeight="1" x14ac:dyDescent="0.2">
      <c r="A1042" s="4" t="str">
        <f>'Raw Data'!A1042</f>
        <v>ORD201040</v>
      </c>
      <c r="B1042" s="6">
        <f>'Raw Data'!B1042</f>
        <v>45245</v>
      </c>
      <c r="C1042" s="4" t="str">
        <f>'Raw Data'!C1042</f>
        <v>C13169</v>
      </c>
      <c r="D1042" s="4" t="str">
        <f>'Raw Data'!D1042</f>
        <v>Tablet</v>
      </c>
      <c r="E1042" s="4">
        <f>'Raw Data'!E1042</f>
        <v>1</v>
      </c>
      <c r="F1042" s="4">
        <f>'Raw Data'!F1042</f>
        <v>536.07000000000005</v>
      </c>
      <c r="G1042" s="4" t="str">
        <f>'Raw Data'!G1042</f>
        <v>932 Main St</v>
      </c>
      <c r="H1042" s="4" t="str">
        <f>'Raw Data'!H1042</f>
        <v>Debit Card</v>
      </c>
      <c r="I1042" s="4" t="str">
        <f>'Raw Data'!I1042</f>
        <v>Delivered</v>
      </c>
      <c r="J1042" s="4" t="str">
        <f>'Raw Data'!J1042</f>
        <v>TRK66288666</v>
      </c>
      <c r="K1042" s="4">
        <f>'Raw Data'!K1042</f>
        <v>5</v>
      </c>
      <c r="L1042" s="4" t="str">
        <f>IF('Raw Data'!L1042="","No Coupon",'Raw Data'!L1042)</f>
        <v>FREESHIP</v>
      </c>
      <c r="M1042" s="4" t="str">
        <f>'Raw Data'!M1042</f>
        <v>Google</v>
      </c>
      <c r="N1042" s="4">
        <f>'Raw Data'!N1042</f>
        <v>536.07000000000005</v>
      </c>
    </row>
    <row r="1043" spans="1:14" ht="15" customHeight="1" x14ac:dyDescent="0.2">
      <c r="A1043" s="4" t="str">
        <f>'Raw Data'!A1043</f>
        <v>ORD201041</v>
      </c>
      <c r="B1043" s="6">
        <f>'Raw Data'!B1043</f>
        <v>44968</v>
      </c>
      <c r="C1043" s="4" t="str">
        <f>'Raw Data'!C1043</f>
        <v>C21167</v>
      </c>
      <c r="D1043" s="4" t="str">
        <f>'Raw Data'!D1043</f>
        <v>Monitor</v>
      </c>
      <c r="E1043" s="4">
        <f>'Raw Data'!E1043</f>
        <v>4</v>
      </c>
      <c r="F1043" s="4">
        <f>'Raw Data'!F1043</f>
        <v>558.9</v>
      </c>
      <c r="G1043" s="4" t="str">
        <f>'Raw Data'!G1043</f>
        <v>948 Main St</v>
      </c>
      <c r="H1043" s="4" t="str">
        <f>'Raw Data'!H1043</f>
        <v>Gift Card</v>
      </c>
      <c r="I1043" s="4" t="str">
        <f>'Raw Data'!I1043</f>
        <v>Shipped</v>
      </c>
      <c r="J1043" s="4" t="str">
        <f>'Raw Data'!J1043</f>
        <v>TRK97737564</v>
      </c>
      <c r="K1043" s="4">
        <f>'Raw Data'!K1043</f>
        <v>9</v>
      </c>
      <c r="L1043" s="4" t="str">
        <f>IF('Raw Data'!L1043="","No Coupon",'Raw Data'!L1043)</f>
        <v>WINTER15</v>
      </c>
      <c r="M1043" s="4" t="str">
        <f>'Raw Data'!M1043</f>
        <v>Google</v>
      </c>
      <c r="N1043" s="4">
        <f>'Raw Data'!N1043</f>
        <v>2235.6</v>
      </c>
    </row>
    <row r="1044" spans="1:14" ht="15" customHeight="1" x14ac:dyDescent="0.2">
      <c r="A1044" s="4" t="str">
        <f>'Raw Data'!A1044</f>
        <v>ORD201042</v>
      </c>
      <c r="B1044" s="6">
        <f>'Raw Data'!B1044</f>
        <v>45635</v>
      </c>
      <c r="C1044" s="4" t="str">
        <f>'Raw Data'!C1044</f>
        <v>C59724</v>
      </c>
      <c r="D1044" s="4" t="str">
        <f>'Raw Data'!D1044</f>
        <v>Tablet</v>
      </c>
      <c r="E1044" s="4">
        <f>'Raw Data'!E1044</f>
        <v>2</v>
      </c>
      <c r="F1044" s="4">
        <f>'Raw Data'!F1044</f>
        <v>409.75</v>
      </c>
      <c r="G1044" s="4" t="str">
        <f>'Raw Data'!G1044</f>
        <v>414 Main St</v>
      </c>
      <c r="H1044" s="4" t="str">
        <f>'Raw Data'!H1044</f>
        <v>Debit Card</v>
      </c>
      <c r="I1044" s="4" t="str">
        <f>'Raw Data'!I1044</f>
        <v>Shipped</v>
      </c>
      <c r="J1044" s="4" t="str">
        <f>'Raw Data'!J1044</f>
        <v>TRK67878272</v>
      </c>
      <c r="K1044" s="4">
        <f>'Raw Data'!K1044</f>
        <v>2</v>
      </c>
      <c r="L1044" s="4" t="str">
        <f>IF('Raw Data'!L1044="","No Coupon",'Raw Data'!L1044)</f>
        <v>WINTER15</v>
      </c>
      <c r="M1044" s="4" t="str">
        <f>'Raw Data'!M1044</f>
        <v>Facebook</v>
      </c>
      <c r="N1044" s="4">
        <f>'Raw Data'!N1044</f>
        <v>819.5</v>
      </c>
    </row>
    <row r="1045" spans="1:14" ht="15" customHeight="1" x14ac:dyDescent="0.2">
      <c r="A1045" s="4" t="str">
        <f>'Raw Data'!A1045</f>
        <v>ORD201043</v>
      </c>
      <c r="B1045" s="6">
        <f>'Raw Data'!B1045</f>
        <v>45668</v>
      </c>
      <c r="C1045" s="4" t="str">
        <f>'Raw Data'!C1045</f>
        <v>C43965</v>
      </c>
      <c r="D1045" s="4" t="str">
        <f>'Raw Data'!D1045</f>
        <v>Tablet</v>
      </c>
      <c r="E1045" s="4">
        <f>'Raw Data'!E1045</f>
        <v>2</v>
      </c>
      <c r="F1045" s="4">
        <f>'Raw Data'!F1045</f>
        <v>179.96</v>
      </c>
      <c r="G1045" s="4" t="str">
        <f>'Raw Data'!G1045</f>
        <v>675 Main St</v>
      </c>
      <c r="H1045" s="4" t="str">
        <f>'Raw Data'!H1045</f>
        <v>Gift Card</v>
      </c>
      <c r="I1045" s="4" t="str">
        <f>'Raw Data'!I1045</f>
        <v>Shipped</v>
      </c>
      <c r="J1045" s="4" t="str">
        <f>'Raw Data'!J1045</f>
        <v>TRK94346739</v>
      </c>
      <c r="K1045" s="4">
        <f>'Raw Data'!K1045</f>
        <v>5</v>
      </c>
      <c r="L1045" s="4" t="str">
        <f>IF('Raw Data'!L1045="","No Coupon",'Raw Data'!L1045)</f>
        <v>No Coupon</v>
      </c>
      <c r="M1045" s="4" t="str">
        <f>'Raw Data'!M1045</f>
        <v>Instagram</v>
      </c>
      <c r="N1045" s="4">
        <f>'Raw Data'!N1045</f>
        <v>359.92</v>
      </c>
    </row>
    <row r="1046" spans="1:14" ht="15" customHeight="1" x14ac:dyDescent="0.2">
      <c r="A1046" s="4" t="str">
        <f>'Raw Data'!A1046</f>
        <v>ORD201044</v>
      </c>
      <c r="B1046" s="6">
        <f>'Raw Data'!B1046</f>
        <v>45830</v>
      </c>
      <c r="C1046" s="4" t="str">
        <f>'Raw Data'!C1046</f>
        <v>C63018</v>
      </c>
      <c r="D1046" s="4" t="str">
        <f>'Raw Data'!D1046</f>
        <v>Printer</v>
      </c>
      <c r="E1046" s="4">
        <f>'Raw Data'!E1046</f>
        <v>1</v>
      </c>
      <c r="F1046" s="4">
        <f>'Raw Data'!F1046</f>
        <v>38.49</v>
      </c>
      <c r="G1046" s="4" t="str">
        <f>'Raw Data'!G1046</f>
        <v>215 Main St</v>
      </c>
      <c r="H1046" s="4" t="str">
        <f>'Raw Data'!H1046</f>
        <v>Credit Card</v>
      </c>
      <c r="I1046" s="4" t="str">
        <f>'Raw Data'!I1046</f>
        <v>Delivered</v>
      </c>
      <c r="J1046" s="4" t="str">
        <f>'Raw Data'!J1046</f>
        <v>TRK52335337</v>
      </c>
      <c r="K1046" s="4">
        <f>'Raw Data'!K1046</f>
        <v>4</v>
      </c>
      <c r="L1046" s="4" t="str">
        <f>IF('Raw Data'!L1046="","No Coupon",'Raw Data'!L1046)</f>
        <v>FREESHIP</v>
      </c>
      <c r="M1046" s="4" t="str">
        <f>'Raw Data'!M1046</f>
        <v>Referral</v>
      </c>
      <c r="N1046" s="4">
        <f>'Raw Data'!N1046</f>
        <v>38.49</v>
      </c>
    </row>
    <row r="1047" spans="1:14" ht="15" customHeight="1" x14ac:dyDescent="0.2">
      <c r="A1047" s="4" t="str">
        <f>'Raw Data'!A1047</f>
        <v>ORD201045</v>
      </c>
      <c r="B1047" s="6">
        <f>'Raw Data'!B1047</f>
        <v>45555</v>
      </c>
      <c r="C1047" s="4" t="str">
        <f>'Raw Data'!C1047</f>
        <v>C11893</v>
      </c>
      <c r="D1047" s="4" t="str">
        <f>'Raw Data'!D1047</f>
        <v>Laptop</v>
      </c>
      <c r="E1047" s="4">
        <f>'Raw Data'!E1047</f>
        <v>5</v>
      </c>
      <c r="F1047" s="4">
        <f>'Raw Data'!F1047</f>
        <v>316.39999999999998</v>
      </c>
      <c r="G1047" s="4" t="str">
        <f>'Raw Data'!G1047</f>
        <v>671 Main St</v>
      </c>
      <c r="H1047" s="4" t="str">
        <f>'Raw Data'!H1047</f>
        <v>Gift Card</v>
      </c>
      <c r="I1047" s="4" t="str">
        <f>'Raw Data'!I1047</f>
        <v>Returned</v>
      </c>
      <c r="J1047" s="4" t="str">
        <f>'Raw Data'!J1047</f>
        <v>TRK72012758</v>
      </c>
      <c r="K1047" s="4">
        <f>'Raw Data'!K1047</f>
        <v>7</v>
      </c>
      <c r="L1047" s="4" t="str">
        <f>IF('Raw Data'!L1047="","No Coupon",'Raw Data'!L1047)</f>
        <v>No Coupon</v>
      </c>
      <c r="M1047" s="4" t="str">
        <f>'Raw Data'!M1047</f>
        <v>Email</v>
      </c>
      <c r="N1047" s="4">
        <f>'Raw Data'!N1047</f>
        <v>1582</v>
      </c>
    </row>
    <row r="1048" spans="1:14" ht="15" customHeight="1" x14ac:dyDescent="0.2">
      <c r="A1048" s="4" t="str">
        <f>'Raw Data'!A1048</f>
        <v>ORD201046</v>
      </c>
      <c r="B1048" s="6">
        <f>'Raw Data'!B1048</f>
        <v>45572</v>
      </c>
      <c r="C1048" s="4" t="str">
        <f>'Raw Data'!C1048</f>
        <v>C85421</v>
      </c>
      <c r="D1048" s="4" t="str">
        <f>'Raw Data'!D1048</f>
        <v>Tablet</v>
      </c>
      <c r="E1048" s="4">
        <f>'Raw Data'!E1048</f>
        <v>3</v>
      </c>
      <c r="F1048" s="4">
        <f>'Raw Data'!F1048</f>
        <v>547.15</v>
      </c>
      <c r="G1048" s="4" t="str">
        <f>'Raw Data'!G1048</f>
        <v>466 Main St</v>
      </c>
      <c r="H1048" s="4" t="str">
        <f>'Raw Data'!H1048</f>
        <v>Online</v>
      </c>
      <c r="I1048" s="4" t="str">
        <f>'Raw Data'!I1048</f>
        <v>Shipped</v>
      </c>
      <c r="J1048" s="4" t="str">
        <f>'Raw Data'!J1048</f>
        <v>TRK16524006</v>
      </c>
      <c r="K1048" s="4">
        <f>'Raw Data'!K1048</f>
        <v>4</v>
      </c>
      <c r="L1048" s="4" t="str">
        <f>IF('Raw Data'!L1048="","No Coupon",'Raw Data'!L1048)</f>
        <v>WINTER15</v>
      </c>
      <c r="M1048" s="4" t="str">
        <f>'Raw Data'!M1048</f>
        <v>Instagram</v>
      </c>
      <c r="N1048" s="4">
        <f>'Raw Data'!N1048</f>
        <v>1641.45</v>
      </c>
    </row>
    <row r="1049" spans="1:14" ht="15" customHeight="1" x14ac:dyDescent="0.2">
      <c r="A1049" s="4" t="str">
        <f>'Raw Data'!A1049</f>
        <v>ORD201047</v>
      </c>
      <c r="B1049" s="6">
        <f>'Raw Data'!B1049</f>
        <v>45100</v>
      </c>
      <c r="C1049" s="4" t="str">
        <f>'Raw Data'!C1049</f>
        <v>C81726</v>
      </c>
      <c r="D1049" s="4" t="str">
        <f>'Raw Data'!D1049</f>
        <v>Chair</v>
      </c>
      <c r="E1049" s="4">
        <f>'Raw Data'!E1049</f>
        <v>4</v>
      </c>
      <c r="F1049" s="4">
        <f>'Raw Data'!F1049</f>
        <v>540.34</v>
      </c>
      <c r="G1049" s="4" t="str">
        <f>'Raw Data'!G1049</f>
        <v>394 Main St</v>
      </c>
      <c r="H1049" s="4" t="str">
        <f>'Raw Data'!H1049</f>
        <v>Gift Card</v>
      </c>
      <c r="I1049" s="4" t="str">
        <f>'Raw Data'!I1049</f>
        <v>Shipped</v>
      </c>
      <c r="J1049" s="4" t="str">
        <f>'Raw Data'!J1049</f>
        <v>TRK69872994</v>
      </c>
      <c r="K1049" s="4">
        <f>'Raw Data'!K1049</f>
        <v>6</v>
      </c>
      <c r="L1049" s="4" t="str">
        <f>IF('Raw Data'!L1049="","No Coupon",'Raw Data'!L1049)</f>
        <v>WINTER15</v>
      </c>
      <c r="M1049" s="4" t="str">
        <f>'Raw Data'!M1049</f>
        <v>Referral</v>
      </c>
      <c r="N1049" s="4">
        <f>'Raw Data'!N1049</f>
        <v>2161.36</v>
      </c>
    </row>
    <row r="1050" spans="1:14" ht="15" customHeight="1" x14ac:dyDescent="0.2">
      <c r="A1050" s="4" t="str">
        <f>'Raw Data'!A1050</f>
        <v>ORD201048</v>
      </c>
      <c r="B1050" s="6">
        <f>'Raw Data'!B1050</f>
        <v>45544</v>
      </c>
      <c r="C1050" s="4" t="str">
        <f>'Raw Data'!C1050</f>
        <v>C57601</v>
      </c>
      <c r="D1050" s="4" t="str">
        <f>'Raw Data'!D1050</f>
        <v>Monitor</v>
      </c>
      <c r="E1050" s="4">
        <f>'Raw Data'!E1050</f>
        <v>4</v>
      </c>
      <c r="F1050" s="4">
        <f>'Raw Data'!F1050</f>
        <v>73.650000000000006</v>
      </c>
      <c r="G1050" s="4" t="str">
        <f>'Raw Data'!G1050</f>
        <v>889 Main St</v>
      </c>
      <c r="H1050" s="4" t="str">
        <f>'Raw Data'!H1050</f>
        <v>Debit Card</v>
      </c>
      <c r="I1050" s="4" t="str">
        <f>'Raw Data'!I1050</f>
        <v>Shipped</v>
      </c>
      <c r="J1050" s="4" t="str">
        <f>'Raw Data'!J1050</f>
        <v>TRK21153699</v>
      </c>
      <c r="K1050" s="4">
        <f>'Raw Data'!K1050</f>
        <v>9</v>
      </c>
      <c r="L1050" s="4" t="str">
        <f>IF('Raw Data'!L1050="","No Coupon",'Raw Data'!L1050)</f>
        <v>No Coupon</v>
      </c>
      <c r="M1050" s="4" t="str">
        <f>'Raw Data'!M1050</f>
        <v>Google</v>
      </c>
      <c r="N1050" s="4">
        <f>'Raw Data'!N1050</f>
        <v>294.60000000000002</v>
      </c>
    </row>
    <row r="1051" spans="1:14" ht="15" customHeight="1" x14ac:dyDescent="0.2">
      <c r="A1051" s="4" t="str">
        <f>'Raw Data'!A1051</f>
        <v>ORD201049</v>
      </c>
      <c r="B1051" s="6">
        <f>'Raw Data'!B1051</f>
        <v>45491</v>
      </c>
      <c r="C1051" s="4" t="str">
        <f>'Raw Data'!C1051</f>
        <v>C60575</v>
      </c>
      <c r="D1051" s="4" t="str">
        <f>'Raw Data'!D1051</f>
        <v>Desk</v>
      </c>
      <c r="E1051" s="4">
        <f>'Raw Data'!E1051</f>
        <v>5</v>
      </c>
      <c r="F1051" s="4">
        <f>'Raw Data'!F1051</f>
        <v>391.86</v>
      </c>
      <c r="G1051" s="4" t="str">
        <f>'Raw Data'!G1051</f>
        <v>587 Main St</v>
      </c>
      <c r="H1051" s="4" t="str">
        <f>'Raw Data'!H1051</f>
        <v>Credit Card</v>
      </c>
      <c r="I1051" s="4" t="str">
        <f>'Raw Data'!I1051</f>
        <v>Shipped</v>
      </c>
      <c r="J1051" s="4" t="str">
        <f>'Raw Data'!J1051</f>
        <v>TRK44468232</v>
      </c>
      <c r="K1051" s="4">
        <f>'Raw Data'!K1051</f>
        <v>6</v>
      </c>
      <c r="L1051" s="4" t="str">
        <f>IF('Raw Data'!L1051="","No Coupon",'Raw Data'!L1051)</f>
        <v>No Coupon</v>
      </c>
      <c r="M1051" s="4" t="str">
        <f>'Raw Data'!M1051</f>
        <v>Instagram</v>
      </c>
      <c r="N1051" s="4">
        <f>'Raw Data'!N1051</f>
        <v>1959.3</v>
      </c>
    </row>
    <row r="1052" spans="1:14" ht="15" customHeight="1" x14ac:dyDescent="0.2">
      <c r="A1052" s="4" t="str">
        <f>'Raw Data'!A1052</f>
        <v>ORD201050</v>
      </c>
      <c r="B1052" s="6">
        <f>'Raw Data'!B1052</f>
        <v>45158</v>
      </c>
      <c r="C1052" s="4" t="str">
        <f>'Raw Data'!C1052</f>
        <v>C70659</v>
      </c>
      <c r="D1052" s="4" t="str">
        <f>'Raw Data'!D1052</f>
        <v>Laptop</v>
      </c>
      <c r="E1052" s="4">
        <f>'Raw Data'!E1052</f>
        <v>5</v>
      </c>
      <c r="F1052" s="4">
        <f>'Raw Data'!F1052</f>
        <v>69.7</v>
      </c>
      <c r="G1052" s="4" t="str">
        <f>'Raw Data'!G1052</f>
        <v>722 Main St</v>
      </c>
      <c r="H1052" s="4" t="str">
        <f>'Raw Data'!H1052</f>
        <v>Online</v>
      </c>
      <c r="I1052" s="4" t="str">
        <f>'Raw Data'!I1052</f>
        <v>Returned</v>
      </c>
      <c r="J1052" s="4" t="str">
        <f>'Raw Data'!J1052</f>
        <v>TRK49663597</v>
      </c>
      <c r="K1052" s="4">
        <f>'Raw Data'!K1052</f>
        <v>9</v>
      </c>
      <c r="L1052" s="4" t="str">
        <f>IF('Raw Data'!L1052="","No Coupon",'Raw Data'!L1052)</f>
        <v>No Coupon</v>
      </c>
      <c r="M1052" s="4" t="str">
        <f>'Raw Data'!M1052</f>
        <v>Instagram</v>
      </c>
      <c r="N1052" s="4">
        <f>'Raw Data'!N1052</f>
        <v>348.5</v>
      </c>
    </row>
    <row r="1053" spans="1:14" ht="15" customHeight="1" x14ac:dyDescent="0.2">
      <c r="A1053" s="4" t="str">
        <f>'Raw Data'!A1053</f>
        <v>ORD201051</v>
      </c>
      <c r="B1053" s="6">
        <f>'Raw Data'!B1053</f>
        <v>45721</v>
      </c>
      <c r="C1053" s="4" t="str">
        <f>'Raw Data'!C1053</f>
        <v>C35043</v>
      </c>
      <c r="D1053" s="4" t="str">
        <f>'Raw Data'!D1053</f>
        <v>Monitor</v>
      </c>
      <c r="E1053" s="4">
        <f>'Raw Data'!E1053</f>
        <v>5</v>
      </c>
      <c r="F1053" s="4">
        <f>'Raw Data'!F1053</f>
        <v>26.43</v>
      </c>
      <c r="G1053" s="4" t="str">
        <f>'Raw Data'!G1053</f>
        <v>820 Main St</v>
      </c>
      <c r="H1053" s="4" t="str">
        <f>'Raw Data'!H1053</f>
        <v>Gift Card</v>
      </c>
      <c r="I1053" s="4" t="str">
        <f>'Raw Data'!I1053</f>
        <v>Shipped</v>
      </c>
      <c r="J1053" s="4" t="str">
        <f>'Raw Data'!J1053</f>
        <v>TRK65097450</v>
      </c>
      <c r="K1053" s="4">
        <f>'Raw Data'!K1053</f>
        <v>5</v>
      </c>
      <c r="L1053" s="4" t="str">
        <f>IF('Raw Data'!L1053="","No Coupon",'Raw Data'!L1053)</f>
        <v>FREESHIP</v>
      </c>
      <c r="M1053" s="4" t="str">
        <f>'Raw Data'!M1053</f>
        <v>Facebook</v>
      </c>
      <c r="N1053" s="4">
        <f>'Raw Data'!N1053</f>
        <v>132.15</v>
      </c>
    </row>
    <row r="1054" spans="1:14" ht="15" customHeight="1" x14ac:dyDescent="0.2">
      <c r="A1054" s="4" t="str">
        <f>'Raw Data'!A1054</f>
        <v>ORD201052</v>
      </c>
      <c r="B1054" s="6">
        <f>'Raw Data'!B1054</f>
        <v>45180</v>
      </c>
      <c r="C1054" s="4" t="str">
        <f>'Raw Data'!C1054</f>
        <v>C12301</v>
      </c>
      <c r="D1054" s="4" t="str">
        <f>'Raw Data'!D1054</f>
        <v>Tablet</v>
      </c>
      <c r="E1054" s="4">
        <f>'Raw Data'!E1054</f>
        <v>1</v>
      </c>
      <c r="F1054" s="4">
        <f>'Raw Data'!F1054</f>
        <v>531.74</v>
      </c>
      <c r="G1054" s="4" t="str">
        <f>'Raw Data'!G1054</f>
        <v>493 Main St</v>
      </c>
      <c r="H1054" s="4" t="str">
        <f>'Raw Data'!H1054</f>
        <v>Online</v>
      </c>
      <c r="I1054" s="4" t="str">
        <f>'Raw Data'!I1054</f>
        <v>Shipped</v>
      </c>
      <c r="J1054" s="4" t="str">
        <f>'Raw Data'!J1054</f>
        <v>TRK25145796</v>
      </c>
      <c r="K1054" s="4">
        <f>'Raw Data'!K1054</f>
        <v>1</v>
      </c>
      <c r="L1054" s="4" t="str">
        <f>IF('Raw Data'!L1054="","No Coupon",'Raw Data'!L1054)</f>
        <v>WINTER15</v>
      </c>
      <c r="M1054" s="4" t="str">
        <f>'Raw Data'!M1054</f>
        <v>Google</v>
      </c>
      <c r="N1054" s="4">
        <f>'Raw Data'!N1054</f>
        <v>531.74</v>
      </c>
    </row>
    <row r="1055" spans="1:14" ht="15" customHeight="1" x14ac:dyDescent="0.2">
      <c r="A1055" s="4" t="str">
        <f>'Raw Data'!A1055</f>
        <v>ORD201053</v>
      </c>
      <c r="B1055" s="6">
        <f>'Raw Data'!B1055</f>
        <v>45550</v>
      </c>
      <c r="C1055" s="4" t="str">
        <f>'Raw Data'!C1055</f>
        <v>C32798</v>
      </c>
      <c r="D1055" s="4" t="str">
        <f>'Raw Data'!D1055</f>
        <v>Phone</v>
      </c>
      <c r="E1055" s="4">
        <f>'Raw Data'!E1055</f>
        <v>2</v>
      </c>
      <c r="F1055" s="4">
        <f>'Raw Data'!F1055</f>
        <v>496.62</v>
      </c>
      <c r="G1055" s="4" t="str">
        <f>'Raw Data'!G1055</f>
        <v>679 Main St</v>
      </c>
      <c r="H1055" s="4" t="str">
        <f>'Raw Data'!H1055</f>
        <v>Online</v>
      </c>
      <c r="I1055" s="4" t="str">
        <f>'Raw Data'!I1055</f>
        <v>Pending</v>
      </c>
      <c r="J1055" s="4" t="str">
        <f>'Raw Data'!J1055</f>
        <v>TRK37375451</v>
      </c>
      <c r="K1055" s="4">
        <f>'Raw Data'!K1055</f>
        <v>2</v>
      </c>
      <c r="L1055" s="4" t="str">
        <f>IF('Raw Data'!L1055="","No Coupon",'Raw Data'!L1055)</f>
        <v>SAVE10</v>
      </c>
      <c r="M1055" s="4" t="str">
        <f>'Raw Data'!M1055</f>
        <v>Instagram</v>
      </c>
      <c r="N1055" s="4">
        <f>'Raw Data'!N1055</f>
        <v>993.24</v>
      </c>
    </row>
    <row r="1056" spans="1:14" ht="15" customHeight="1" x14ac:dyDescent="0.2">
      <c r="A1056" s="4" t="str">
        <f>'Raw Data'!A1056</f>
        <v>ORD201054</v>
      </c>
      <c r="B1056" s="6">
        <f>'Raw Data'!B1056</f>
        <v>45259</v>
      </c>
      <c r="C1056" s="4" t="str">
        <f>'Raw Data'!C1056</f>
        <v>C42949</v>
      </c>
      <c r="D1056" s="4" t="str">
        <f>'Raw Data'!D1056</f>
        <v>Printer</v>
      </c>
      <c r="E1056" s="4">
        <f>'Raw Data'!E1056</f>
        <v>1</v>
      </c>
      <c r="F1056" s="4">
        <f>'Raw Data'!F1056</f>
        <v>660.66</v>
      </c>
      <c r="G1056" s="4" t="str">
        <f>'Raw Data'!G1056</f>
        <v>447 Main St</v>
      </c>
      <c r="H1056" s="4" t="str">
        <f>'Raw Data'!H1056</f>
        <v>Debit Card</v>
      </c>
      <c r="I1056" s="4" t="str">
        <f>'Raw Data'!I1056</f>
        <v>Delivered</v>
      </c>
      <c r="J1056" s="4" t="str">
        <f>'Raw Data'!J1056</f>
        <v>TRK46415143</v>
      </c>
      <c r="K1056" s="4">
        <f>'Raw Data'!K1056</f>
        <v>3</v>
      </c>
      <c r="L1056" s="4" t="str">
        <f>IF('Raw Data'!L1056="","No Coupon",'Raw Data'!L1056)</f>
        <v>WINTER15</v>
      </c>
      <c r="M1056" s="4" t="str">
        <f>'Raw Data'!M1056</f>
        <v>Instagram</v>
      </c>
      <c r="N1056" s="4">
        <f>'Raw Data'!N1056</f>
        <v>660.66</v>
      </c>
    </row>
    <row r="1057" spans="1:14" ht="15" customHeight="1" x14ac:dyDescent="0.2">
      <c r="A1057" s="4" t="str">
        <f>'Raw Data'!A1057</f>
        <v>ORD201055</v>
      </c>
      <c r="B1057" s="6">
        <f>'Raw Data'!B1057</f>
        <v>45222</v>
      </c>
      <c r="C1057" s="4" t="str">
        <f>'Raw Data'!C1057</f>
        <v>C10787</v>
      </c>
      <c r="D1057" s="4" t="str">
        <f>'Raw Data'!D1057</f>
        <v>Monitor</v>
      </c>
      <c r="E1057" s="4">
        <f>'Raw Data'!E1057</f>
        <v>4</v>
      </c>
      <c r="F1057" s="4">
        <f>'Raw Data'!F1057</f>
        <v>274.82</v>
      </c>
      <c r="G1057" s="4" t="str">
        <f>'Raw Data'!G1057</f>
        <v>932 Main St</v>
      </c>
      <c r="H1057" s="4" t="str">
        <f>'Raw Data'!H1057</f>
        <v>Debit Card</v>
      </c>
      <c r="I1057" s="4" t="str">
        <f>'Raw Data'!I1057</f>
        <v>Delivered</v>
      </c>
      <c r="J1057" s="4" t="str">
        <f>'Raw Data'!J1057</f>
        <v>TRK91512567</v>
      </c>
      <c r="K1057" s="4">
        <f>'Raw Data'!K1057</f>
        <v>9</v>
      </c>
      <c r="L1057" s="4" t="str">
        <f>IF('Raw Data'!L1057="","No Coupon",'Raw Data'!L1057)</f>
        <v>WINTER15</v>
      </c>
      <c r="M1057" s="4" t="str">
        <f>'Raw Data'!M1057</f>
        <v>Email</v>
      </c>
      <c r="N1057" s="4">
        <f>'Raw Data'!N1057</f>
        <v>1099.28</v>
      </c>
    </row>
    <row r="1058" spans="1:14" ht="15" customHeight="1" x14ac:dyDescent="0.2">
      <c r="A1058" s="4" t="str">
        <f>'Raw Data'!A1058</f>
        <v>ORD201056</v>
      </c>
      <c r="B1058" s="6">
        <f>'Raw Data'!B1058</f>
        <v>45457</v>
      </c>
      <c r="C1058" s="4" t="str">
        <f>'Raw Data'!C1058</f>
        <v>C26152</v>
      </c>
      <c r="D1058" s="4" t="str">
        <f>'Raw Data'!D1058</f>
        <v>Phone</v>
      </c>
      <c r="E1058" s="4">
        <f>'Raw Data'!E1058</f>
        <v>2</v>
      </c>
      <c r="F1058" s="4">
        <f>'Raw Data'!F1058</f>
        <v>486.35</v>
      </c>
      <c r="G1058" s="4" t="str">
        <f>'Raw Data'!G1058</f>
        <v>790 Main St</v>
      </c>
      <c r="H1058" s="4" t="str">
        <f>'Raw Data'!H1058</f>
        <v>Online</v>
      </c>
      <c r="I1058" s="4" t="str">
        <f>'Raw Data'!I1058</f>
        <v>Pending</v>
      </c>
      <c r="J1058" s="4" t="str">
        <f>'Raw Data'!J1058</f>
        <v>TRK49382455</v>
      </c>
      <c r="K1058" s="4">
        <f>'Raw Data'!K1058</f>
        <v>6</v>
      </c>
      <c r="L1058" s="4" t="str">
        <f>IF('Raw Data'!L1058="","No Coupon",'Raw Data'!L1058)</f>
        <v>SAVE10</v>
      </c>
      <c r="M1058" s="4" t="str">
        <f>'Raw Data'!M1058</f>
        <v>Referral</v>
      </c>
      <c r="N1058" s="4">
        <f>'Raw Data'!N1058</f>
        <v>972.7</v>
      </c>
    </row>
    <row r="1059" spans="1:14" ht="15" customHeight="1" x14ac:dyDescent="0.2">
      <c r="A1059" s="4" t="str">
        <f>'Raw Data'!A1059</f>
        <v>ORD201057</v>
      </c>
      <c r="B1059" s="6">
        <f>'Raw Data'!B1059</f>
        <v>45559</v>
      </c>
      <c r="C1059" s="4" t="str">
        <f>'Raw Data'!C1059</f>
        <v>C46210</v>
      </c>
      <c r="D1059" s="4" t="str">
        <f>'Raw Data'!D1059</f>
        <v>Laptop</v>
      </c>
      <c r="E1059" s="4">
        <f>'Raw Data'!E1059</f>
        <v>3</v>
      </c>
      <c r="F1059" s="4">
        <f>'Raw Data'!F1059</f>
        <v>428.88</v>
      </c>
      <c r="G1059" s="4" t="str">
        <f>'Raw Data'!G1059</f>
        <v>535 Main St</v>
      </c>
      <c r="H1059" s="4" t="str">
        <f>'Raw Data'!H1059</f>
        <v>Debit Card</v>
      </c>
      <c r="I1059" s="4" t="str">
        <f>'Raw Data'!I1059</f>
        <v>Shipped</v>
      </c>
      <c r="J1059" s="4" t="str">
        <f>'Raw Data'!J1059</f>
        <v>TRK81611937</v>
      </c>
      <c r="K1059" s="4">
        <f>'Raw Data'!K1059</f>
        <v>3</v>
      </c>
      <c r="L1059" s="4" t="str">
        <f>IF('Raw Data'!L1059="","No Coupon",'Raw Data'!L1059)</f>
        <v>WINTER15</v>
      </c>
      <c r="M1059" s="4" t="str">
        <f>'Raw Data'!M1059</f>
        <v>Facebook</v>
      </c>
      <c r="N1059" s="4">
        <f>'Raw Data'!N1059</f>
        <v>1286.6400000000001</v>
      </c>
    </row>
    <row r="1060" spans="1:14" ht="15" customHeight="1" x14ac:dyDescent="0.2">
      <c r="A1060" s="4" t="str">
        <f>'Raw Data'!A1060</f>
        <v>ORD201058</v>
      </c>
      <c r="B1060" s="6">
        <f>'Raw Data'!B1060</f>
        <v>45177</v>
      </c>
      <c r="C1060" s="4" t="str">
        <f>'Raw Data'!C1060</f>
        <v>C32943</v>
      </c>
      <c r="D1060" s="4" t="str">
        <f>'Raw Data'!D1060</f>
        <v>Desk</v>
      </c>
      <c r="E1060" s="4">
        <f>'Raw Data'!E1060</f>
        <v>2</v>
      </c>
      <c r="F1060" s="4">
        <f>'Raw Data'!F1060</f>
        <v>412.14</v>
      </c>
      <c r="G1060" s="4" t="str">
        <f>'Raw Data'!G1060</f>
        <v>127 Main St</v>
      </c>
      <c r="H1060" s="4" t="str">
        <f>'Raw Data'!H1060</f>
        <v>Credit Card</v>
      </c>
      <c r="I1060" s="4" t="str">
        <f>'Raw Data'!I1060</f>
        <v>Returned</v>
      </c>
      <c r="J1060" s="4" t="str">
        <f>'Raw Data'!J1060</f>
        <v>TRK26949106</v>
      </c>
      <c r="K1060" s="4">
        <f>'Raw Data'!K1060</f>
        <v>2</v>
      </c>
      <c r="L1060" s="4" t="str">
        <f>IF('Raw Data'!L1060="","No Coupon",'Raw Data'!L1060)</f>
        <v>FREESHIP</v>
      </c>
      <c r="M1060" s="4" t="str">
        <f>'Raw Data'!M1060</f>
        <v>Instagram</v>
      </c>
      <c r="N1060" s="4">
        <f>'Raw Data'!N1060</f>
        <v>824.28</v>
      </c>
    </row>
    <row r="1061" spans="1:14" ht="15" customHeight="1" x14ac:dyDescent="0.2">
      <c r="A1061" s="4" t="str">
        <f>'Raw Data'!A1061</f>
        <v>ORD201059</v>
      </c>
      <c r="B1061" s="6">
        <f>'Raw Data'!B1061</f>
        <v>45557</v>
      </c>
      <c r="C1061" s="4" t="str">
        <f>'Raw Data'!C1061</f>
        <v>C73629</v>
      </c>
      <c r="D1061" s="4" t="str">
        <f>'Raw Data'!D1061</f>
        <v>Desk</v>
      </c>
      <c r="E1061" s="4">
        <f>'Raw Data'!E1061</f>
        <v>1</v>
      </c>
      <c r="F1061" s="4">
        <f>'Raw Data'!F1061</f>
        <v>265.64</v>
      </c>
      <c r="G1061" s="4" t="str">
        <f>'Raw Data'!G1061</f>
        <v>601 Main St</v>
      </c>
      <c r="H1061" s="4" t="str">
        <f>'Raw Data'!H1061</f>
        <v>Credit Card</v>
      </c>
      <c r="I1061" s="4" t="str">
        <f>'Raw Data'!I1061</f>
        <v>Returned</v>
      </c>
      <c r="J1061" s="4" t="str">
        <f>'Raw Data'!J1061</f>
        <v>TRK11492924</v>
      </c>
      <c r="K1061" s="4">
        <f>'Raw Data'!K1061</f>
        <v>3</v>
      </c>
      <c r="L1061" s="4" t="str">
        <f>IF('Raw Data'!L1061="","No Coupon",'Raw Data'!L1061)</f>
        <v>WINTER15</v>
      </c>
      <c r="M1061" s="4" t="str">
        <f>'Raw Data'!M1061</f>
        <v>Instagram</v>
      </c>
      <c r="N1061" s="4">
        <f>'Raw Data'!N1061</f>
        <v>265.64</v>
      </c>
    </row>
    <row r="1062" spans="1:14" ht="15" customHeight="1" x14ac:dyDescent="0.2">
      <c r="A1062" s="4" t="str">
        <f>'Raw Data'!A1062</f>
        <v>ORD201060</v>
      </c>
      <c r="B1062" s="6">
        <f>'Raw Data'!B1062</f>
        <v>45419</v>
      </c>
      <c r="C1062" s="4" t="str">
        <f>'Raw Data'!C1062</f>
        <v>C38024</v>
      </c>
      <c r="D1062" s="4" t="str">
        <f>'Raw Data'!D1062</f>
        <v>Tablet</v>
      </c>
      <c r="E1062" s="4">
        <f>'Raw Data'!E1062</f>
        <v>2</v>
      </c>
      <c r="F1062" s="4">
        <f>'Raw Data'!F1062</f>
        <v>273.43</v>
      </c>
      <c r="G1062" s="4" t="str">
        <f>'Raw Data'!G1062</f>
        <v>824 Main St</v>
      </c>
      <c r="H1062" s="4" t="str">
        <f>'Raw Data'!H1062</f>
        <v>Cash</v>
      </c>
      <c r="I1062" s="4" t="str">
        <f>'Raw Data'!I1062</f>
        <v>Shipped</v>
      </c>
      <c r="J1062" s="4" t="str">
        <f>'Raw Data'!J1062</f>
        <v>TRK93370912</v>
      </c>
      <c r="K1062" s="4">
        <f>'Raw Data'!K1062</f>
        <v>7</v>
      </c>
      <c r="L1062" s="4" t="str">
        <f>IF('Raw Data'!L1062="","No Coupon",'Raw Data'!L1062)</f>
        <v>WINTER15</v>
      </c>
      <c r="M1062" s="4" t="str">
        <f>'Raw Data'!M1062</f>
        <v>Referral</v>
      </c>
      <c r="N1062" s="4">
        <f>'Raw Data'!N1062</f>
        <v>546.86</v>
      </c>
    </row>
    <row r="1063" spans="1:14" ht="15" customHeight="1" x14ac:dyDescent="0.2">
      <c r="A1063" s="4" t="str">
        <f>'Raw Data'!A1063</f>
        <v>ORD201061</v>
      </c>
      <c r="B1063" s="6">
        <f>'Raw Data'!B1063</f>
        <v>45686</v>
      </c>
      <c r="C1063" s="4" t="str">
        <f>'Raw Data'!C1063</f>
        <v>C25445</v>
      </c>
      <c r="D1063" s="4" t="str">
        <f>'Raw Data'!D1063</f>
        <v>Laptop</v>
      </c>
      <c r="E1063" s="4">
        <f>'Raw Data'!E1063</f>
        <v>5</v>
      </c>
      <c r="F1063" s="4">
        <f>'Raw Data'!F1063</f>
        <v>131.69999999999999</v>
      </c>
      <c r="G1063" s="4" t="str">
        <f>'Raw Data'!G1063</f>
        <v>830 Main St</v>
      </c>
      <c r="H1063" s="4" t="str">
        <f>'Raw Data'!H1063</f>
        <v>Cash</v>
      </c>
      <c r="I1063" s="4" t="str">
        <f>'Raw Data'!I1063</f>
        <v>Shipped</v>
      </c>
      <c r="J1063" s="4" t="str">
        <f>'Raw Data'!J1063</f>
        <v>TRK12402431</v>
      </c>
      <c r="K1063" s="4">
        <f>'Raw Data'!K1063</f>
        <v>8</v>
      </c>
      <c r="L1063" s="4" t="str">
        <f>IF('Raw Data'!L1063="","No Coupon",'Raw Data'!L1063)</f>
        <v>FREESHIP</v>
      </c>
      <c r="M1063" s="4" t="str">
        <f>'Raw Data'!M1063</f>
        <v>Google</v>
      </c>
      <c r="N1063" s="4">
        <f>'Raw Data'!N1063</f>
        <v>658.5</v>
      </c>
    </row>
    <row r="1064" spans="1:14" ht="15" customHeight="1" x14ac:dyDescent="0.2">
      <c r="A1064" s="4" t="str">
        <f>'Raw Data'!A1064</f>
        <v>ORD201062</v>
      </c>
      <c r="B1064" s="6">
        <f>'Raw Data'!B1064</f>
        <v>45161</v>
      </c>
      <c r="C1064" s="4" t="str">
        <f>'Raw Data'!C1064</f>
        <v>C13501</v>
      </c>
      <c r="D1064" s="4" t="str">
        <f>'Raw Data'!D1064</f>
        <v>Chair</v>
      </c>
      <c r="E1064" s="4">
        <f>'Raw Data'!E1064</f>
        <v>5</v>
      </c>
      <c r="F1064" s="4">
        <f>'Raw Data'!F1064</f>
        <v>85.52</v>
      </c>
      <c r="G1064" s="4" t="str">
        <f>'Raw Data'!G1064</f>
        <v>301 Main St</v>
      </c>
      <c r="H1064" s="4" t="str">
        <f>'Raw Data'!H1064</f>
        <v>Gift Card</v>
      </c>
      <c r="I1064" s="4" t="str">
        <f>'Raw Data'!I1064</f>
        <v>Cancelled</v>
      </c>
      <c r="J1064" s="4" t="str">
        <f>'Raw Data'!J1064</f>
        <v>TRK65149372</v>
      </c>
      <c r="K1064" s="4">
        <f>'Raw Data'!K1064</f>
        <v>5</v>
      </c>
      <c r="L1064" s="4" t="str">
        <f>IF('Raw Data'!L1064="","No Coupon",'Raw Data'!L1064)</f>
        <v>No Coupon</v>
      </c>
      <c r="M1064" s="4" t="str">
        <f>'Raw Data'!M1064</f>
        <v>Facebook</v>
      </c>
      <c r="N1064" s="4">
        <f>'Raw Data'!N1064</f>
        <v>427.6</v>
      </c>
    </row>
    <row r="1065" spans="1:14" ht="15" customHeight="1" x14ac:dyDescent="0.2">
      <c r="A1065" s="4" t="str">
        <f>'Raw Data'!A1065</f>
        <v>ORD201063</v>
      </c>
      <c r="B1065" s="6">
        <f>'Raw Data'!B1065</f>
        <v>45462</v>
      </c>
      <c r="C1065" s="4" t="str">
        <f>'Raw Data'!C1065</f>
        <v>C42108</v>
      </c>
      <c r="D1065" s="4" t="str">
        <f>'Raw Data'!D1065</f>
        <v>Desk</v>
      </c>
      <c r="E1065" s="4">
        <f>'Raw Data'!E1065</f>
        <v>2</v>
      </c>
      <c r="F1065" s="4">
        <f>'Raw Data'!F1065</f>
        <v>320.68</v>
      </c>
      <c r="G1065" s="4" t="str">
        <f>'Raw Data'!G1065</f>
        <v>336 Main St</v>
      </c>
      <c r="H1065" s="4" t="str">
        <f>'Raw Data'!H1065</f>
        <v>Credit Card</v>
      </c>
      <c r="I1065" s="4" t="str">
        <f>'Raw Data'!I1065</f>
        <v>Shipped</v>
      </c>
      <c r="J1065" s="4" t="str">
        <f>'Raw Data'!J1065</f>
        <v>TRK58407918</v>
      </c>
      <c r="K1065" s="4">
        <f>'Raw Data'!K1065</f>
        <v>5</v>
      </c>
      <c r="L1065" s="4" t="str">
        <f>IF('Raw Data'!L1065="","No Coupon",'Raw Data'!L1065)</f>
        <v>FREESHIP</v>
      </c>
      <c r="M1065" s="4" t="str">
        <f>'Raw Data'!M1065</f>
        <v>Referral</v>
      </c>
      <c r="N1065" s="4">
        <f>'Raw Data'!N1065</f>
        <v>641.36</v>
      </c>
    </row>
    <row r="1066" spans="1:14" ht="15" customHeight="1" x14ac:dyDescent="0.2">
      <c r="A1066" s="4" t="str">
        <f>'Raw Data'!A1066</f>
        <v>ORD201064</v>
      </c>
      <c r="B1066" s="6">
        <f>'Raw Data'!B1066</f>
        <v>45700</v>
      </c>
      <c r="C1066" s="4" t="str">
        <f>'Raw Data'!C1066</f>
        <v>C32121</v>
      </c>
      <c r="D1066" s="4" t="str">
        <f>'Raw Data'!D1066</f>
        <v>Laptop</v>
      </c>
      <c r="E1066" s="4">
        <f>'Raw Data'!E1066</f>
        <v>4</v>
      </c>
      <c r="F1066" s="4">
        <f>'Raw Data'!F1066</f>
        <v>198.81</v>
      </c>
      <c r="G1066" s="4" t="str">
        <f>'Raw Data'!G1066</f>
        <v>654 Main St</v>
      </c>
      <c r="H1066" s="4" t="str">
        <f>'Raw Data'!H1066</f>
        <v>Cash</v>
      </c>
      <c r="I1066" s="4" t="str">
        <f>'Raw Data'!I1066</f>
        <v>Returned</v>
      </c>
      <c r="J1066" s="4" t="str">
        <f>'Raw Data'!J1066</f>
        <v>TRK96074264</v>
      </c>
      <c r="K1066" s="4">
        <f>'Raw Data'!K1066</f>
        <v>9</v>
      </c>
      <c r="L1066" s="4" t="str">
        <f>IF('Raw Data'!L1066="","No Coupon",'Raw Data'!L1066)</f>
        <v>FREESHIP</v>
      </c>
      <c r="M1066" s="4" t="str">
        <f>'Raw Data'!M1066</f>
        <v>Referral</v>
      </c>
      <c r="N1066" s="4">
        <f>'Raw Data'!N1066</f>
        <v>795.24</v>
      </c>
    </row>
    <row r="1067" spans="1:14" ht="15" customHeight="1" x14ac:dyDescent="0.2">
      <c r="A1067" s="4" t="str">
        <f>'Raw Data'!A1067</f>
        <v>ORD201065</v>
      </c>
      <c r="B1067" s="6">
        <f>'Raw Data'!B1067</f>
        <v>45229</v>
      </c>
      <c r="C1067" s="4" t="str">
        <f>'Raw Data'!C1067</f>
        <v>C47778</v>
      </c>
      <c r="D1067" s="4" t="str">
        <f>'Raw Data'!D1067</f>
        <v>Printer</v>
      </c>
      <c r="E1067" s="4">
        <f>'Raw Data'!E1067</f>
        <v>5</v>
      </c>
      <c r="F1067" s="4">
        <f>'Raw Data'!F1067</f>
        <v>666.8</v>
      </c>
      <c r="G1067" s="4" t="str">
        <f>'Raw Data'!G1067</f>
        <v>488 Main St</v>
      </c>
      <c r="H1067" s="4" t="str">
        <f>'Raw Data'!H1067</f>
        <v>Debit Card</v>
      </c>
      <c r="I1067" s="4" t="str">
        <f>'Raw Data'!I1067</f>
        <v>Delivered</v>
      </c>
      <c r="J1067" s="4" t="str">
        <f>'Raw Data'!J1067</f>
        <v>TRK79504329</v>
      </c>
      <c r="K1067" s="4">
        <f>'Raw Data'!K1067</f>
        <v>7</v>
      </c>
      <c r="L1067" s="4" t="str">
        <f>IF('Raw Data'!L1067="","No Coupon",'Raw Data'!L1067)</f>
        <v>SAVE10</v>
      </c>
      <c r="M1067" s="4" t="str">
        <f>'Raw Data'!M1067</f>
        <v>Referral</v>
      </c>
      <c r="N1067" s="4">
        <f>'Raw Data'!N1067</f>
        <v>3334</v>
      </c>
    </row>
    <row r="1068" spans="1:14" ht="15" customHeight="1" x14ac:dyDescent="0.2">
      <c r="A1068" s="4" t="str">
        <f>'Raw Data'!A1068</f>
        <v>ORD201066</v>
      </c>
      <c r="B1068" s="6">
        <f>'Raw Data'!B1068</f>
        <v>45280</v>
      </c>
      <c r="C1068" s="4" t="str">
        <f>'Raw Data'!C1068</f>
        <v>C10791</v>
      </c>
      <c r="D1068" s="4" t="str">
        <f>'Raw Data'!D1068</f>
        <v>Desk</v>
      </c>
      <c r="E1068" s="4">
        <f>'Raw Data'!E1068</f>
        <v>1</v>
      </c>
      <c r="F1068" s="4">
        <f>'Raw Data'!F1068</f>
        <v>355.09</v>
      </c>
      <c r="G1068" s="4" t="str">
        <f>'Raw Data'!G1068</f>
        <v>674 Main St</v>
      </c>
      <c r="H1068" s="4" t="str">
        <f>'Raw Data'!H1068</f>
        <v>Debit Card</v>
      </c>
      <c r="I1068" s="4" t="str">
        <f>'Raw Data'!I1068</f>
        <v>Cancelled</v>
      </c>
      <c r="J1068" s="4" t="str">
        <f>'Raw Data'!J1068</f>
        <v>TRK20321248</v>
      </c>
      <c r="K1068" s="4">
        <f>'Raw Data'!K1068</f>
        <v>5</v>
      </c>
      <c r="L1068" s="4" t="str">
        <f>IF('Raw Data'!L1068="","No Coupon",'Raw Data'!L1068)</f>
        <v>SAVE10</v>
      </c>
      <c r="M1068" s="4" t="str">
        <f>'Raw Data'!M1068</f>
        <v>Instagram</v>
      </c>
      <c r="N1068" s="4">
        <f>'Raw Data'!N1068</f>
        <v>355.09</v>
      </c>
    </row>
    <row r="1069" spans="1:14" ht="15" customHeight="1" x14ac:dyDescent="0.2">
      <c r="A1069" s="4" t="str">
        <f>'Raw Data'!A1069</f>
        <v>ORD201067</v>
      </c>
      <c r="B1069" s="6">
        <f>'Raw Data'!B1069</f>
        <v>45083</v>
      </c>
      <c r="C1069" s="4" t="str">
        <f>'Raw Data'!C1069</f>
        <v>C78959</v>
      </c>
      <c r="D1069" s="4" t="str">
        <f>'Raw Data'!D1069</f>
        <v>Phone</v>
      </c>
      <c r="E1069" s="4">
        <f>'Raw Data'!E1069</f>
        <v>2</v>
      </c>
      <c r="F1069" s="4">
        <f>'Raw Data'!F1069</f>
        <v>316.2</v>
      </c>
      <c r="G1069" s="4" t="str">
        <f>'Raw Data'!G1069</f>
        <v>384 Main St</v>
      </c>
      <c r="H1069" s="4" t="str">
        <f>'Raw Data'!H1069</f>
        <v>Online</v>
      </c>
      <c r="I1069" s="4" t="str">
        <f>'Raw Data'!I1069</f>
        <v>Returned</v>
      </c>
      <c r="J1069" s="4" t="str">
        <f>'Raw Data'!J1069</f>
        <v>TRK37426359</v>
      </c>
      <c r="K1069" s="4">
        <f>'Raw Data'!K1069</f>
        <v>2</v>
      </c>
      <c r="L1069" s="4" t="str">
        <f>IF('Raw Data'!L1069="","No Coupon",'Raw Data'!L1069)</f>
        <v>No Coupon</v>
      </c>
      <c r="M1069" s="4" t="str">
        <f>'Raw Data'!M1069</f>
        <v>Instagram</v>
      </c>
      <c r="N1069" s="4">
        <f>'Raw Data'!N1069</f>
        <v>632.4</v>
      </c>
    </row>
    <row r="1070" spans="1:14" ht="15" customHeight="1" x14ac:dyDescent="0.2">
      <c r="A1070" s="4" t="str">
        <f>'Raw Data'!A1070</f>
        <v>ORD201068</v>
      </c>
      <c r="B1070" s="6">
        <f>'Raw Data'!B1070</f>
        <v>45507</v>
      </c>
      <c r="C1070" s="4" t="str">
        <f>'Raw Data'!C1070</f>
        <v>C29914</v>
      </c>
      <c r="D1070" s="4" t="str">
        <f>'Raw Data'!D1070</f>
        <v>Laptop</v>
      </c>
      <c r="E1070" s="4">
        <f>'Raw Data'!E1070</f>
        <v>1</v>
      </c>
      <c r="F1070" s="4">
        <f>'Raw Data'!F1070</f>
        <v>133.38999999999999</v>
      </c>
      <c r="G1070" s="4" t="str">
        <f>'Raw Data'!G1070</f>
        <v>469 Main St</v>
      </c>
      <c r="H1070" s="4" t="str">
        <f>'Raw Data'!H1070</f>
        <v>Debit Card</v>
      </c>
      <c r="I1070" s="4" t="str">
        <f>'Raw Data'!I1070</f>
        <v>Shipped</v>
      </c>
      <c r="J1070" s="4" t="str">
        <f>'Raw Data'!J1070</f>
        <v>TRK22073506</v>
      </c>
      <c r="K1070" s="4">
        <f>'Raw Data'!K1070</f>
        <v>2</v>
      </c>
      <c r="L1070" s="4" t="str">
        <f>IF('Raw Data'!L1070="","No Coupon",'Raw Data'!L1070)</f>
        <v>SAVE10</v>
      </c>
      <c r="M1070" s="4" t="str">
        <f>'Raw Data'!M1070</f>
        <v>Referral</v>
      </c>
      <c r="N1070" s="4">
        <f>'Raw Data'!N1070</f>
        <v>133.38999999999999</v>
      </c>
    </row>
    <row r="1071" spans="1:14" ht="15" customHeight="1" x14ac:dyDescent="0.2">
      <c r="A1071" s="4" t="str">
        <f>'Raw Data'!A1071</f>
        <v>ORD201069</v>
      </c>
      <c r="B1071" s="6">
        <f>'Raw Data'!B1071</f>
        <v>44982</v>
      </c>
      <c r="C1071" s="4" t="str">
        <f>'Raw Data'!C1071</f>
        <v>C70506</v>
      </c>
      <c r="D1071" s="4" t="str">
        <f>'Raw Data'!D1071</f>
        <v>Monitor</v>
      </c>
      <c r="E1071" s="4">
        <f>'Raw Data'!E1071</f>
        <v>1</v>
      </c>
      <c r="F1071" s="4">
        <f>'Raw Data'!F1071</f>
        <v>454.23</v>
      </c>
      <c r="G1071" s="4" t="str">
        <f>'Raw Data'!G1071</f>
        <v>255 Main St</v>
      </c>
      <c r="H1071" s="4" t="str">
        <f>'Raw Data'!H1071</f>
        <v>Gift Card</v>
      </c>
      <c r="I1071" s="4" t="str">
        <f>'Raw Data'!I1071</f>
        <v>Returned</v>
      </c>
      <c r="J1071" s="4" t="str">
        <f>'Raw Data'!J1071</f>
        <v>TRK12518384</v>
      </c>
      <c r="K1071" s="4">
        <f>'Raw Data'!K1071</f>
        <v>3</v>
      </c>
      <c r="L1071" s="4" t="str">
        <f>IF('Raw Data'!L1071="","No Coupon",'Raw Data'!L1071)</f>
        <v>No Coupon</v>
      </c>
      <c r="M1071" s="4" t="str">
        <f>'Raw Data'!M1071</f>
        <v>Facebook</v>
      </c>
      <c r="N1071" s="4">
        <f>'Raw Data'!N1071</f>
        <v>454.23</v>
      </c>
    </row>
    <row r="1072" spans="1:14" ht="15" customHeight="1" x14ac:dyDescent="0.2">
      <c r="A1072" s="4" t="str">
        <f>'Raw Data'!A1072</f>
        <v>ORD201070</v>
      </c>
      <c r="B1072" s="6">
        <f>'Raw Data'!B1072</f>
        <v>45541</v>
      </c>
      <c r="C1072" s="4" t="str">
        <f>'Raw Data'!C1072</f>
        <v>C46873</v>
      </c>
      <c r="D1072" s="4" t="str">
        <f>'Raw Data'!D1072</f>
        <v>Desk</v>
      </c>
      <c r="E1072" s="4">
        <f>'Raw Data'!E1072</f>
        <v>4</v>
      </c>
      <c r="F1072" s="4">
        <f>'Raw Data'!F1072</f>
        <v>491.29</v>
      </c>
      <c r="G1072" s="4" t="str">
        <f>'Raw Data'!G1072</f>
        <v>496 Main St</v>
      </c>
      <c r="H1072" s="4" t="str">
        <f>'Raw Data'!H1072</f>
        <v>Debit Card</v>
      </c>
      <c r="I1072" s="4" t="str">
        <f>'Raw Data'!I1072</f>
        <v>Pending</v>
      </c>
      <c r="J1072" s="4" t="str">
        <f>'Raw Data'!J1072</f>
        <v>TRK10926575</v>
      </c>
      <c r="K1072" s="4">
        <f>'Raw Data'!K1072</f>
        <v>6</v>
      </c>
      <c r="L1072" s="4" t="str">
        <f>IF('Raw Data'!L1072="","No Coupon",'Raw Data'!L1072)</f>
        <v>No Coupon</v>
      </c>
      <c r="M1072" s="4" t="str">
        <f>'Raw Data'!M1072</f>
        <v>Email</v>
      </c>
      <c r="N1072" s="4">
        <f>'Raw Data'!N1072</f>
        <v>1965.16</v>
      </c>
    </row>
    <row r="1073" spans="1:14" ht="15" customHeight="1" x14ac:dyDescent="0.2">
      <c r="A1073" s="4" t="str">
        <f>'Raw Data'!A1073</f>
        <v>ORD201071</v>
      </c>
      <c r="B1073" s="6">
        <f>'Raw Data'!B1073</f>
        <v>45832</v>
      </c>
      <c r="C1073" s="4" t="str">
        <f>'Raw Data'!C1073</f>
        <v>C94037</v>
      </c>
      <c r="D1073" s="4" t="str">
        <f>'Raw Data'!D1073</f>
        <v>Phone</v>
      </c>
      <c r="E1073" s="4">
        <f>'Raw Data'!E1073</f>
        <v>2</v>
      </c>
      <c r="F1073" s="4">
        <f>'Raw Data'!F1073</f>
        <v>255.14</v>
      </c>
      <c r="G1073" s="4" t="str">
        <f>'Raw Data'!G1073</f>
        <v>216 Main St</v>
      </c>
      <c r="H1073" s="4" t="str">
        <f>'Raw Data'!H1073</f>
        <v>Cash</v>
      </c>
      <c r="I1073" s="4" t="str">
        <f>'Raw Data'!I1073</f>
        <v>Shipped</v>
      </c>
      <c r="J1073" s="4" t="str">
        <f>'Raw Data'!J1073</f>
        <v>TRK47536985</v>
      </c>
      <c r="K1073" s="4">
        <f>'Raw Data'!K1073</f>
        <v>2</v>
      </c>
      <c r="L1073" s="4" t="str">
        <f>IF('Raw Data'!L1073="","No Coupon",'Raw Data'!L1073)</f>
        <v>No Coupon</v>
      </c>
      <c r="M1073" s="4" t="str">
        <f>'Raw Data'!M1073</f>
        <v>Google</v>
      </c>
      <c r="N1073" s="4">
        <f>'Raw Data'!N1073</f>
        <v>510.28</v>
      </c>
    </row>
    <row r="1074" spans="1:14" ht="15" customHeight="1" x14ac:dyDescent="0.2">
      <c r="A1074" s="4" t="str">
        <f>'Raw Data'!A1074</f>
        <v>ORD201072</v>
      </c>
      <c r="B1074" s="6">
        <f>'Raw Data'!B1074</f>
        <v>44983</v>
      </c>
      <c r="C1074" s="4" t="str">
        <f>'Raw Data'!C1074</f>
        <v>C88644</v>
      </c>
      <c r="D1074" s="4" t="str">
        <f>'Raw Data'!D1074</f>
        <v>Monitor</v>
      </c>
      <c r="E1074" s="4">
        <f>'Raw Data'!E1074</f>
        <v>1</v>
      </c>
      <c r="F1074" s="4">
        <f>'Raw Data'!F1074</f>
        <v>392.61</v>
      </c>
      <c r="G1074" s="4" t="str">
        <f>'Raw Data'!G1074</f>
        <v>977 Main St</v>
      </c>
      <c r="H1074" s="4" t="str">
        <f>'Raw Data'!H1074</f>
        <v>Gift Card</v>
      </c>
      <c r="I1074" s="4" t="str">
        <f>'Raw Data'!I1074</f>
        <v>Cancelled</v>
      </c>
      <c r="J1074" s="4" t="str">
        <f>'Raw Data'!J1074</f>
        <v>TRK14900878</v>
      </c>
      <c r="K1074" s="4">
        <f>'Raw Data'!K1074</f>
        <v>4</v>
      </c>
      <c r="L1074" s="4" t="str">
        <f>IF('Raw Data'!L1074="","No Coupon",'Raw Data'!L1074)</f>
        <v>SAVE10</v>
      </c>
      <c r="M1074" s="4" t="str">
        <f>'Raw Data'!M1074</f>
        <v>Referral</v>
      </c>
      <c r="N1074" s="4">
        <f>'Raw Data'!N1074</f>
        <v>392.61</v>
      </c>
    </row>
    <row r="1075" spans="1:14" ht="15" customHeight="1" x14ac:dyDescent="0.2">
      <c r="A1075" s="4" t="str">
        <f>'Raw Data'!A1075</f>
        <v>ORD201073</v>
      </c>
      <c r="B1075" s="6">
        <f>'Raw Data'!B1075</f>
        <v>45576</v>
      </c>
      <c r="C1075" s="4" t="str">
        <f>'Raw Data'!C1075</f>
        <v>C69471</v>
      </c>
      <c r="D1075" s="4" t="str">
        <f>'Raw Data'!D1075</f>
        <v>Tablet</v>
      </c>
      <c r="E1075" s="4">
        <f>'Raw Data'!E1075</f>
        <v>4</v>
      </c>
      <c r="F1075" s="4">
        <f>'Raw Data'!F1075</f>
        <v>362.06</v>
      </c>
      <c r="G1075" s="4" t="str">
        <f>'Raw Data'!G1075</f>
        <v>294 Main St</v>
      </c>
      <c r="H1075" s="4" t="str">
        <f>'Raw Data'!H1075</f>
        <v>Debit Card</v>
      </c>
      <c r="I1075" s="4" t="str">
        <f>'Raw Data'!I1075</f>
        <v>Returned</v>
      </c>
      <c r="J1075" s="4" t="str">
        <f>'Raw Data'!J1075</f>
        <v>TRK11107152</v>
      </c>
      <c r="K1075" s="4">
        <f>'Raw Data'!K1075</f>
        <v>4</v>
      </c>
      <c r="L1075" s="4" t="str">
        <f>IF('Raw Data'!L1075="","No Coupon",'Raw Data'!L1075)</f>
        <v>No Coupon</v>
      </c>
      <c r="M1075" s="4" t="str">
        <f>'Raw Data'!M1075</f>
        <v>Facebook</v>
      </c>
      <c r="N1075" s="4">
        <f>'Raw Data'!N1075</f>
        <v>1448.24</v>
      </c>
    </row>
    <row r="1076" spans="1:14" ht="15" customHeight="1" x14ac:dyDescent="0.2">
      <c r="A1076" s="4" t="str">
        <f>'Raw Data'!A1076</f>
        <v>ORD201074</v>
      </c>
      <c r="B1076" s="6">
        <f>'Raw Data'!B1076</f>
        <v>45422</v>
      </c>
      <c r="C1076" s="4" t="str">
        <f>'Raw Data'!C1076</f>
        <v>C21437</v>
      </c>
      <c r="D1076" s="4" t="str">
        <f>'Raw Data'!D1076</f>
        <v>Phone</v>
      </c>
      <c r="E1076" s="4">
        <f>'Raw Data'!E1076</f>
        <v>1</v>
      </c>
      <c r="F1076" s="4">
        <f>'Raw Data'!F1076</f>
        <v>222.73</v>
      </c>
      <c r="G1076" s="4" t="str">
        <f>'Raw Data'!G1076</f>
        <v>120 Main St</v>
      </c>
      <c r="H1076" s="4" t="str">
        <f>'Raw Data'!H1076</f>
        <v>Online</v>
      </c>
      <c r="I1076" s="4" t="str">
        <f>'Raw Data'!I1076</f>
        <v>Returned</v>
      </c>
      <c r="J1076" s="4" t="str">
        <f>'Raw Data'!J1076</f>
        <v>TRK81624772</v>
      </c>
      <c r="K1076" s="4">
        <f>'Raw Data'!K1076</f>
        <v>4</v>
      </c>
      <c r="L1076" s="4" t="str">
        <f>IF('Raw Data'!L1076="","No Coupon",'Raw Data'!L1076)</f>
        <v>No Coupon</v>
      </c>
      <c r="M1076" s="4" t="str">
        <f>'Raw Data'!M1076</f>
        <v>Google</v>
      </c>
      <c r="N1076" s="4">
        <f>'Raw Data'!N1076</f>
        <v>222.73</v>
      </c>
    </row>
    <row r="1077" spans="1:14" ht="15" customHeight="1" x14ac:dyDescent="0.2">
      <c r="A1077" s="4" t="str">
        <f>'Raw Data'!A1077</f>
        <v>ORD201075</v>
      </c>
      <c r="B1077" s="6">
        <f>'Raw Data'!B1077</f>
        <v>45535</v>
      </c>
      <c r="C1077" s="4" t="str">
        <f>'Raw Data'!C1077</f>
        <v>C40949</v>
      </c>
      <c r="D1077" s="4" t="str">
        <f>'Raw Data'!D1077</f>
        <v>Monitor</v>
      </c>
      <c r="E1077" s="4">
        <f>'Raw Data'!E1077</f>
        <v>2</v>
      </c>
      <c r="F1077" s="4">
        <f>'Raw Data'!F1077</f>
        <v>552.63</v>
      </c>
      <c r="G1077" s="4" t="str">
        <f>'Raw Data'!G1077</f>
        <v>609 Main St</v>
      </c>
      <c r="H1077" s="4" t="str">
        <f>'Raw Data'!H1077</f>
        <v>Debit Card</v>
      </c>
      <c r="I1077" s="4" t="str">
        <f>'Raw Data'!I1077</f>
        <v>Delivered</v>
      </c>
      <c r="J1077" s="4" t="str">
        <f>'Raw Data'!J1077</f>
        <v>TRK43066749</v>
      </c>
      <c r="K1077" s="4">
        <f>'Raw Data'!K1077</f>
        <v>7</v>
      </c>
      <c r="L1077" s="4" t="str">
        <f>IF('Raw Data'!L1077="","No Coupon",'Raw Data'!L1077)</f>
        <v>WINTER15</v>
      </c>
      <c r="M1077" s="4" t="str">
        <f>'Raw Data'!M1077</f>
        <v>Instagram</v>
      </c>
      <c r="N1077" s="4">
        <f>'Raw Data'!N1077</f>
        <v>1105.26</v>
      </c>
    </row>
    <row r="1078" spans="1:14" ht="15" customHeight="1" x14ac:dyDescent="0.2">
      <c r="A1078" s="4" t="str">
        <f>'Raw Data'!A1078</f>
        <v>ORD201076</v>
      </c>
      <c r="B1078" s="6">
        <f>'Raw Data'!B1078</f>
        <v>45054</v>
      </c>
      <c r="C1078" s="4" t="str">
        <f>'Raw Data'!C1078</f>
        <v>C99116</v>
      </c>
      <c r="D1078" s="4" t="str">
        <f>'Raw Data'!D1078</f>
        <v>Laptop</v>
      </c>
      <c r="E1078" s="4">
        <f>'Raw Data'!E1078</f>
        <v>4</v>
      </c>
      <c r="F1078" s="4">
        <f>'Raw Data'!F1078</f>
        <v>686.61</v>
      </c>
      <c r="G1078" s="4" t="str">
        <f>'Raw Data'!G1078</f>
        <v>176 Main St</v>
      </c>
      <c r="H1078" s="4" t="str">
        <f>'Raw Data'!H1078</f>
        <v>Cash</v>
      </c>
      <c r="I1078" s="4" t="str">
        <f>'Raw Data'!I1078</f>
        <v>Shipped</v>
      </c>
      <c r="J1078" s="4" t="str">
        <f>'Raw Data'!J1078</f>
        <v>TRK52711973</v>
      </c>
      <c r="K1078" s="4">
        <f>'Raw Data'!K1078</f>
        <v>6</v>
      </c>
      <c r="L1078" s="4" t="str">
        <f>IF('Raw Data'!L1078="","No Coupon",'Raw Data'!L1078)</f>
        <v>No Coupon</v>
      </c>
      <c r="M1078" s="4" t="str">
        <f>'Raw Data'!M1078</f>
        <v>Referral</v>
      </c>
      <c r="N1078" s="4">
        <f>'Raw Data'!N1078</f>
        <v>2746.44</v>
      </c>
    </row>
    <row r="1079" spans="1:14" ht="15" customHeight="1" x14ac:dyDescent="0.2">
      <c r="A1079" s="4" t="str">
        <f>'Raw Data'!A1079</f>
        <v>ORD201077</v>
      </c>
      <c r="B1079" s="6">
        <f>'Raw Data'!B1079</f>
        <v>45723</v>
      </c>
      <c r="C1079" s="4" t="str">
        <f>'Raw Data'!C1079</f>
        <v>C57861</v>
      </c>
      <c r="D1079" s="4" t="str">
        <f>'Raw Data'!D1079</f>
        <v>Printer</v>
      </c>
      <c r="E1079" s="4">
        <f>'Raw Data'!E1079</f>
        <v>3</v>
      </c>
      <c r="F1079" s="4">
        <f>'Raw Data'!F1079</f>
        <v>305.16000000000003</v>
      </c>
      <c r="G1079" s="4" t="str">
        <f>'Raw Data'!G1079</f>
        <v>115 Main St</v>
      </c>
      <c r="H1079" s="4" t="str">
        <f>'Raw Data'!H1079</f>
        <v>Credit Card</v>
      </c>
      <c r="I1079" s="4" t="str">
        <f>'Raw Data'!I1079</f>
        <v>Cancelled</v>
      </c>
      <c r="J1079" s="4" t="str">
        <f>'Raw Data'!J1079</f>
        <v>TRK47775217</v>
      </c>
      <c r="K1079" s="4">
        <f>'Raw Data'!K1079</f>
        <v>8</v>
      </c>
      <c r="L1079" s="4" t="str">
        <f>IF('Raw Data'!L1079="","No Coupon",'Raw Data'!L1079)</f>
        <v>SAVE10</v>
      </c>
      <c r="M1079" s="4" t="str">
        <f>'Raw Data'!M1079</f>
        <v>Referral</v>
      </c>
      <c r="N1079" s="4">
        <f>'Raw Data'!N1079</f>
        <v>915.48</v>
      </c>
    </row>
    <row r="1080" spans="1:14" ht="15" customHeight="1" x14ac:dyDescent="0.2">
      <c r="A1080" s="4" t="str">
        <f>'Raw Data'!A1080</f>
        <v>ORD201078</v>
      </c>
      <c r="B1080" s="6">
        <f>'Raw Data'!B1080</f>
        <v>45003</v>
      </c>
      <c r="C1080" s="4" t="str">
        <f>'Raw Data'!C1080</f>
        <v>C62627</v>
      </c>
      <c r="D1080" s="4" t="str">
        <f>'Raw Data'!D1080</f>
        <v>Desk</v>
      </c>
      <c r="E1080" s="4">
        <f>'Raw Data'!E1080</f>
        <v>1</v>
      </c>
      <c r="F1080" s="4">
        <f>'Raw Data'!F1080</f>
        <v>41.09</v>
      </c>
      <c r="G1080" s="4" t="str">
        <f>'Raw Data'!G1080</f>
        <v>881 Main St</v>
      </c>
      <c r="H1080" s="4" t="str">
        <f>'Raw Data'!H1080</f>
        <v>Online</v>
      </c>
      <c r="I1080" s="4" t="str">
        <f>'Raw Data'!I1080</f>
        <v>Returned</v>
      </c>
      <c r="J1080" s="4" t="str">
        <f>'Raw Data'!J1080</f>
        <v>TRK90060232</v>
      </c>
      <c r="K1080" s="4">
        <f>'Raw Data'!K1080</f>
        <v>4</v>
      </c>
      <c r="L1080" s="4" t="str">
        <f>IF('Raw Data'!L1080="","No Coupon",'Raw Data'!L1080)</f>
        <v>WINTER15</v>
      </c>
      <c r="M1080" s="4" t="str">
        <f>'Raw Data'!M1080</f>
        <v>Email</v>
      </c>
      <c r="N1080" s="4">
        <f>'Raw Data'!N1080</f>
        <v>41.09</v>
      </c>
    </row>
    <row r="1081" spans="1:14" ht="15" customHeight="1" x14ac:dyDescent="0.2">
      <c r="A1081" s="4" t="str">
        <f>'Raw Data'!A1081</f>
        <v>ORD201079</v>
      </c>
      <c r="B1081" s="6">
        <f>'Raw Data'!B1081</f>
        <v>45463</v>
      </c>
      <c r="C1081" s="4" t="str">
        <f>'Raw Data'!C1081</f>
        <v>C89979</v>
      </c>
      <c r="D1081" s="4" t="str">
        <f>'Raw Data'!D1081</f>
        <v>Phone</v>
      </c>
      <c r="E1081" s="4">
        <f>'Raw Data'!E1081</f>
        <v>5</v>
      </c>
      <c r="F1081" s="4">
        <f>'Raw Data'!F1081</f>
        <v>634</v>
      </c>
      <c r="G1081" s="4" t="str">
        <f>'Raw Data'!G1081</f>
        <v>144 Main St</v>
      </c>
      <c r="H1081" s="4" t="str">
        <f>'Raw Data'!H1081</f>
        <v>Gift Card</v>
      </c>
      <c r="I1081" s="4" t="str">
        <f>'Raw Data'!I1081</f>
        <v>Delivered</v>
      </c>
      <c r="J1081" s="4" t="str">
        <f>'Raw Data'!J1081</f>
        <v>TRK99055909</v>
      </c>
      <c r="K1081" s="4">
        <f>'Raw Data'!K1081</f>
        <v>8</v>
      </c>
      <c r="L1081" s="4" t="str">
        <f>IF('Raw Data'!L1081="","No Coupon",'Raw Data'!L1081)</f>
        <v>No Coupon</v>
      </c>
      <c r="M1081" s="4" t="str">
        <f>'Raw Data'!M1081</f>
        <v>Email</v>
      </c>
      <c r="N1081" s="4">
        <f>'Raw Data'!N1081</f>
        <v>3170</v>
      </c>
    </row>
    <row r="1082" spans="1:14" ht="15" customHeight="1" x14ac:dyDescent="0.2">
      <c r="A1082" s="4" t="str">
        <f>'Raw Data'!A1082</f>
        <v>ORD201080</v>
      </c>
      <c r="B1082" s="6">
        <f>'Raw Data'!B1082</f>
        <v>44946</v>
      </c>
      <c r="C1082" s="4" t="str">
        <f>'Raw Data'!C1082</f>
        <v>C70613</v>
      </c>
      <c r="D1082" s="4" t="str">
        <f>'Raw Data'!D1082</f>
        <v>Laptop</v>
      </c>
      <c r="E1082" s="4">
        <f>'Raw Data'!E1082</f>
        <v>5</v>
      </c>
      <c r="F1082" s="4">
        <f>'Raw Data'!F1082</f>
        <v>464.74</v>
      </c>
      <c r="G1082" s="4" t="str">
        <f>'Raw Data'!G1082</f>
        <v>438 Main St</v>
      </c>
      <c r="H1082" s="4" t="str">
        <f>'Raw Data'!H1082</f>
        <v>Gift Card</v>
      </c>
      <c r="I1082" s="4" t="str">
        <f>'Raw Data'!I1082</f>
        <v>Delivered</v>
      </c>
      <c r="J1082" s="4" t="str">
        <f>'Raw Data'!J1082</f>
        <v>TRK33140293</v>
      </c>
      <c r="K1082" s="4">
        <f>'Raw Data'!K1082</f>
        <v>7</v>
      </c>
      <c r="L1082" s="4" t="str">
        <f>IF('Raw Data'!L1082="","No Coupon",'Raw Data'!L1082)</f>
        <v>No Coupon</v>
      </c>
      <c r="M1082" s="4" t="str">
        <f>'Raw Data'!M1082</f>
        <v>Referral</v>
      </c>
      <c r="N1082" s="4">
        <f>'Raw Data'!N1082</f>
        <v>2323.6999999999998</v>
      </c>
    </row>
    <row r="1083" spans="1:14" ht="15" customHeight="1" x14ac:dyDescent="0.2">
      <c r="A1083" s="4" t="str">
        <f>'Raw Data'!A1083</f>
        <v>ORD201081</v>
      </c>
      <c r="B1083" s="6">
        <f>'Raw Data'!B1083</f>
        <v>45037</v>
      </c>
      <c r="C1083" s="4" t="str">
        <f>'Raw Data'!C1083</f>
        <v>C55636</v>
      </c>
      <c r="D1083" s="4" t="str">
        <f>'Raw Data'!D1083</f>
        <v>Monitor</v>
      </c>
      <c r="E1083" s="4">
        <f>'Raw Data'!E1083</f>
        <v>4</v>
      </c>
      <c r="F1083" s="4">
        <f>'Raw Data'!F1083</f>
        <v>425.6</v>
      </c>
      <c r="G1083" s="4" t="str">
        <f>'Raw Data'!G1083</f>
        <v>494 Main St</v>
      </c>
      <c r="H1083" s="4" t="str">
        <f>'Raw Data'!H1083</f>
        <v>Credit Card</v>
      </c>
      <c r="I1083" s="4" t="str">
        <f>'Raw Data'!I1083</f>
        <v>Pending</v>
      </c>
      <c r="J1083" s="4" t="str">
        <f>'Raw Data'!J1083</f>
        <v>TRK85897054</v>
      </c>
      <c r="K1083" s="4">
        <f>'Raw Data'!K1083</f>
        <v>5</v>
      </c>
      <c r="L1083" s="4" t="str">
        <f>IF('Raw Data'!L1083="","No Coupon",'Raw Data'!L1083)</f>
        <v>FREESHIP</v>
      </c>
      <c r="M1083" s="4" t="str">
        <f>'Raw Data'!M1083</f>
        <v>Google</v>
      </c>
      <c r="N1083" s="4">
        <f>'Raw Data'!N1083</f>
        <v>1702.4</v>
      </c>
    </row>
    <row r="1084" spans="1:14" ht="15" customHeight="1" x14ac:dyDescent="0.2">
      <c r="A1084" s="4" t="str">
        <f>'Raw Data'!A1084</f>
        <v>ORD201082</v>
      </c>
      <c r="B1084" s="6">
        <f>'Raw Data'!B1084</f>
        <v>45205</v>
      </c>
      <c r="C1084" s="4" t="str">
        <f>'Raw Data'!C1084</f>
        <v>C96595</v>
      </c>
      <c r="D1084" s="4" t="str">
        <f>'Raw Data'!D1084</f>
        <v>Chair</v>
      </c>
      <c r="E1084" s="4">
        <f>'Raw Data'!E1084</f>
        <v>3</v>
      </c>
      <c r="F1084" s="4">
        <f>'Raw Data'!F1084</f>
        <v>573.22</v>
      </c>
      <c r="G1084" s="4" t="str">
        <f>'Raw Data'!G1084</f>
        <v>177 Main St</v>
      </c>
      <c r="H1084" s="4" t="str">
        <f>'Raw Data'!H1084</f>
        <v>Debit Card</v>
      </c>
      <c r="I1084" s="4" t="str">
        <f>'Raw Data'!I1084</f>
        <v>Pending</v>
      </c>
      <c r="J1084" s="4" t="str">
        <f>'Raw Data'!J1084</f>
        <v>TRK59779174</v>
      </c>
      <c r="K1084" s="4">
        <f>'Raw Data'!K1084</f>
        <v>5</v>
      </c>
      <c r="L1084" s="4" t="str">
        <f>IF('Raw Data'!L1084="","No Coupon",'Raw Data'!L1084)</f>
        <v>SAVE10</v>
      </c>
      <c r="M1084" s="4" t="str">
        <f>'Raw Data'!M1084</f>
        <v>Email</v>
      </c>
      <c r="N1084" s="4">
        <f>'Raw Data'!N1084</f>
        <v>1719.66</v>
      </c>
    </row>
    <row r="1085" spans="1:14" ht="15" customHeight="1" x14ac:dyDescent="0.2">
      <c r="A1085" s="4" t="str">
        <f>'Raw Data'!A1085</f>
        <v>ORD201083</v>
      </c>
      <c r="B1085" s="6">
        <f>'Raw Data'!B1085</f>
        <v>45482</v>
      </c>
      <c r="C1085" s="4" t="str">
        <f>'Raw Data'!C1085</f>
        <v>C68508</v>
      </c>
      <c r="D1085" s="4" t="str">
        <f>'Raw Data'!D1085</f>
        <v>Chair</v>
      </c>
      <c r="E1085" s="4">
        <f>'Raw Data'!E1085</f>
        <v>1</v>
      </c>
      <c r="F1085" s="4">
        <f>'Raw Data'!F1085</f>
        <v>123.28</v>
      </c>
      <c r="G1085" s="4" t="str">
        <f>'Raw Data'!G1085</f>
        <v>895 Main St</v>
      </c>
      <c r="H1085" s="4" t="str">
        <f>'Raw Data'!H1085</f>
        <v>Credit Card</v>
      </c>
      <c r="I1085" s="4" t="str">
        <f>'Raw Data'!I1085</f>
        <v>Delivered</v>
      </c>
      <c r="J1085" s="4" t="str">
        <f>'Raw Data'!J1085</f>
        <v>TRK98960285</v>
      </c>
      <c r="K1085" s="4">
        <f>'Raw Data'!K1085</f>
        <v>3</v>
      </c>
      <c r="L1085" s="4" t="str">
        <f>IF('Raw Data'!L1085="","No Coupon",'Raw Data'!L1085)</f>
        <v>SAVE10</v>
      </c>
      <c r="M1085" s="4" t="str">
        <f>'Raw Data'!M1085</f>
        <v>Email</v>
      </c>
      <c r="N1085" s="4">
        <f>'Raw Data'!N1085</f>
        <v>123.28</v>
      </c>
    </row>
    <row r="1086" spans="1:14" ht="15" customHeight="1" x14ac:dyDescent="0.2">
      <c r="A1086" s="4" t="str">
        <f>'Raw Data'!A1086</f>
        <v>ORD201084</v>
      </c>
      <c r="B1086" s="6">
        <f>'Raw Data'!B1086</f>
        <v>44934</v>
      </c>
      <c r="C1086" s="4" t="str">
        <f>'Raw Data'!C1086</f>
        <v>C45175</v>
      </c>
      <c r="D1086" s="4" t="str">
        <f>'Raw Data'!D1086</f>
        <v>Phone</v>
      </c>
      <c r="E1086" s="4">
        <f>'Raw Data'!E1086</f>
        <v>1</v>
      </c>
      <c r="F1086" s="4">
        <f>'Raw Data'!F1086</f>
        <v>70.819999999999993</v>
      </c>
      <c r="G1086" s="4" t="str">
        <f>'Raw Data'!G1086</f>
        <v>128 Main St</v>
      </c>
      <c r="H1086" s="4" t="str">
        <f>'Raw Data'!H1086</f>
        <v>Gift Card</v>
      </c>
      <c r="I1086" s="4" t="str">
        <f>'Raw Data'!I1086</f>
        <v>Pending</v>
      </c>
      <c r="J1086" s="4" t="str">
        <f>'Raw Data'!J1086</f>
        <v>TRK41792296</v>
      </c>
      <c r="K1086" s="4">
        <f>'Raw Data'!K1086</f>
        <v>1</v>
      </c>
      <c r="L1086" s="4" t="str">
        <f>IF('Raw Data'!L1086="","No Coupon",'Raw Data'!L1086)</f>
        <v>WINTER15</v>
      </c>
      <c r="M1086" s="4" t="str">
        <f>'Raw Data'!M1086</f>
        <v>Instagram</v>
      </c>
      <c r="N1086" s="4">
        <f>'Raw Data'!N1086</f>
        <v>70.819999999999993</v>
      </c>
    </row>
    <row r="1087" spans="1:14" ht="15" customHeight="1" x14ac:dyDescent="0.2">
      <c r="A1087" s="4" t="str">
        <f>'Raw Data'!A1087</f>
        <v>ORD201085</v>
      </c>
      <c r="B1087" s="6">
        <f>'Raw Data'!B1087</f>
        <v>45067</v>
      </c>
      <c r="C1087" s="4" t="str">
        <f>'Raw Data'!C1087</f>
        <v>C28049</v>
      </c>
      <c r="D1087" s="4" t="str">
        <f>'Raw Data'!D1087</f>
        <v>Printer</v>
      </c>
      <c r="E1087" s="4">
        <f>'Raw Data'!E1087</f>
        <v>2</v>
      </c>
      <c r="F1087" s="4">
        <f>'Raw Data'!F1087</f>
        <v>646.69000000000005</v>
      </c>
      <c r="G1087" s="4" t="str">
        <f>'Raw Data'!G1087</f>
        <v>404 Main St</v>
      </c>
      <c r="H1087" s="4" t="str">
        <f>'Raw Data'!H1087</f>
        <v>Debit Card</v>
      </c>
      <c r="I1087" s="4" t="str">
        <f>'Raw Data'!I1087</f>
        <v>Shipped</v>
      </c>
      <c r="J1087" s="4" t="str">
        <f>'Raw Data'!J1087</f>
        <v>TRK91426444</v>
      </c>
      <c r="K1087" s="4">
        <f>'Raw Data'!K1087</f>
        <v>7</v>
      </c>
      <c r="L1087" s="4" t="str">
        <f>IF('Raw Data'!L1087="","No Coupon",'Raw Data'!L1087)</f>
        <v>WINTER15</v>
      </c>
      <c r="M1087" s="4" t="str">
        <f>'Raw Data'!M1087</f>
        <v>Instagram</v>
      </c>
      <c r="N1087" s="4">
        <f>'Raw Data'!N1087</f>
        <v>1293.3800000000001</v>
      </c>
    </row>
    <row r="1088" spans="1:14" ht="15" customHeight="1" x14ac:dyDescent="0.2">
      <c r="A1088" s="4" t="str">
        <f>'Raw Data'!A1088</f>
        <v>ORD201086</v>
      </c>
      <c r="B1088" s="6">
        <f>'Raw Data'!B1088</f>
        <v>45283</v>
      </c>
      <c r="C1088" s="4" t="str">
        <f>'Raw Data'!C1088</f>
        <v>C46967</v>
      </c>
      <c r="D1088" s="4" t="str">
        <f>'Raw Data'!D1088</f>
        <v>Tablet</v>
      </c>
      <c r="E1088" s="4">
        <f>'Raw Data'!E1088</f>
        <v>2</v>
      </c>
      <c r="F1088" s="4">
        <f>'Raw Data'!F1088</f>
        <v>513.41999999999996</v>
      </c>
      <c r="G1088" s="4" t="str">
        <f>'Raw Data'!G1088</f>
        <v>401 Main St</v>
      </c>
      <c r="H1088" s="4" t="str">
        <f>'Raw Data'!H1088</f>
        <v>Online</v>
      </c>
      <c r="I1088" s="4" t="str">
        <f>'Raw Data'!I1088</f>
        <v>Pending</v>
      </c>
      <c r="J1088" s="4" t="str">
        <f>'Raw Data'!J1088</f>
        <v>TRK91439791</v>
      </c>
      <c r="K1088" s="4">
        <f>'Raw Data'!K1088</f>
        <v>5</v>
      </c>
      <c r="L1088" s="4" t="str">
        <f>IF('Raw Data'!L1088="","No Coupon",'Raw Data'!L1088)</f>
        <v>WINTER15</v>
      </c>
      <c r="M1088" s="4" t="str">
        <f>'Raw Data'!M1088</f>
        <v>Instagram</v>
      </c>
      <c r="N1088" s="4">
        <f>'Raw Data'!N1088</f>
        <v>1026.8399999999999</v>
      </c>
    </row>
    <row r="1089" spans="1:14" ht="15" customHeight="1" x14ac:dyDescent="0.2">
      <c r="A1089" s="4" t="str">
        <f>'Raw Data'!A1089</f>
        <v>ORD201087</v>
      </c>
      <c r="B1089" s="6">
        <f>'Raw Data'!B1089</f>
        <v>45739</v>
      </c>
      <c r="C1089" s="4" t="str">
        <f>'Raw Data'!C1089</f>
        <v>C84134</v>
      </c>
      <c r="D1089" s="4" t="str">
        <f>'Raw Data'!D1089</f>
        <v>Laptop</v>
      </c>
      <c r="E1089" s="4">
        <f>'Raw Data'!E1089</f>
        <v>4</v>
      </c>
      <c r="F1089" s="4">
        <f>'Raw Data'!F1089</f>
        <v>693.07</v>
      </c>
      <c r="G1089" s="4" t="str">
        <f>'Raw Data'!G1089</f>
        <v>530 Main St</v>
      </c>
      <c r="H1089" s="4" t="str">
        <f>'Raw Data'!H1089</f>
        <v>Online</v>
      </c>
      <c r="I1089" s="4" t="str">
        <f>'Raw Data'!I1089</f>
        <v>Shipped</v>
      </c>
      <c r="J1089" s="4" t="str">
        <f>'Raw Data'!J1089</f>
        <v>TRK48659380</v>
      </c>
      <c r="K1089" s="4">
        <f>'Raw Data'!K1089</f>
        <v>8</v>
      </c>
      <c r="L1089" s="4" t="str">
        <f>IF('Raw Data'!L1089="","No Coupon",'Raw Data'!L1089)</f>
        <v>SAVE10</v>
      </c>
      <c r="M1089" s="4" t="str">
        <f>'Raw Data'!M1089</f>
        <v>Instagram</v>
      </c>
      <c r="N1089" s="4">
        <f>'Raw Data'!N1089</f>
        <v>2772.28</v>
      </c>
    </row>
    <row r="1090" spans="1:14" ht="15" customHeight="1" x14ac:dyDescent="0.2">
      <c r="A1090" s="4" t="str">
        <f>'Raw Data'!A1090</f>
        <v>ORD201088</v>
      </c>
      <c r="B1090" s="6">
        <f>'Raw Data'!B1090</f>
        <v>45260</v>
      </c>
      <c r="C1090" s="4" t="str">
        <f>'Raw Data'!C1090</f>
        <v>C49831</v>
      </c>
      <c r="D1090" s="4" t="str">
        <f>'Raw Data'!D1090</f>
        <v>Desk</v>
      </c>
      <c r="E1090" s="4">
        <f>'Raw Data'!E1090</f>
        <v>3</v>
      </c>
      <c r="F1090" s="4">
        <f>'Raw Data'!F1090</f>
        <v>491.43</v>
      </c>
      <c r="G1090" s="4" t="str">
        <f>'Raw Data'!G1090</f>
        <v>213 Main St</v>
      </c>
      <c r="H1090" s="4" t="str">
        <f>'Raw Data'!H1090</f>
        <v>Gift Card</v>
      </c>
      <c r="I1090" s="4" t="str">
        <f>'Raw Data'!I1090</f>
        <v>Shipped</v>
      </c>
      <c r="J1090" s="4" t="str">
        <f>'Raw Data'!J1090</f>
        <v>TRK21232601</v>
      </c>
      <c r="K1090" s="4">
        <f>'Raw Data'!K1090</f>
        <v>6</v>
      </c>
      <c r="L1090" s="4" t="str">
        <f>IF('Raw Data'!L1090="","No Coupon",'Raw Data'!L1090)</f>
        <v>WINTER15</v>
      </c>
      <c r="M1090" s="4" t="str">
        <f>'Raw Data'!M1090</f>
        <v>Instagram</v>
      </c>
      <c r="N1090" s="4">
        <f>'Raw Data'!N1090</f>
        <v>1474.29</v>
      </c>
    </row>
    <row r="1091" spans="1:14" ht="15" customHeight="1" x14ac:dyDescent="0.2">
      <c r="A1091" s="4" t="str">
        <f>'Raw Data'!A1091</f>
        <v>ORD201089</v>
      </c>
      <c r="B1091" s="6">
        <f>'Raw Data'!B1091</f>
        <v>45731</v>
      </c>
      <c r="C1091" s="4" t="str">
        <f>'Raw Data'!C1091</f>
        <v>C13324</v>
      </c>
      <c r="D1091" s="4" t="str">
        <f>'Raw Data'!D1091</f>
        <v>Tablet</v>
      </c>
      <c r="E1091" s="4">
        <f>'Raw Data'!E1091</f>
        <v>2</v>
      </c>
      <c r="F1091" s="4">
        <f>'Raw Data'!F1091</f>
        <v>599.74</v>
      </c>
      <c r="G1091" s="4" t="str">
        <f>'Raw Data'!G1091</f>
        <v>440 Main St</v>
      </c>
      <c r="H1091" s="4" t="str">
        <f>'Raw Data'!H1091</f>
        <v>Gift Card</v>
      </c>
      <c r="I1091" s="4" t="str">
        <f>'Raw Data'!I1091</f>
        <v>Shipped</v>
      </c>
      <c r="J1091" s="4" t="str">
        <f>'Raw Data'!J1091</f>
        <v>TRK66967997</v>
      </c>
      <c r="K1091" s="4">
        <f>'Raw Data'!K1091</f>
        <v>2</v>
      </c>
      <c r="L1091" s="4" t="str">
        <f>IF('Raw Data'!L1091="","No Coupon",'Raw Data'!L1091)</f>
        <v>No Coupon</v>
      </c>
      <c r="M1091" s="4" t="str">
        <f>'Raw Data'!M1091</f>
        <v>Instagram</v>
      </c>
      <c r="N1091" s="4">
        <f>'Raw Data'!N1091</f>
        <v>1199.48</v>
      </c>
    </row>
    <row r="1092" spans="1:14" ht="15" customHeight="1" x14ac:dyDescent="0.2">
      <c r="A1092" s="4" t="str">
        <f>'Raw Data'!A1092</f>
        <v>ORD201090</v>
      </c>
      <c r="B1092" s="6">
        <f>'Raw Data'!B1092</f>
        <v>44982</v>
      </c>
      <c r="C1092" s="4" t="str">
        <f>'Raw Data'!C1092</f>
        <v>C61225</v>
      </c>
      <c r="D1092" s="4" t="str">
        <f>'Raw Data'!D1092</f>
        <v>Monitor</v>
      </c>
      <c r="E1092" s="4">
        <f>'Raw Data'!E1092</f>
        <v>2</v>
      </c>
      <c r="F1092" s="4">
        <f>'Raw Data'!F1092</f>
        <v>650.25</v>
      </c>
      <c r="G1092" s="4" t="str">
        <f>'Raw Data'!G1092</f>
        <v>996 Main St</v>
      </c>
      <c r="H1092" s="4" t="str">
        <f>'Raw Data'!H1092</f>
        <v>Gift Card</v>
      </c>
      <c r="I1092" s="4" t="str">
        <f>'Raw Data'!I1092</f>
        <v>Returned</v>
      </c>
      <c r="J1092" s="4" t="str">
        <f>'Raw Data'!J1092</f>
        <v>TRK37022954</v>
      </c>
      <c r="K1092" s="4">
        <f>'Raw Data'!K1092</f>
        <v>6</v>
      </c>
      <c r="L1092" s="4" t="str">
        <f>IF('Raw Data'!L1092="","No Coupon",'Raw Data'!L1092)</f>
        <v>No Coupon</v>
      </c>
      <c r="M1092" s="4" t="str">
        <f>'Raw Data'!M1092</f>
        <v>Instagram</v>
      </c>
      <c r="N1092" s="4">
        <f>'Raw Data'!N1092</f>
        <v>1300.5</v>
      </c>
    </row>
    <row r="1093" spans="1:14" ht="15" customHeight="1" x14ac:dyDescent="0.2">
      <c r="A1093" s="4" t="str">
        <f>'Raw Data'!A1093</f>
        <v>ORD201091</v>
      </c>
      <c r="B1093" s="6">
        <f>'Raw Data'!B1093</f>
        <v>45573</v>
      </c>
      <c r="C1093" s="4" t="str">
        <f>'Raw Data'!C1093</f>
        <v>C16400</v>
      </c>
      <c r="D1093" s="4" t="str">
        <f>'Raw Data'!D1093</f>
        <v>Laptop</v>
      </c>
      <c r="E1093" s="4">
        <f>'Raw Data'!E1093</f>
        <v>3</v>
      </c>
      <c r="F1093" s="4">
        <f>'Raw Data'!F1093</f>
        <v>209.48</v>
      </c>
      <c r="G1093" s="4" t="str">
        <f>'Raw Data'!G1093</f>
        <v>123 Main St</v>
      </c>
      <c r="H1093" s="4" t="str">
        <f>'Raw Data'!H1093</f>
        <v>Debit Card</v>
      </c>
      <c r="I1093" s="4" t="str">
        <f>'Raw Data'!I1093</f>
        <v>Pending</v>
      </c>
      <c r="J1093" s="4" t="str">
        <f>'Raw Data'!J1093</f>
        <v>TRK57771859</v>
      </c>
      <c r="K1093" s="4">
        <f>'Raw Data'!K1093</f>
        <v>4</v>
      </c>
      <c r="L1093" s="4" t="str">
        <f>IF('Raw Data'!L1093="","No Coupon",'Raw Data'!L1093)</f>
        <v>No Coupon</v>
      </c>
      <c r="M1093" s="4" t="str">
        <f>'Raw Data'!M1093</f>
        <v>Email</v>
      </c>
      <c r="N1093" s="4">
        <f>'Raw Data'!N1093</f>
        <v>628.44000000000005</v>
      </c>
    </row>
    <row r="1094" spans="1:14" ht="15" customHeight="1" x14ac:dyDescent="0.2">
      <c r="A1094" s="4" t="str">
        <f>'Raw Data'!A1094</f>
        <v>ORD201092</v>
      </c>
      <c r="B1094" s="6">
        <f>'Raw Data'!B1094</f>
        <v>45159</v>
      </c>
      <c r="C1094" s="4" t="str">
        <f>'Raw Data'!C1094</f>
        <v>C38642</v>
      </c>
      <c r="D1094" s="4" t="str">
        <f>'Raw Data'!D1094</f>
        <v>Laptop</v>
      </c>
      <c r="E1094" s="4">
        <f>'Raw Data'!E1094</f>
        <v>5</v>
      </c>
      <c r="F1094" s="4">
        <f>'Raw Data'!F1094</f>
        <v>209.2</v>
      </c>
      <c r="G1094" s="4" t="str">
        <f>'Raw Data'!G1094</f>
        <v>930 Main St</v>
      </c>
      <c r="H1094" s="4" t="str">
        <f>'Raw Data'!H1094</f>
        <v>Debit Card</v>
      </c>
      <c r="I1094" s="4" t="str">
        <f>'Raw Data'!I1094</f>
        <v>Delivered</v>
      </c>
      <c r="J1094" s="4" t="str">
        <f>'Raw Data'!J1094</f>
        <v>TRK47744396</v>
      </c>
      <c r="K1094" s="4">
        <f>'Raw Data'!K1094</f>
        <v>6</v>
      </c>
      <c r="L1094" s="4" t="str">
        <f>IF('Raw Data'!L1094="","No Coupon",'Raw Data'!L1094)</f>
        <v>WINTER15</v>
      </c>
      <c r="M1094" s="4" t="str">
        <f>'Raw Data'!M1094</f>
        <v>Email</v>
      </c>
      <c r="N1094" s="4">
        <f>'Raw Data'!N1094</f>
        <v>1046</v>
      </c>
    </row>
    <row r="1095" spans="1:14" ht="15" customHeight="1" x14ac:dyDescent="0.2">
      <c r="A1095" s="4" t="str">
        <f>'Raw Data'!A1095</f>
        <v>ORD201093</v>
      </c>
      <c r="B1095" s="6">
        <f>'Raw Data'!B1095</f>
        <v>45086</v>
      </c>
      <c r="C1095" s="4" t="str">
        <f>'Raw Data'!C1095</f>
        <v>C86773</v>
      </c>
      <c r="D1095" s="4" t="str">
        <f>'Raw Data'!D1095</f>
        <v>Phone</v>
      </c>
      <c r="E1095" s="4">
        <f>'Raw Data'!E1095</f>
        <v>4</v>
      </c>
      <c r="F1095" s="4">
        <f>'Raw Data'!F1095</f>
        <v>197.36</v>
      </c>
      <c r="G1095" s="4" t="str">
        <f>'Raw Data'!G1095</f>
        <v>557 Main St</v>
      </c>
      <c r="H1095" s="4" t="str">
        <f>'Raw Data'!H1095</f>
        <v>Gift Card</v>
      </c>
      <c r="I1095" s="4" t="str">
        <f>'Raw Data'!I1095</f>
        <v>Returned</v>
      </c>
      <c r="J1095" s="4" t="str">
        <f>'Raw Data'!J1095</f>
        <v>TRK22612240</v>
      </c>
      <c r="K1095" s="4">
        <f>'Raw Data'!K1095</f>
        <v>9</v>
      </c>
      <c r="L1095" s="4" t="str">
        <f>IF('Raw Data'!L1095="","No Coupon",'Raw Data'!L1095)</f>
        <v>FREESHIP</v>
      </c>
      <c r="M1095" s="4" t="str">
        <f>'Raw Data'!M1095</f>
        <v>Instagram</v>
      </c>
      <c r="N1095" s="4">
        <f>'Raw Data'!N1095</f>
        <v>789.44</v>
      </c>
    </row>
    <row r="1096" spans="1:14" ht="15" customHeight="1" x14ac:dyDescent="0.2">
      <c r="A1096" s="4" t="str">
        <f>'Raw Data'!A1096</f>
        <v>ORD201094</v>
      </c>
      <c r="B1096" s="6">
        <f>'Raw Data'!B1096</f>
        <v>45105</v>
      </c>
      <c r="C1096" s="4" t="str">
        <f>'Raw Data'!C1096</f>
        <v>C66093</v>
      </c>
      <c r="D1096" s="4" t="str">
        <f>'Raw Data'!D1096</f>
        <v>Printer</v>
      </c>
      <c r="E1096" s="4">
        <f>'Raw Data'!E1096</f>
        <v>4</v>
      </c>
      <c r="F1096" s="4">
        <f>'Raw Data'!F1096</f>
        <v>648.91</v>
      </c>
      <c r="G1096" s="4" t="str">
        <f>'Raw Data'!G1096</f>
        <v>615 Main St</v>
      </c>
      <c r="H1096" s="4" t="str">
        <f>'Raw Data'!H1096</f>
        <v>Credit Card</v>
      </c>
      <c r="I1096" s="4" t="str">
        <f>'Raw Data'!I1096</f>
        <v>Shipped</v>
      </c>
      <c r="J1096" s="4" t="str">
        <f>'Raw Data'!J1096</f>
        <v>TRK54950785</v>
      </c>
      <c r="K1096" s="4">
        <f>'Raw Data'!K1096</f>
        <v>6</v>
      </c>
      <c r="L1096" s="4" t="str">
        <f>IF('Raw Data'!L1096="","No Coupon",'Raw Data'!L1096)</f>
        <v>SAVE10</v>
      </c>
      <c r="M1096" s="4" t="str">
        <f>'Raw Data'!M1096</f>
        <v>Instagram</v>
      </c>
      <c r="N1096" s="4">
        <f>'Raw Data'!N1096</f>
        <v>2595.64</v>
      </c>
    </row>
    <row r="1097" spans="1:14" ht="15" customHeight="1" x14ac:dyDescent="0.2">
      <c r="A1097" s="4" t="str">
        <f>'Raw Data'!A1097</f>
        <v>ORD201095</v>
      </c>
      <c r="B1097" s="6">
        <f>'Raw Data'!B1097</f>
        <v>45405</v>
      </c>
      <c r="C1097" s="4" t="str">
        <f>'Raw Data'!C1097</f>
        <v>C33051</v>
      </c>
      <c r="D1097" s="4" t="str">
        <f>'Raw Data'!D1097</f>
        <v>Phone</v>
      </c>
      <c r="E1097" s="4">
        <f>'Raw Data'!E1097</f>
        <v>2</v>
      </c>
      <c r="F1097" s="4">
        <f>'Raw Data'!F1097</f>
        <v>441.54</v>
      </c>
      <c r="G1097" s="4" t="str">
        <f>'Raw Data'!G1097</f>
        <v>397 Main St</v>
      </c>
      <c r="H1097" s="4" t="str">
        <f>'Raw Data'!H1097</f>
        <v>Online</v>
      </c>
      <c r="I1097" s="4" t="str">
        <f>'Raw Data'!I1097</f>
        <v>Delivered</v>
      </c>
      <c r="J1097" s="4" t="str">
        <f>'Raw Data'!J1097</f>
        <v>TRK92929755</v>
      </c>
      <c r="K1097" s="4">
        <f>'Raw Data'!K1097</f>
        <v>2</v>
      </c>
      <c r="L1097" s="4" t="str">
        <f>IF('Raw Data'!L1097="","No Coupon",'Raw Data'!L1097)</f>
        <v>SAVE10</v>
      </c>
      <c r="M1097" s="4" t="str">
        <f>'Raw Data'!M1097</f>
        <v>Email</v>
      </c>
      <c r="N1097" s="4">
        <f>'Raw Data'!N1097</f>
        <v>883.08</v>
      </c>
    </row>
    <row r="1098" spans="1:14" ht="15" customHeight="1" x14ac:dyDescent="0.2">
      <c r="A1098" s="4" t="str">
        <f>'Raw Data'!A1098</f>
        <v>ORD201096</v>
      </c>
      <c r="B1098" s="6">
        <f>'Raw Data'!B1098</f>
        <v>45780</v>
      </c>
      <c r="C1098" s="4" t="str">
        <f>'Raw Data'!C1098</f>
        <v>C18169</v>
      </c>
      <c r="D1098" s="4" t="str">
        <f>'Raw Data'!D1098</f>
        <v>Tablet</v>
      </c>
      <c r="E1098" s="4">
        <f>'Raw Data'!E1098</f>
        <v>2</v>
      </c>
      <c r="F1098" s="4">
        <f>'Raw Data'!F1098</f>
        <v>464.92</v>
      </c>
      <c r="G1098" s="4" t="str">
        <f>'Raw Data'!G1098</f>
        <v>782 Main St</v>
      </c>
      <c r="H1098" s="4" t="str">
        <f>'Raw Data'!H1098</f>
        <v>Debit Card</v>
      </c>
      <c r="I1098" s="4" t="str">
        <f>'Raw Data'!I1098</f>
        <v>Returned</v>
      </c>
      <c r="J1098" s="4" t="str">
        <f>'Raw Data'!J1098</f>
        <v>TRK49482923</v>
      </c>
      <c r="K1098" s="4">
        <f>'Raw Data'!K1098</f>
        <v>2</v>
      </c>
      <c r="L1098" s="4" t="str">
        <f>IF('Raw Data'!L1098="","No Coupon",'Raw Data'!L1098)</f>
        <v>No Coupon</v>
      </c>
      <c r="M1098" s="4" t="str">
        <f>'Raw Data'!M1098</f>
        <v>Facebook</v>
      </c>
      <c r="N1098" s="4">
        <f>'Raw Data'!N1098</f>
        <v>929.84</v>
      </c>
    </row>
    <row r="1099" spans="1:14" ht="15" customHeight="1" x14ac:dyDescent="0.2">
      <c r="A1099" s="4" t="str">
        <f>'Raw Data'!A1099</f>
        <v>ORD201097</v>
      </c>
      <c r="B1099" s="6">
        <f>'Raw Data'!B1099</f>
        <v>45652</v>
      </c>
      <c r="C1099" s="4" t="str">
        <f>'Raw Data'!C1099</f>
        <v>C81370</v>
      </c>
      <c r="D1099" s="4" t="str">
        <f>'Raw Data'!D1099</f>
        <v>Monitor</v>
      </c>
      <c r="E1099" s="4">
        <f>'Raw Data'!E1099</f>
        <v>5</v>
      </c>
      <c r="F1099" s="4">
        <f>'Raw Data'!F1099</f>
        <v>506.45</v>
      </c>
      <c r="G1099" s="4" t="str">
        <f>'Raw Data'!G1099</f>
        <v>344 Main St</v>
      </c>
      <c r="H1099" s="4" t="str">
        <f>'Raw Data'!H1099</f>
        <v>Gift Card</v>
      </c>
      <c r="I1099" s="4" t="str">
        <f>'Raw Data'!I1099</f>
        <v>Shipped</v>
      </c>
      <c r="J1099" s="4" t="str">
        <f>'Raw Data'!J1099</f>
        <v>TRK99682998</v>
      </c>
      <c r="K1099" s="4">
        <f>'Raw Data'!K1099</f>
        <v>7</v>
      </c>
      <c r="L1099" s="4" t="str">
        <f>IF('Raw Data'!L1099="","No Coupon",'Raw Data'!L1099)</f>
        <v>WINTER15</v>
      </c>
      <c r="M1099" s="4" t="str">
        <f>'Raw Data'!M1099</f>
        <v>Google</v>
      </c>
      <c r="N1099" s="4">
        <f>'Raw Data'!N1099</f>
        <v>2532.25</v>
      </c>
    </row>
    <row r="1100" spans="1:14" ht="15" customHeight="1" x14ac:dyDescent="0.2">
      <c r="A1100" s="4" t="str">
        <f>'Raw Data'!A1100</f>
        <v>ORD201098</v>
      </c>
      <c r="B1100" s="6">
        <f>'Raw Data'!B1100</f>
        <v>45094</v>
      </c>
      <c r="C1100" s="4" t="str">
        <f>'Raw Data'!C1100</f>
        <v>C91103</v>
      </c>
      <c r="D1100" s="4" t="str">
        <f>'Raw Data'!D1100</f>
        <v>Monitor</v>
      </c>
      <c r="E1100" s="4">
        <f>'Raw Data'!E1100</f>
        <v>4</v>
      </c>
      <c r="F1100" s="4">
        <f>'Raw Data'!F1100</f>
        <v>255.86</v>
      </c>
      <c r="G1100" s="4" t="str">
        <f>'Raw Data'!G1100</f>
        <v>155 Main St</v>
      </c>
      <c r="H1100" s="4" t="str">
        <f>'Raw Data'!H1100</f>
        <v>Credit Card</v>
      </c>
      <c r="I1100" s="4" t="str">
        <f>'Raw Data'!I1100</f>
        <v>Delivered</v>
      </c>
      <c r="J1100" s="4" t="str">
        <f>'Raw Data'!J1100</f>
        <v>TRK91653000</v>
      </c>
      <c r="K1100" s="4">
        <f>'Raw Data'!K1100</f>
        <v>7</v>
      </c>
      <c r="L1100" s="4" t="str">
        <f>IF('Raw Data'!L1100="","No Coupon",'Raw Data'!L1100)</f>
        <v>No Coupon</v>
      </c>
      <c r="M1100" s="4" t="str">
        <f>'Raw Data'!M1100</f>
        <v>Email</v>
      </c>
      <c r="N1100" s="4">
        <f>'Raw Data'!N1100</f>
        <v>1023.44</v>
      </c>
    </row>
    <row r="1101" spans="1:14" ht="15" customHeight="1" x14ac:dyDescent="0.2">
      <c r="A1101" s="4" t="str">
        <f>'Raw Data'!A1101</f>
        <v>ORD201099</v>
      </c>
      <c r="B1101" s="6">
        <f>'Raw Data'!B1101</f>
        <v>45554</v>
      </c>
      <c r="C1101" s="4" t="str">
        <f>'Raw Data'!C1101</f>
        <v>C21953</v>
      </c>
      <c r="D1101" s="4" t="str">
        <f>'Raw Data'!D1101</f>
        <v>Laptop</v>
      </c>
      <c r="E1101" s="4">
        <f>'Raw Data'!E1101</f>
        <v>2</v>
      </c>
      <c r="F1101" s="4">
        <f>'Raw Data'!F1101</f>
        <v>125.23</v>
      </c>
      <c r="G1101" s="4" t="str">
        <f>'Raw Data'!G1101</f>
        <v>272 Main St</v>
      </c>
      <c r="H1101" s="4" t="str">
        <f>'Raw Data'!H1101</f>
        <v>Cash</v>
      </c>
      <c r="I1101" s="4" t="str">
        <f>'Raw Data'!I1101</f>
        <v>Cancelled</v>
      </c>
      <c r="J1101" s="4" t="str">
        <f>'Raw Data'!J1101</f>
        <v>TRK60774796</v>
      </c>
      <c r="K1101" s="4">
        <f>'Raw Data'!K1101</f>
        <v>3</v>
      </c>
      <c r="L1101" s="4" t="str">
        <f>IF('Raw Data'!L1101="","No Coupon",'Raw Data'!L1101)</f>
        <v>FREESHIP</v>
      </c>
      <c r="M1101" s="4" t="str">
        <f>'Raw Data'!M1101</f>
        <v>Email</v>
      </c>
      <c r="N1101" s="4">
        <f>'Raw Data'!N1101</f>
        <v>250.46</v>
      </c>
    </row>
    <row r="1102" spans="1:14" ht="15" customHeight="1" x14ac:dyDescent="0.2">
      <c r="A1102" s="4" t="str">
        <f>'Raw Data'!A1102</f>
        <v>ORD201100</v>
      </c>
      <c r="B1102" s="6">
        <f>'Raw Data'!B1102</f>
        <v>45155</v>
      </c>
      <c r="C1102" s="4" t="str">
        <f>'Raw Data'!C1102</f>
        <v>C15146</v>
      </c>
      <c r="D1102" s="4" t="str">
        <f>'Raw Data'!D1102</f>
        <v>Laptop</v>
      </c>
      <c r="E1102" s="4">
        <f>'Raw Data'!E1102</f>
        <v>5</v>
      </c>
      <c r="F1102" s="4">
        <f>'Raw Data'!F1102</f>
        <v>38.11</v>
      </c>
      <c r="G1102" s="4" t="str">
        <f>'Raw Data'!G1102</f>
        <v>428 Main St</v>
      </c>
      <c r="H1102" s="4" t="str">
        <f>'Raw Data'!H1102</f>
        <v>Debit Card</v>
      </c>
      <c r="I1102" s="4" t="str">
        <f>'Raw Data'!I1102</f>
        <v>Cancelled</v>
      </c>
      <c r="J1102" s="4" t="str">
        <f>'Raw Data'!J1102</f>
        <v>TRK79790530</v>
      </c>
      <c r="K1102" s="4">
        <f>'Raw Data'!K1102</f>
        <v>6</v>
      </c>
      <c r="L1102" s="4" t="str">
        <f>IF('Raw Data'!L1102="","No Coupon",'Raw Data'!L1102)</f>
        <v>WINTER15</v>
      </c>
      <c r="M1102" s="4" t="str">
        <f>'Raw Data'!M1102</f>
        <v>Instagram</v>
      </c>
      <c r="N1102" s="4">
        <f>'Raw Data'!N1102</f>
        <v>190.55</v>
      </c>
    </row>
    <row r="1103" spans="1:14" ht="15" customHeight="1" x14ac:dyDescent="0.2">
      <c r="A1103" s="4" t="str">
        <f>'Raw Data'!A1103</f>
        <v>ORD201101</v>
      </c>
      <c r="B1103" s="6">
        <f>'Raw Data'!B1103</f>
        <v>45816</v>
      </c>
      <c r="C1103" s="4" t="str">
        <f>'Raw Data'!C1103</f>
        <v>C43546</v>
      </c>
      <c r="D1103" s="4" t="str">
        <f>'Raw Data'!D1103</f>
        <v>Monitor</v>
      </c>
      <c r="E1103" s="4">
        <f>'Raw Data'!E1103</f>
        <v>3</v>
      </c>
      <c r="F1103" s="4">
        <f>'Raw Data'!F1103</f>
        <v>161.97</v>
      </c>
      <c r="G1103" s="4" t="str">
        <f>'Raw Data'!G1103</f>
        <v>904 Main St</v>
      </c>
      <c r="H1103" s="4" t="str">
        <f>'Raw Data'!H1103</f>
        <v>Cash</v>
      </c>
      <c r="I1103" s="4" t="str">
        <f>'Raw Data'!I1103</f>
        <v>Pending</v>
      </c>
      <c r="J1103" s="4" t="str">
        <f>'Raw Data'!J1103</f>
        <v>TRK85871121</v>
      </c>
      <c r="K1103" s="4">
        <f>'Raw Data'!K1103</f>
        <v>4</v>
      </c>
      <c r="L1103" s="4" t="str">
        <f>IF('Raw Data'!L1103="","No Coupon",'Raw Data'!L1103)</f>
        <v>SAVE10</v>
      </c>
      <c r="M1103" s="4" t="str">
        <f>'Raw Data'!M1103</f>
        <v>Email</v>
      </c>
      <c r="N1103" s="4">
        <f>'Raw Data'!N1103</f>
        <v>485.91</v>
      </c>
    </row>
    <row r="1104" spans="1:14" ht="15" customHeight="1" x14ac:dyDescent="0.2">
      <c r="A1104" s="4" t="str">
        <f>'Raw Data'!A1104</f>
        <v>ORD201102</v>
      </c>
      <c r="B1104" s="6">
        <f>'Raw Data'!B1104</f>
        <v>45446</v>
      </c>
      <c r="C1104" s="4" t="str">
        <f>'Raw Data'!C1104</f>
        <v>C98474</v>
      </c>
      <c r="D1104" s="4" t="str">
        <f>'Raw Data'!D1104</f>
        <v>Chair</v>
      </c>
      <c r="E1104" s="4">
        <f>'Raw Data'!E1104</f>
        <v>4</v>
      </c>
      <c r="F1104" s="4">
        <f>'Raw Data'!F1104</f>
        <v>347.17</v>
      </c>
      <c r="G1104" s="4" t="str">
        <f>'Raw Data'!G1104</f>
        <v>997 Main St</v>
      </c>
      <c r="H1104" s="4" t="str">
        <f>'Raw Data'!H1104</f>
        <v>Debit Card</v>
      </c>
      <c r="I1104" s="4" t="str">
        <f>'Raw Data'!I1104</f>
        <v>Shipped</v>
      </c>
      <c r="J1104" s="4" t="str">
        <f>'Raw Data'!J1104</f>
        <v>TRK86192984</v>
      </c>
      <c r="K1104" s="4">
        <f>'Raw Data'!K1104</f>
        <v>8</v>
      </c>
      <c r="L1104" s="4" t="str">
        <f>IF('Raw Data'!L1104="","No Coupon",'Raw Data'!L1104)</f>
        <v>No Coupon</v>
      </c>
      <c r="M1104" s="4" t="str">
        <f>'Raw Data'!M1104</f>
        <v>Instagram</v>
      </c>
      <c r="N1104" s="4">
        <f>'Raw Data'!N1104</f>
        <v>1388.68</v>
      </c>
    </row>
    <row r="1105" spans="1:14" ht="15" customHeight="1" x14ac:dyDescent="0.2">
      <c r="A1105" s="4" t="str">
        <f>'Raw Data'!A1105</f>
        <v>ORD201103</v>
      </c>
      <c r="B1105" s="6">
        <f>'Raw Data'!B1105</f>
        <v>45040</v>
      </c>
      <c r="C1105" s="4" t="str">
        <f>'Raw Data'!C1105</f>
        <v>C90292</v>
      </c>
      <c r="D1105" s="4" t="str">
        <f>'Raw Data'!D1105</f>
        <v>Laptop</v>
      </c>
      <c r="E1105" s="4">
        <f>'Raw Data'!E1105</f>
        <v>4</v>
      </c>
      <c r="F1105" s="4">
        <f>'Raw Data'!F1105</f>
        <v>276.32</v>
      </c>
      <c r="G1105" s="4" t="str">
        <f>'Raw Data'!G1105</f>
        <v>129 Main St</v>
      </c>
      <c r="H1105" s="4" t="str">
        <f>'Raw Data'!H1105</f>
        <v>Online</v>
      </c>
      <c r="I1105" s="4" t="str">
        <f>'Raw Data'!I1105</f>
        <v>Delivered</v>
      </c>
      <c r="J1105" s="4" t="str">
        <f>'Raw Data'!J1105</f>
        <v>TRK26270357</v>
      </c>
      <c r="K1105" s="4">
        <f>'Raw Data'!K1105</f>
        <v>5</v>
      </c>
      <c r="L1105" s="4" t="str">
        <f>IF('Raw Data'!L1105="","No Coupon",'Raw Data'!L1105)</f>
        <v>No Coupon</v>
      </c>
      <c r="M1105" s="4" t="str">
        <f>'Raw Data'!M1105</f>
        <v>Google</v>
      </c>
      <c r="N1105" s="4">
        <f>'Raw Data'!N1105</f>
        <v>1105.28</v>
      </c>
    </row>
    <row r="1106" spans="1:14" ht="15" customHeight="1" x14ac:dyDescent="0.2">
      <c r="A1106" s="4" t="str">
        <f>'Raw Data'!A1106</f>
        <v>ORD201104</v>
      </c>
      <c r="B1106" s="6">
        <f>'Raw Data'!B1106</f>
        <v>45498</v>
      </c>
      <c r="C1106" s="4" t="str">
        <f>'Raw Data'!C1106</f>
        <v>C17075</v>
      </c>
      <c r="D1106" s="4" t="str">
        <f>'Raw Data'!D1106</f>
        <v>Tablet</v>
      </c>
      <c r="E1106" s="4">
        <f>'Raw Data'!E1106</f>
        <v>4</v>
      </c>
      <c r="F1106" s="4">
        <f>'Raw Data'!F1106</f>
        <v>314.76</v>
      </c>
      <c r="G1106" s="4" t="str">
        <f>'Raw Data'!G1106</f>
        <v>850 Main St</v>
      </c>
      <c r="H1106" s="4" t="str">
        <f>'Raw Data'!H1106</f>
        <v>Online</v>
      </c>
      <c r="I1106" s="4" t="str">
        <f>'Raw Data'!I1106</f>
        <v>Shipped</v>
      </c>
      <c r="J1106" s="4" t="str">
        <f>'Raw Data'!J1106</f>
        <v>TRK63547510</v>
      </c>
      <c r="K1106" s="4">
        <f>'Raw Data'!K1106</f>
        <v>8</v>
      </c>
      <c r="L1106" s="4" t="str">
        <f>IF('Raw Data'!L1106="","No Coupon",'Raw Data'!L1106)</f>
        <v>No Coupon</v>
      </c>
      <c r="M1106" s="4" t="str">
        <f>'Raw Data'!M1106</f>
        <v>Instagram</v>
      </c>
      <c r="N1106" s="4">
        <f>'Raw Data'!N1106</f>
        <v>1259.04</v>
      </c>
    </row>
    <row r="1107" spans="1:14" ht="15" customHeight="1" x14ac:dyDescent="0.2">
      <c r="A1107" s="4" t="str">
        <f>'Raw Data'!A1107</f>
        <v>ORD201105</v>
      </c>
      <c r="B1107" s="6">
        <f>'Raw Data'!B1107</f>
        <v>45299</v>
      </c>
      <c r="C1107" s="4" t="str">
        <f>'Raw Data'!C1107</f>
        <v>C12487</v>
      </c>
      <c r="D1107" s="4" t="str">
        <f>'Raw Data'!D1107</f>
        <v>Tablet</v>
      </c>
      <c r="E1107" s="4">
        <f>'Raw Data'!E1107</f>
        <v>3</v>
      </c>
      <c r="F1107" s="4">
        <f>'Raw Data'!F1107</f>
        <v>475.69</v>
      </c>
      <c r="G1107" s="4" t="str">
        <f>'Raw Data'!G1107</f>
        <v>884 Main St</v>
      </c>
      <c r="H1107" s="4" t="str">
        <f>'Raw Data'!H1107</f>
        <v>Gift Card</v>
      </c>
      <c r="I1107" s="4" t="str">
        <f>'Raw Data'!I1107</f>
        <v>Cancelled</v>
      </c>
      <c r="J1107" s="4" t="str">
        <f>'Raw Data'!J1107</f>
        <v>TRK23324770</v>
      </c>
      <c r="K1107" s="4">
        <f>'Raw Data'!K1107</f>
        <v>3</v>
      </c>
      <c r="L1107" s="4" t="str">
        <f>IF('Raw Data'!L1107="","No Coupon",'Raw Data'!L1107)</f>
        <v>FREESHIP</v>
      </c>
      <c r="M1107" s="4" t="str">
        <f>'Raw Data'!M1107</f>
        <v>Google</v>
      </c>
      <c r="N1107" s="4">
        <f>'Raw Data'!N1107</f>
        <v>1427.07</v>
      </c>
    </row>
    <row r="1108" spans="1:14" ht="15" customHeight="1" x14ac:dyDescent="0.2">
      <c r="A1108" s="4" t="str">
        <f>'Raw Data'!A1108</f>
        <v>ORD201106</v>
      </c>
      <c r="B1108" s="6">
        <f>'Raw Data'!B1108</f>
        <v>44997</v>
      </c>
      <c r="C1108" s="4" t="str">
        <f>'Raw Data'!C1108</f>
        <v>C34555</v>
      </c>
      <c r="D1108" s="4" t="str">
        <f>'Raw Data'!D1108</f>
        <v>Chair</v>
      </c>
      <c r="E1108" s="4">
        <f>'Raw Data'!E1108</f>
        <v>1</v>
      </c>
      <c r="F1108" s="4">
        <f>'Raw Data'!F1108</f>
        <v>372.8</v>
      </c>
      <c r="G1108" s="4" t="str">
        <f>'Raw Data'!G1108</f>
        <v>903 Main St</v>
      </c>
      <c r="H1108" s="4" t="str">
        <f>'Raw Data'!H1108</f>
        <v>Cash</v>
      </c>
      <c r="I1108" s="4" t="str">
        <f>'Raw Data'!I1108</f>
        <v>Cancelled</v>
      </c>
      <c r="J1108" s="4" t="str">
        <f>'Raw Data'!J1108</f>
        <v>TRK72859458</v>
      </c>
      <c r="K1108" s="4">
        <f>'Raw Data'!K1108</f>
        <v>6</v>
      </c>
      <c r="L1108" s="4" t="str">
        <f>IF('Raw Data'!L1108="","No Coupon",'Raw Data'!L1108)</f>
        <v>SAVE10</v>
      </c>
      <c r="M1108" s="4" t="str">
        <f>'Raw Data'!M1108</f>
        <v>Facebook</v>
      </c>
      <c r="N1108" s="4">
        <f>'Raw Data'!N1108</f>
        <v>372.8</v>
      </c>
    </row>
    <row r="1109" spans="1:14" ht="15" customHeight="1" x14ac:dyDescent="0.2">
      <c r="A1109" s="4" t="str">
        <f>'Raw Data'!A1109</f>
        <v>ORD201107</v>
      </c>
      <c r="B1109" s="6">
        <f>'Raw Data'!B1109</f>
        <v>45838</v>
      </c>
      <c r="C1109" s="4" t="str">
        <f>'Raw Data'!C1109</f>
        <v>C25110</v>
      </c>
      <c r="D1109" s="4" t="str">
        <f>'Raw Data'!D1109</f>
        <v>Tablet</v>
      </c>
      <c r="E1109" s="4">
        <f>'Raw Data'!E1109</f>
        <v>2</v>
      </c>
      <c r="F1109" s="4">
        <f>'Raw Data'!F1109</f>
        <v>63.21</v>
      </c>
      <c r="G1109" s="4" t="str">
        <f>'Raw Data'!G1109</f>
        <v>282 Main St</v>
      </c>
      <c r="H1109" s="4" t="str">
        <f>'Raw Data'!H1109</f>
        <v>Online</v>
      </c>
      <c r="I1109" s="4" t="str">
        <f>'Raw Data'!I1109</f>
        <v>Cancelled</v>
      </c>
      <c r="J1109" s="4" t="str">
        <f>'Raw Data'!J1109</f>
        <v>TRK80963328</v>
      </c>
      <c r="K1109" s="4">
        <f>'Raw Data'!K1109</f>
        <v>4</v>
      </c>
      <c r="L1109" s="4" t="str">
        <f>IF('Raw Data'!L1109="","No Coupon",'Raw Data'!L1109)</f>
        <v>SAVE10</v>
      </c>
      <c r="M1109" s="4" t="str">
        <f>'Raw Data'!M1109</f>
        <v>Google</v>
      </c>
      <c r="N1109" s="4">
        <f>'Raw Data'!N1109</f>
        <v>126.42</v>
      </c>
    </row>
    <row r="1110" spans="1:14" ht="15" customHeight="1" x14ac:dyDescent="0.2">
      <c r="A1110" s="4" t="str">
        <f>'Raw Data'!A1110</f>
        <v>ORD201108</v>
      </c>
      <c r="B1110" s="6">
        <f>'Raw Data'!B1110</f>
        <v>45005</v>
      </c>
      <c r="C1110" s="4" t="str">
        <f>'Raw Data'!C1110</f>
        <v>C35136</v>
      </c>
      <c r="D1110" s="4" t="str">
        <f>'Raw Data'!D1110</f>
        <v>Laptop</v>
      </c>
      <c r="E1110" s="4">
        <f>'Raw Data'!E1110</f>
        <v>1</v>
      </c>
      <c r="F1110" s="4">
        <f>'Raw Data'!F1110</f>
        <v>634.94000000000005</v>
      </c>
      <c r="G1110" s="4" t="str">
        <f>'Raw Data'!G1110</f>
        <v>462 Main St</v>
      </c>
      <c r="H1110" s="4" t="str">
        <f>'Raw Data'!H1110</f>
        <v>Online</v>
      </c>
      <c r="I1110" s="4" t="str">
        <f>'Raw Data'!I1110</f>
        <v>Cancelled</v>
      </c>
      <c r="J1110" s="4" t="str">
        <f>'Raw Data'!J1110</f>
        <v>TRK49753703</v>
      </c>
      <c r="K1110" s="4">
        <f>'Raw Data'!K1110</f>
        <v>5</v>
      </c>
      <c r="L1110" s="4" t="str">
        <f>IF('Raw Data'!L1110="","No Coupon",'Raw Data'!L1110)</f>
        <v>WINTER15</v>
      </c>
      <c r="M1110" s="4" t="str">
        <f>'Raw Data'!M1110</f>
        <v>Instagram</v>
      </c>
      <c r="N1110" s="4">
        <f>'Raw Data'!N1110</f>
        <v>634.94000000000005</v>
      </c>
    </row>
    <row r="1111" spans="1:14" ht="15" customHeight="1" x14ac:dyDescent="0.2">
      <c r="A1111" s="4" t="str">
        <f>'Raw Data'!A1111</f>
        <v>ORD201109</v>
      </c>
      <c r="B1111" s="6">
        <f>'Raw Data'!B1111</f>
        <v>45390</v>
      </c>
      <c r="C1111" s="4" t="str">
        <f>'Raw Data'!C1111</f>
        <v>C62277</v>
      </c>
      <c r="D1111" s="4" t="str">
        <f>'Raw Data'!D1111</f>
        <v>Printer</v>
      </c>
      <c r="E1111" s="4">
        <f>'Raw Data'!E1111</f>
        <v>4</v>
      </c>
      <c r="F1111" s="4">
        <f>'Raw Data'!F1111</f>
        <v>77.47</v>
      </c>
      <c r="G1111" s="4" t="str">
        <f>'Raw Data'!G1111</f>
        <v>474 Main St</v>
      </c>
      <c r="H1111" s="4" t="str">
        <f>'Raw Data'!H1111</f>
        <v>Gift Card</v>
      </c>
      <c r="I1111" s="4" t="str">
        <f>'Raw Data'!I1111</f>
        <v>Returned</v>
      </c>
      <c r="J1111" s="4" t="str">
        <f>'Raw Data'!J1111</f>
        <v>TRK32026174</v>
      </c>
      <c r="K1111" s="4">
        <f>'Raw Data'!K1111</f>
        <v>7</v>
      </c>
      <c r="L1111" s="4" t="str">
        <f>IF('Raw Data'!L1111="","No Coupon",'Raw Data'!L1111)</f>
        <v>SAVE10</v>
      </c>
      <c r="M1111" s="4" t="str">
        <f>'Raw Data'!M1111</f>
        <v>Instagram</v>
      </c>
      <c r="N1111" s="4">
        <f>'Raw Data'!N1111</f>
        <v>309.88</v>
      </c>
    </row>
    <row r="1112" spans="1:14" ht="15" customHeight="1" x14ac:dyDescent="0.2">
      <c r="A1112" s="4" t="str">
        <f>'Raw Data'!A1112</f>
        <v>ORD201110</v>
      </c>
      <c r="B1112" s="6">
        <f>'Raw Data'!B1112</f>
        <v>45347</v>
      </c>
      <c r="C1112" s="4" t="str">
        <f>'Raw Data'!C1112</f>
        <v>C12472</v>
      </c>
      <c r="D1112" s="4" t="str">
        <f>'Raw Data'!D1112</f>
        <v>Chair</v>
      </c>
      <c r="E1112" s="4">
        <f>'Raw Data'!E1112</f>
        <v>3</v>
      </c>
      <c r="F1112" s="4">
        <f>'Raw Data'!F1112</f>
        <v>84.31</v>
      </c>
      <c r="G1112" s="4" t="str">
        <f>'Raw Data'!G1112</f>
        <v>912 Main St</v>
      </c>
      <c r="H1112" s="4" t="str">
        <f>'Raw Data'!H1112</f>
        <v>Credit Card</v>
      </c>
      <c r="I1112" s="4" t="str">
        <f>'Raw Data'!I1112</f>
        <v>Shipped</v>
      </c>
      <c r="J1112" s="4" t="str">
        <f>'Raw Data'!J1112</f>
        <v>TRK36103184</v>
      </c>
      <c r="K1112" s="4">
        <f>'Raw Data'!K1112</f>
        <v>3</v>
      </c>
      <c r="L1112" s="4" t="str">
        <f>IF('Raw Data'!L1112="","No Coupon",'Raw Data'!L1112)</f>
        <v>SAVE10</v>
      </c>
      <c r="M1112" s="4" t="str">
        <f>'Raw Data'!M1112</f>
        <v>Email</v>
      </c>
      <c r="N1112" s="4">
        <f>'Raw Data'!N1112</f>
        <v>252.93</v>
      </c>
    </row>
    <row r="1113" spans="1:14" ht="15" customHeight="1" x14ac:dyDescent="0.2">
      <c r="A1113" s="4" t="str">
        <f>'Raw Data'!A1113</f>
        <v>ORD201111</v>
      </c>
      <c r="B1113" s="6">
        <f>'Raw Data'!B1113</f>
        <v>45052</v>
      </c>
      <c r="C1113" s="4" t="str">
        <f>'Raw Data'!C1113</f>
        <v>C24047</v>
      </c>
      <c r="D1113" s="4" t="str">
        <f>'Raw Data'!D1113</f>
        <v>Monitor</v>
      </c>
      <c r="E1113" s="4">
        <f>'Raw Data'!E1113</f>
        <v>4</v>
      </c>
      <c r="F1113" s="4">
        <f>'Raw Data'!F1113</f>
        <v>234.45</v>
      </c>
      <c r="G1113" s="4" t="str">
        <f>'Raw Data'!G1113</f>
        <v>362 Main St</v>
      </c>
      <c r="H1113" s="4" t="str">
        <f>'Raw Data'!H1113</f>
        <v>Online</v>
      </c>
      <c r="I1113" s="4" t="str">
        <f>'Raw Data'!I1113</f>
        <v>Cancelled</v>
      </c>
      <c r="J1113" s="4" t="str">
        <f>'Raw Data'!J1113</f>
        <v>TRK91338580</v>
      </c>
      <c r="K1113" s="4">
        <f>'Raw Data'!K1113</f>
        <v>9</v>
      </c>
      <c r="L1113" s="4" t="str">
        <f>IF('Raw Data'!L1113="","No Coupon",'Raw Data'!L1113)</f>
        <v>FREESHIP</v>
      </c>
      <c r="M1113" s="4" t="str">
        <f>'Raw Data'!M1113</f>
        <v>Instagram</v>
      </c>
      <c r="N1113" s="4">
        <f>'Raw Data'!N1113</f>
        <v>937.8</v>
      </c>
    </row>
    <row r="1114" spans="1:14" ht="15" customHeight="1" x14ac:dyDescent="0.2">
      <c r="A1114" s="4" t="str">
        <f>'Raw Data'!A1114</f>
        <v>ORD201112</v>
      </c>
      <c r="B1114" s="6">
        <f>'Raw Data'!B1114</f>
        <v>45212</v>
      </c>
      <c r="C1114" s="4" t="str">
        <f>'Raw Data'!C1114</f>
        <v>C76929</v>
      </c>
      <c r="D1114" s="4" t="str">
        <f>'Raw Data'!D1114</f>
        <v>Desk</v>
      </c>
      <c r="E1114" s="4">
        <f>'Raw Data'!E1114</f>
        <v>1</v>
      </c>
      <c r="F1114" s="4">
        <f>'Raw Data'!F1114</f>
        <v>356.81</v>
      </c>
      <c r="G1114" s="4" t="str">
        <f>'Raw Data'!G1114</f>
        <v>563 Main St</v>
      </c>
      <c r="H1114" s="4" t="str">
        <f>'Raw Data'!H1114</f>
        <v>Online</v>
      </c>
      <c r="I1114" s="4" t="str">
        <f>'Raw Data'!I1114</f>
        <v>Delivered</v>
      </c>
      <c r="J1114" s="4" t="str">
        <f>'Raw Data'!J1114</f>
        <v>TRK80694400</v>
      </c>
      <c r="K1114" s="4">
        <f>'Raw Data'!K1114</f>
        <v>1</v>
      </c>
      <c r="L1114" s="4" t="str">
        <f>IF('Raw Data'!L1114="","No Coupon",'Raw Data'!L1114)</f>
        <v>WINTER15</v>
      </c>
      <c r="M1114" s="4" t="str">
        <f>'Raw Data'!M1114</f>
        <v>Instagram</v>
      </c>
      <c r="N1114" s="4">
        <f>'Raw Data'!N1114</f>
        <v>356.81</v>
      </c>
    </row>
    <row r="1115" spans="1:14" ht="15" customHeight="1" x14ac:dyDescent="0.2">
      <c r="A1115" s="4" t="str">
        <f>'Raw Data'!A1115</f>
        <v>ORD201113</v>
      </c>
      <c r="B1115" s="6">
        <f>'Raw Data'!B1115</f>
        <v>45004</v>
      </c>
      <c r="C1115" s="4" t="str">
        <f>'Raw Data'!C1115</f>
        <v>C52914</v>
      </c>
      <c r="D1115" s="4" t="str">
        <f>'Raw Data'!D1115</f>
        <v>Desk</v>
      </c>
      <c r="E1115" s="4">
        <f>'Raw Data'!E1115</f>
        <v>4</v>
      </c>
      <c r="F1115" s="4">
        <f>'Raw Data'!F1115</f>
        <v>209.99</v>
      </c>
      <c r="G1115" s="4" t="str">
        <f>'Raw Data'!G1115</f>
        <v>168 Main St</v>
      </c>
      <c r="H1115" s="4" t="str">
        <f>'Raw Data'!H1115</f>
        <v>Cash</v>
      </c>
      <c r="I1115" s="4" t="str">
        <f>'Raw Data'!I1115</f>
        <v>Delivered</v>
      </c>
      <c r="J1115" s="4" t="str">
        <f>'Raw Data'!J1115</f>
        <v>TRK80819053</v>
      </c>
      <c r="K1115" s="4">
        <f>'Raw Data'!K1115</f>
        <v>8</v>
      </c>
      <c r="L1115" s="4" t="str">
        <f>IF('Raw Data'!L1115="","No Coupon",'Raw Data'!L1115)</f>
        <v>No Coupon</v>
      </c>
      <c r="M1115" s="4" t="str">
        <f>'Raw Data'!M1115</f>
        <v>Google</v>
      </c>
      <c r="N1115" s="4">
        <f>'Raw Data'!N1115</f>
        <v>839.96</v>
      </c>
    </row>
    <row r="1116" spans="1:14" ht="15" customHeight="1" x14ac:dyDescent="0.2">
      <c r="A1116" s="4" t="str">
        <f>'Raw Data'!A1116</f>
        <v>ORD201114</v>
      </c>
      <c r="B1116" s="6">
        <f>'Raw Data'!B1116</f>
        <v>45001</v>
      </c>
      <c r="C1116" s="4" t="str">
        <f>'Raw Data'!C1116</f>
        <v>C55164</v>
      </c>
      <c r="D1116" s="4" t="str">
        <f>'Raw Data'!D1116</f>
        <v>Tablet</v>
      </c>
      <c r="E1116" s="4">
        <f>'Raw Data'!E1116</f>
        <v>3</v>
      </c>
      <c r="F1116" s="4">
        <f>'Raw Data'!F1116</f>
        <v>659.88</v>
      </c>
      <c r="G1116" s="4" t="str">
        <f>'Raw Data'!G1116</f>
        <v>609 Main St</v>
      </c>
      <c r="H1116" s="4" t="str">
        <f>'Raw Data'!H1116</f>
        <v>Gift Card</v>
      </c>
      <c r="I1116" s="4" t="str">
        <f>'Raw Data'!I1116</f>
        <v>Cancelled</v>
      </c>
      <c r="J1116" s="4" t="str">
        <f>'Raw Data'!J1116</f>
        <v>TRK79610967</v>
      </c>
      <c r="K1116" s="4">
        <f>'Raw Data'!K1116</f>
        <v>3</v>
      </c>
      <c r="L1116" s="4" t="str">
        <f>IF('Raw Data'!L1116="","No Coupon",'Raw Data'!L1116)</f>
        <v>No Coupon</v>
      </c>
      <c r="M1116" s="4" t="str">
        <f>'Raw Data'!M1116</f>
        <v>Google</v>
      </c>
      <c r="N1116" s="4">
        <f>'Raw Data'!N1116</f>
        <v>1979.64</v>
      </c>
    </row>
    <row r="1117" spans="1:14" ht="15" customHeight="1" x14ac:dyDescent="0.2">
      <c r="A1117" s="4" t="str">
        <f>'Raw Data'!A1117</f>
        <v>ORD201115</v>
      </c>
      <c r="B1117" s="6">
        <f>'Raw Data'!B1117</f>
        <v>45828</v>
      </c>
      <c r="C1117" s="4" t="str">
        <f>'Raw Data'!C1117</f>
        <v>C70426</v>
      </c>
      <c r="D1117" s="4" t="str">
        <f>'Raw Data'!D1117</f>
        <v>Laptop</v>
      </c>
      <c r="E1117" s="4">
        <f>'Raw Data'!E1117</f>
        <v>2</v>
      </c>
      <c r="F1117" s="4">
        <f>'Raw Data'!F1117</f>
        <v>336.32</v>
      </c>
      <c r="G1117" s="4" t="str">
        <f>'Raw Data'!G1117</f>
        <v>562 Main St</v>
      </c>
      <c r="H1117" s="4" t="str">
        <f>'Raw Data'!H1117</f>
        <v>Online</v>
      </c>
      <c r="I1117" s="4" t="str">
        <f>'Raw Data'!I1117</f>
        <v>Returned</v>
      </c>
      <c r="J1117" s="4" t="str">
        <f>'Raw Data'!J1117</f>
        <v>TRK89687816</v>
      </c>
      <c r="K1117" s="4">
        <f>'Raw Data'!K1117</f>
        <v>3</v>
      </c>
      <c r="L1117" s="4" t="str">
        <f>IF('Raw Data'!L1117="","No Coupon",'Raw Data'!L1117)</f>
        <v>No Coupon</v>
      </c>
      <c r="M1117" s="4" t="str">
        <f>'Raw Data'!M1117</f>
        <v>Google</v>
      </c>
      <c r="N1117" s="4">
        <f>'Raw Data'!N1117</f>
        <v>672.64</v>
      </c>
    </row>
    <row r="1118" spans="1:14" ht="15" customHeight="1" x14ac:dyDescent="0.2">
      <c r="A1118" s="4" t="str">
        <f>'Raw Data'!A1118</f>
        <v>ORD201116</v>
      </c>
      <c r="B1118" s="6">
        <f>'Raw Data'!B1118</f>
        <v>45213</v>
      </c>
      <c r="C1118" s="4" t="str">
        <f>'Raw Data'!C1118</f>
        <v>C69149</v>
      </c>
      <c r="D1118" s="4" t="str">
        <f>'Raw Data'!D1118</f>
        <v>Printer</v>
      </c>
      <c r="E1118" s="4">
        <f>'Raw Data'!E1118</f>
        <v>2</v>
      </c>
      <c r="F1118" s="4">
        <f>'Raw Data'!F1118</f>
        <v>531.49</v>
      </c>
      <c r="G1118" s="4" t="str">
        <f>'Raw Data'!G1118</f>
        <v>562 Main St</v>
      </c>
      <c r="H1118" s="4" t="str">
        <f>'Raw Data'!H1118</f>
        <v>Credit Card</v>
      </c>
      <c r="I1118" s="4" t="str">
        <f>'Raw Data'!I1118</f>
        <v>Delivered</v>
      </c>
      <c r="J1118" s="4" t="str">
        <f>'Raw Data'!J1118</f>
        <v>TRK61265132</v>
      </c>
      <c r="K1118" s="4">
        <f>'Raw Data'!K1118</f>
        <v>7</v>
      </c>
      <c r="L1118" s="4" t="str">
        <f>IF('Raw Data'!L1118="","No Coupon",'Raw Data'!L1118)</f>
        <v>WINTER15</v>
      </c>
      <c r="M1118" s="4" t="str">
        <f>'Raw Data'!M1118</f>
        <v>Facebook</v>
      </c>
      <c r="N1118" s="4">
        <f>'Raw Data'!N1118</f>
        <v>1062.98</v>
      </c>
    </row>
    <row r="1119" spans="1:14" ht="15" customHeight="1" x14ac:dyDescent="0.2">
      <c r="A1119" s="4" t="str">
        <f>'Raw Data'!A1119</f>
        <v>ORD201117</v>
      </c>
      <c r="B1119" s="6">
        <f>'Raw Data'!B1119</f>
        <v>45432</v>
      </c>
      <c r="C1119" s="4" t="str">
        <f>'Raw Data'!C1119</f>
        <v>C78684</v>
      </c>
      <c r="D1119" s="4" t="str">
        <f>'Raw Data'!D1119</f>
        <v>Chair</v>
      </c>
      <c r="E1119" s="4">
        <f>'Raw Data'!E1119</f>
        <v>3</v>
      </c>
      <c r="F1119" s="4">
        <f>'Raw Data'!F1119</f>
        <v>588.44000000000005</v>
      </c>
      <c r="G1119" s="4" t="str">
        <f>'Raw Data'!G1119</f>
        <v>858 Main St</v>
      </c>
      <c r="H1119" s="4" t="str">
        <f>'Raw Data'!H1119</f>
        <v>Gift Card</v>
      </c>
      <c r="I1119" s="4" t="str">
        <f>'Raw Data'!I1119</f>
        <v>Shipped</v>
      </c>
      <c r="J1119" s="4" t="str">
        <f>'Raw Data'!J1119</f>
        <v>TRK95779073</v>
      </c>
      <c r="K1119" s="4">
        <f>'Raw Data'!K1119</f>
        <v>8</v>
      </c>
      <c r="L1119" s="4" t="str">
        <f>IF('Raw Data'!L1119="","No Coupon",'Raw Data'!L1119)</f>
        <v>WINTER15</v>
      </c>
      <c r="M1119" s="4" t="str">
        <f>'Raw Data'!M1119</f>
        <v>Google</v>
      </c>
      <c r="N1119" s="4">
        <f>'Raw Data'!N1119</f>
        <v>1765.32</v>
      </c>
    </row>
    <row r="1120" spans="1:14" ht="15" customHeight="1" x14ac:dyDescent="0.2">
      <c r="A1120" s="4" t="str">
        <f>'Raw Data'!A1120</f>
        <v>ORD201118</v>
      </c>
      <c r="B1120" s="6">
        <f>'Raw Data'!B1120</f>
        <v>45436</v>
      </c>
      <c r="C1120" s="4" t="str">
        <f>'Raw Data'!C1120</f>
        <v>C58168</v>
      </c>
      <c r="D1120" s="4" t="str">
        <f>'Raw Data'!D1120</f>
        <v>Phone</v>
      </c>
      <c r="E1120" s="4">
        <f>'Raw Data'!E1120</f>
        <v>3</v>
      </c>
      <c r="F1120" s="4">
        <f>'Raw Data'!F1120</f>
        <v>251.48</v>
      </c>
      <c r="G1120" s="4" t="str">
        <f>'Raw Data'!G1120</f>
        <v>359 Main St</v>
      </c>
      <c r="H1120" s="4" t="str">
        <f>'Raw Data'!H1120</f>
        <v>Credit Card</v>
      </c>
      <c r="I1120" s="4" t="str">
        <f>'Raw Data'!I1120</f>
        <v>Returned</v>
      </c>
      <c r="J1120" s="4" t="str">
        <f>'Raw Data'!J1120</f>
        <v>TRK99102265</v>
      </c>
      <c r="K1120" s="4">
        <f>'Raw Data'!K1120</f>
        <v>4</v>
      </c>
      <c r="L1120" s="4" t="str">
        <f>IF('Raw Data'!L1120="","No Coupon",'Raw Data'!L1120)</f>
        <v>No Coupon</v>
      </c>
      <c r="M1120" s="4" t="str">
        <f>'Raw Data'!M1120</f>
        <v>Email</v>
      </c>
      <c r="N1120" s="4">
        <f>'Raw Data'!N1120</f>
        <v>754.44</v>
      </c>
    </row>
    <row r="1121" spans="1:14" ht="15" customHeight="1" x14ac:dyDescent="0.2">
      <c r="A1121" s="4" t="str">
        <f>'Raw Data'!A1121</f>
        <v>ORD201119</v>
      </c>
      <c r="B1121" s="6">
        <f>'Raw Data'!B1121</f>
        <v>45620</v>
      </c>
      <c r="C1121" s="4" t="str">
        <f>'Raw Data'!C1121</f>
        <v>C99024</v>
      </c>
      <c r="D1121" s="4" t="str">
        <f>'Raw Data'!D1121</f>
        <v>Laptop</v>
      </c>
      <c r="E1121" s="4">
        <f>'Raw Data'!E1121</f>
        <v>1</v>
      </c>
      <c r="F1121" s="4">
        <f>'Raw Data'!F1121</f>
        <v>684.65</v>
      </c>
      <c r="G1121" s="4" t="str">
        <f>'Raw Data'!G1121</f>
        <v>250 Main St</v>
      </c>
      <c r="H1121" s="4" t="str">
        <f>'Raw Data'!H1121</f>
        <v>Credit Card</v>
      </c>
      <c r="I1121" s="4" t="str">
        <f>'Raw Data'!I1121</f>
        <v>Delivered</v>
      </c>
      <c r="J1121" s="4" t="str">
        <f>'Raw Data'!J1121</f>
        <v>TRK24675988</v>
      </c>
      <c r="K1121" s="4">
        <f>'Raw Data'!K1121</f>
        <v>1</v>
      </c>
      <c r="L1121" s="4" t="str">
        <f>IF('Raw Data'!L1121="","No Coupon",'Raw Data'!L1121)</f>
        <v>FREESHIP</v>
      </c>
      <c r="M1121" s="4" t="str">
        <f>'Raw Data'!M1121</f>
        <v>Email</v>
      </c>
      <c r="N1121" s="4">
        <f>'Raw Data'!N1121</f>
        <v>684.65</v>
      </c>
    </row>
    <row r="1122" spans="1:14" ht="15" customHeight="1" x14ac:dyDescent="0.2">
      <c r="A1122" s="4" t="str">
        <f>'Raw Data'!A1122</f>
        <v>ORD201120</v>
      </c>
      <c r="B1122" s="6">
        <f>'Raw Data'!B1122</f>
        <v>45787</v>
      </c>
      <c r="C1122" s="4" t="str">
        <f>'Raw Data'!C1122</f>
        <v>C22919</v>
      </c>
      <c r="D1122" s="4" t="str">
        <f>'Raw Data'!D1122</f>
        <v>Tablet</v>
      </c>
      <c r="E1122" s="4">
        <f>'Raw Data'!E1122</f>
        <v>1</v>
      </c>
      <c r="F1122" s="4">
        <f>'Raw Data'!F1122</f>
        <v>195.86</v>
      </c>
      <c r="G1122" s="4" t="str">
        <f>'Raw Data'!G1122</f>
        <v>267 Main St</v>
      </c>
      <c r="H1122" s="4" t="str">
        <f>'Raw Data'!H1122</f>
        <v>Online</v>
      </c>
      <c r="I1122" s="4" t="str">
        <f>'Raw Data'!I1122</f>
        <v>Pending</v>
      </c>
      <c r="J1122" s="4" t="str">
        <f>'Raw Data'!J1122</f>
        <v>TRK82416295</v>
      </c>
      <c r="K1122" s="4">
        <f>'Raw Data'!K1122</f>
        <v>3</v>
      </c>
      <c r="L1122" s="4" t="str">
        <f>IF('Raw Data'!L1122="","No Coupon",'Raw Data'!L1122)</f>
        <v>No Coupon</v>
      </c>
      <c r="M1122" s="4" t="str">
        <f>'Raw Data'!M1122</f>
        <v>Facebook</v>
      </c>
      <c r="N1122" s="4">
        <f>'Raw Data'!N1122</f>
        <v>195.86</v>
      </c>
    </row>
    <row r="1123" spans="1:14" ht="15" customHeight="1" x14ac:dyDescent="0.2">
      <c r="A1123" s="4" t="str">
        <f>'Raw Data'!A1123</f>
        <v>ORD201121</v>
      </c>
      <c r="B1123" s="6">
        <f>'Raw Data'!B1123</f>
        <v>45074</v>
      </c>
      <c r="C1123" s="4" t="str">
        <f>'Raw Data'!C1123</f>
        <v>C98354</v>
      </c>
      <c r="D1123" s="4" t="str">
        <f>'Raw Data'!D1123</f>
        <v>Phone</v>
      </c>
      <c r="E1123" s="4">
        <f>'Raw Data'!E1123</f>
        <v>3</v>
      </c>
      <c r="F1123" s="4">
        <f>'Raw Data'!F1123</f>
        <v>50.34</v>
      </c>
      <c r="G1123" s="4" t="str">
        <f>'Raw Data'!G1123</f>
        <v>393 Main St</v>
      </c>
      <c r="H1123" s="4" t="str">
        <f>'Raw Data'!H1123</f>
        <v>Gift Card</v>
      </c>
      <c r="I1123" s="4" t="str">
        <f>'Raw Data'!I1123</f>
        <v>Returned</v>
      </c>
      <c r="J1123" s="4" t="str">
        <f>'Raw Data'!J1123</f>
        <v>TRK43070888</v>
      </c>
      <c r="K1123" s="4">
        <f>'Raw Data'!K1123</f>
        <v>3</v>
      </c>
      <c r="L1123" s="4" t="str">
        <f>IF('Raw Data'!L1123="","No Coupon",'Raw Data'!L1123)</f>
        <v>FREESHIP</v>
      </c>
      <c r="M1123" s="4" t="str">
        <f>'Raw Data'!M1123</f>
        <v>Instagram</v>
      </c>
      <c r="N1123" s="4">
        <f>'Raw Data'!N1123</f>
        <v>151.02000000000001</v>
      </c>
    </row>
    <row r="1124" spans="1:14" ht="15" customHeight="1" x14ac:dyDescent="0.2">
      <c r="A1124" s="4" t="str">
        <f>'Raw Data'!A1124</f>
        <v>ORD201122</v>
      </c>
      <c r="B1124" s="6">
        <f>'Raw Data'!B1124</f>
        <v>45084</v>
      </c>
      <c r="C1124" s="4" t="str">
        <f>'Raw Data'!C1124</f>
        <v>C38840</v>
      </c>
      <c r="D1124" s="4" t="str">
        <f>'Raw Data'!D1124</f>
        <v>Monitor</v>
      </c>
      <c r="E1124" s="4">
        <f>'Raw Data'!E1124</f>
        <v>5</v>
      </c>
      <c r="F1124" s="4">
        <f>'Raw Data'!F1124</f>
        <v>678.19</v>
      </c>
      <c r="G1124" s="4" t="str">
        <f>'Raw Data'!G1124</f>
        <v>766 Main St</v>
      </c>
      <c r="H1124" s="4" t="str">
        <f>'Raw Data'!H1124</f>
        <v>Online</v>
      </c>
      <c r="I1124" s="4" t="str">
        <f>'Raw Data'!I1124</f>
        <v>Returned</v>
      </c>
      <c r="J1124" s="4" t="str">
        <f>'Raw Data'!J1124</f>
        <v>TRK32496970</v>
      </c>
      <c r="K1124" s="4">
        <f>'Raw Data'!K1124</f>
        <v>8</v>
      </c>
      <c r="L1124" s="4" t="str">
        <f>IF('Raw Data'!L1124="","No Coupon",'Raw Data'!L1124)</f>
        <v>No Coupon</v>
      </c>
      <c r="M1124" s="4" t="str">
        <f>'Raw Data'!M1124</f>
        <v>Facebook</v>
      </c>
      <c r="N1124" s="4">
        <f>'Raw Data'!N1124</f>
        <v>3390.95</v>
      </c>
    </row>
    <row r="1125" spans="1:14" ht="15" customHeight="1" x14ac:dyDescent="0.2">
      <c r="A1125" s="4" t="str">
        <f>'Raw Data'!A1125</f>
        <v>ORD201123</v>
      </c>
      <c r="B1125" s="6">
        <f>'Raw Data'!B1125</f>
        <v>45030</v>
      </c>
      <c r="C1125" s="4" t="str">
        <f>'Raw Data'!C1125</f>
        <v>C68936</v>
      </c>
      <c r="D1125" s="4" t="str">
        <f>'Raw Data'!D1125</f>
        <v>Tablet</v>
      </c>
      <c r="E1125" s="4">
        <f>'Raw Data'!E1125</f>
        <v>3</v>
      </c>
      <c r="F1125" s="4">
        <f>'Raw Data'!F1125</f>
        <v>554.25</v>
      </c>
      <c r="G1125" s="4" t="str">
        <f>'Raw Data'!G1125</f>
        <v>843 Main St</v>
      </c>
      <c r="H1125" s="4" t="str">
        <f>'Raw Data'!H1125</f>
        <v>Debit Card</v>
      </c>
      <c r="I1125" s="4" t="str">
        <f>'Raw Data'!I1125</f>
        <v>Shipped</v>
      </c>
      <c r="J1125" s="4" t="str">
        <f>'Raw Data'!J1125</f>
        <v>TRK73163634</v>
      </c>
      <c r="K1125" s="4">
        <f>'Raw Data'!K1125</f>
        <v>6</v>
      </c>
      <c r="L1125" s="4" t="str">
        <f>IF('Raw Data'!L1125="","No Coupon",'Raw Data'!L1125)</f>
        <v>WINTER15</v>
      </c>
      <c r="M1125" s="4" t="str">
        <f>'Raw Data'!M1125</f>
        <v>Referral</v>
      </c>
      <c r="N1125" s="4">
        <f>'Raw Data'!N1125</f>
        <v>1662.75</v>
      </c>
    </row>
    <row r="1126" spans="1:14" ht="15" customHeight="1" x14ac:dyDescent="0.2">
      <c r="A1126" s="4" t="str">
        <f>'Raw Data'!A1126</f>
        <v>ORD201124</v>
      </c>
      <c r="B1126" s="6">
        <f>'Raw Data'!B1126</f>
        <v>45055</v>
      </c>
      <c r="C1126" s="4" t="str">
        <f>'Raw Data'!C1126</f>
        <v>C33744</v>
      </c>
      <c r="D1126" s="4" t="str">
        <f>'Raw Data'!D1126</f>
        <v>Chair</v>
      </c>
      <c r="E1126" s="4">
        <f>'Raw Data'!E1126</f>
        <v>4</v>
      </c>
      <c r="F1126" s="4">
        <f>'Raw Data'!F1126</f>
        <v>576.87</v>
      </c>
      <c r="G1126" s="4" t="str">
        <f>'Raw Data'!G1126</f>
        <v>888 Main St</v>
      </c>
      <c r="H1126" s="4" t="str">
        <f>'Raw Data'!H1126</f>
        <v>Gift Card</v>
      </c>
      <c r="I1126" s="4" t="str">
        <f>'Raw Data'!I1126</f>
        <v>Returned</v>
      </c>
      <c r="J1126" s="4" t="str">
        <f>'Raw Data'!J1126</f>
        <v>TRK40245983</v>
      </c>
      <c r="K1126" s="4">
        <f>'Raw Data'!K1126</f>
        <v>5</v>
      </c>
      <c r="L1126" s="4" t="str">
        <f>IF('Raw Data'!L1126="","No Coupon",'Raw Data'!L1126)</f>
        <v>No Coupon</v>
      </c>
      <c r="M1126" s="4" t="str">
        <f>'Raw Data'!M1126</f>
        <v>Instagram</v>
      </c>
      <c r="N1126" s="4">
        <f>'Raw Data'!N1126</f>
        <v>2307.48</v>
      </c>
    </row>
    <row r="1127" spans="1:14" ht="15" customHeight="1" x14ac:dyDescent="0.2">
      <c r="A1127" s="4" t="str">
        <f>'Raw Data'!A1127</f>
        <v>ORD201125</v>
      </c>
      <c r="B1127" s="6">
        <f>'Raw Data'!B1127</f>
        <v>45215</v>
      </c>
      <c r="C1127" s="4" t="str">
        <f>'Raw Data'!C1127</f>
        <v>C23555</v>
      </c>
      <c r="D1127" s="4" t="str">
        <f>'Raw Data'!D1127</f>
        <v>Desk</v>
      </c>
      <c r="E1127" s="4">
        <f>'Raw Data'!E1127</f>
        <v>4</v>
      </c>
      <c r="F1127" s="4">
        <f>'Raw Data'!F1127</f>
        <v>408.36</v>
      </c>
      <c r="G1127" s="4" t="str">
        <f>'Raw Data'!G1127</f>
        <v>156 Main St</v>
      </c>
      <c r="H1127" s="4" t="str">
        <f>'Raw Data'!H1127</f>
        <v>Gift Card</v>
      </c>
      <c r="I1127" s="4" t="str">
        <f>'Raw Data'!I1127</f>
        <v>Cancelled</v>
      </c>
      <c r="J1127" s="4" t="str">
        <f>'Raw Data'!J1127</f>
        <v>TRK67210247</v>
      </c>
      <c r="K1127" s="4">
        <f>'Raw Data'!K1127</f>
        <v>4</v>
      </c>
      <c r="L1127" s="4" t="str">
        <f>IF('Raw Data'!L1127="","No Coupon",'Raw Data'!L1127)</f>
        <v>FREESHIP</v>
      </c>
      <c r="M1127" s="4" t="str">
        <f>'Raw Data'!M1127</f>
        <v>Referral</v>
      </c>
      <c r="N1127" s="4">
        <f>'Raw Data'!N1127</f>
        <v>1633.44</v>
      </c>
    </row>
    <row r="1128" spans="1:14" ht="15" customHeight="1" x14ac:dyDescent="0.2">
      <c r="A1128" s="4" t="str">
        <f>'Raw Data'!A1128</f>
        <v>ORD201126</v>
      </c>
      <c r="B1128" s="6">
        <f>'Raw Data'!B1128</f>
        <v>45495</v>
      </c>
      <c r="C1128" s="4" t="str">
        <f>'Raw Data'!C1128</f>
        <v>C34337</v>
      </c>
      <c r="D1128" s="4" t="str">
        <f>'Raw Data'!D1128</f>
        <v>Phone</v>
      </c>
      <c r="E1128" s="4">
        <f>'Raw Data'!E1128</f>
        <v>5</v>
      </c>
      <c r="F1128" s="4">
        <f>'Raw Data'!F1128</f>
        <v>190.11</v>
      </c>
      <c r="G1128" s="4" t="str">
        <f>'Raw Data'!G1128</f>
        <v>325 Main St</v>
      </c>
      <c r="H1128" s="4" t="str">
        <f>'Raw Data'!H1128</f>
        <v>Cash</v>
      </c>
      <c r="I1128" s="4" t="str">
        <f>'Raw Data'!I1128</f>
        <v>Delivered</v>
      </c>
      <c r="J1128" s="4" t="str">
        <f>'Raw Data'!J1128</f>
        <v>TRK36195559</v>
      </c>
      <c r="K1128" s="4">
        <f>'Raw Data'!K1128</f>
        <v>7</v>
      </c>
      <c r="L1128" s="4" t="str">
        <f>IF('Raw Data'!L1128="","No Coupon",'Raw Data'!L1128)</f>
        <v>SAVE10</v>
      </c>
      <c r="M1128" s="4" t="str">
        <f>'Raw Data'!M1128</f>
        <v>Google</v>
      </c>
      <c r="N1128" s="4">
        <f>'Raw Data'!N1128</f>
        <v>950.55</v>
      </c>
    </row>
    <row r="1129" spans="1:14" ht="15" customHeight="1" x14ac:dyDescent="0.2">
      <c r="A1129" s="4" t="str">
        <f>'Raw Data'!A1129</f>
        <v>ORD201127</v>
      </c>
      <c r="B1129" s="6">
        <f>'Raw Data'!B1129</f>
        <v>45731</v>
      </c>
      <c r="C1129" s="4" t="str">
        <f>'Raw Data'!C1129</f>
        <v>C69396</v>
      </c>
      <c r="D1129" s="4" t="str">
        <f>'Raw Data'!D1129</f>
        <v>Printer</v>
      </c>
      <c r="E1129" s="4">
        <f>'Raw Data'!E1129</f>
        <v>3</v>
      </c>
      <c r="F1129" s="4">
        <f>'Raw Data'!F1129</f>
        <v>602.75</v>
      </c>
      <c r="G1129" s="4" t="str">
        <f>'Raw Data'!G1129</f>
        <v>920 Main St</v>
      </c>
      <c r="H1129" s="4" t="str">
        <f>'Raw Data'!H1129</f>
        <v>Credit Card</v>
      </c>
      <c r="I1129" s="4" t="str">
        <f>'Raw Data'!I1129</f>
        <v>Shipped</v>
      </c>
      <c r="J1129" s="4" t="str">
        <f>'Raw Data'!J1129</f>
        <v>TRK33155049</v>
      </c>
      <c r="K1129" s="4">
        <f>'Raw Data'!K1129</f>
        <v>6</v>
      </c>
      <c r="L1129" s="4" t="str">
        <f>IF('Raw Data'!L1129="","No Coupon",'Raw Data'!L1129)</f>
        <v>SAVE10</v>
      </c>
      <c r="M1129" s="4" t="str">
        <f>'Raw Data'!M1129</f>
        <v>Email</v>
      </c>
      <c r="N1129" s="4">
        <f>'Raw Data'!N1129</f>
        <v>1808.25</v>
      </c>
    </row>
    <row r="1130" spans="1:14" ht="15" customHeight="1" x14ac:dyDescent="0.2">
      <c r="A1130" s="4" t="str">
        <f>'Raw Data'!A1130</f>
        <v>ORD201128</v>
      </c>
      <c r="B1130" s="6">
        <f>'Raw Data'!B1130</f>
        <v>45155</v>
      </c>
      <c r="C1130" s="4" t="str">
        <f>'Raw Data'!C1130</f>
        <v>C49198</v>
      </c>
      <c r="D1130" s="4" t="str">
        <f>'Raw Data'!D1130</f>
        <v>Monitor</v>
      </c>
      <c r="E1130" s="4">
        <f>'Raw Data'!E1130</f>
        <v>3</v>
      </c>
      <c r="F1130" s="4">
        <f>'Raw Data'!F1130</f>
        <v>646.79</v>
      </c>
      <c r="G1130" s="4" t="str">
        <f>'Raw Data'!G1130</f>
        <v>447 Main St</v>
      </c>
      <c r="H1130" s="4" t="str">
        <f>'Raw Data'!H1130</f>
        <v>Cash</v>
      </c>
      <c r="I1130" s="4" t="str">
        <f>'Raw Data'!I1130</f>
        <v>Cancelled</v>
      </c>
      <c r="J1130" s="4" t="str">
        <f>'Raw Data'!J1130</f>
        <v>TRK10883354</v>
      </c>
      <c r="K1130" s="4">
        <f>'Raw Data'!K1130</f>
        <v>5</v>
      </c>
      <c r="L1130" s="4" t="str">
        <f>IF('Raw Data'!L1130="","No Coupon",'Raw Data'!L1130)</f>
        <v>WINTER15</v>
      </c>
      <c r="M1130" s="4" t="str">
        <f>'Raw Data'!M1130</f>
        <v>Google</v>
      </c>
      <c r="N1130" s="4">
        <f>'Raw Data'!N1130</f>
        <v>1940.37</v>
      </c>
    </row>
    <row r="1131" spans="1:14" ht="15" customHeight="1" x14ac:dyDescent="0.2">
      <c r="A1131" s="4" t="str">
        <f>'Raw Data'!A1131</f>
        <v>ORD201129</v>
      </c>
      <c r="B1131" s="6">
        <f>'Raw Data'!B1131</f>
        <v>45088</v>
      </c>
      <c r="C1131" s="4" t="str">
        <f>'Raw Data'!C1131</f>
        <v>C43911</v>
      </c>
      <c r="D1131" s="4" t="str">
        <f>'Raw Data'!D1131</f>
        <v>Chair</v>
      </c>
      <c r="E1131" s="4">
        <f>'Raw Data'!E1131</f>
        <v>4</v>
      </c>
      <c r="F1131" s="4">
        <f>'Raw Data'!F1131</f>
        <v>418.71</v>
      </c>
      <c r="G1131" s="4" t="str">
        <f>'Raw Data'!G1131</f>
        <v>239 Main St</v>
      </c>
      <c r="H1131" s="4" t="str">
        <f>'Raw Data'!H1131</f>
        <v>Cash</v>
      </c>
      <c r="I1131" s="4" t="str">
        <f>'Raw Data'!I1131</f>
        <v>Pending</v>
      </c>
      <c r="J1131" s="4" t="str">
        <f>'Raw Data'!J1131</f>
        <v>TRK37495481</v>
      </c>
      <c r="K1131" s="4">
        <f>'Raw Data'!K1131</f>
        <v>8</v>
      </c>
      <c r="L1131" s="4" t="str">
        <f>IF('Raw Data'!L1131="","No Coupon",'Raw Data'!L1131)</f>
        <v>FREESHIP</v>
      </c>
      <c r="M1131" s="4" t="str">
        <f>'Raw Data'!M1131</f>
        <v>Instagram</v>
      </c>
      <c r="N1131" s="4">
        <f>'Raw Data'!N1131</f>
        <v>1674.84</v>
      </c>
    </row>
    <row r="1132" spans="1:14" ht="15" customHeight="1" x14ac:dyDescent="0.2">
      <c r="A1132" s="4" t="str">
        <f>'Raw Data'!A1132</f>
        <v>ORD201130</v>
      </c>
      <c r="B1132" s="6">
        <f>'Raw Data'!B1132</f>
        <v>45704</v>
      </c>
      <c r="C1132" s="4" t="str">
        <f>'Raw Data'!C1132</f>
        <v>C24347</v>
      </c>
      <c r="D1132" s="4" t="str">
        <f>'Raw Data'!D1132</f>
        <v>Laptop</v>
      </c>
      <c r="E1132" s="4">
        <f>'Raw Data'!E1132</f>
        <v>2</v>
      </c>
      <c r="F1132" s="4">
        <f>'Raw Data'!F1132</f>
        <v>323.45</v>
      </c>
      <c r="G1132" s="4" t="str">
        <f>'Raw Data'!G1132</f>
        <v>533 Main St</v>
      </c>
      <c r="H1132" s="4" t="str">
        <f>'Raw Data'!H1132</f>
        <v>Credit Card</v>
      </c>
      <c r="I1132" s="4" t="str">
        <f>'Raw Data'!I1132</f>
        <v>Returned</v>
      </c>
      <c r="J1132" s="4" t="str">
        <f>'Raw Data'!J1132</f>
        <v>TRK27233265</v>
      </c>
      <c r="K1132" s="4">
        <f>'Raw Data'!K1132</f>
        <v>5</v>
      </c>
      <c r="L1132" s="4" t="str">
        <f>IF('Raw Data'!L1132="","No Coupon",'Raw Data'!L1132)</f>
        <v>FREESHIP</v>
      </c>
      <c r="M1132" s="4" t="str">
        <f>'Raw Data'!M1132</f>
        <v>Instagram</v>
      </c>
      <c r="N1132" s="4">
        <f>'Raw Data'!N1132</f>
        <v>646.9</v>
      </c>
    </row>
    <row r="1133" spans="1:14" ht="15" customHeight="1" x14ac:dyDescent="0.2">
      <c r="A1133" s="4" t="str">
        <f>'Raw Data'!A1133</f>
        <v>ORD201131</v>
      </c>
      <c r="B1133" s="6">
        <f>'Raw Data'!B1133</f>
        <v>45491</v>
      </c>
      <c r="C1133" s="4" t="str">
        <f>'Raw Data'!C1133</f>
        <v>C21043</v>
      </c>
      <c r="D1133" s="4" t="str">
        <f>'Raw Data'!D1133</f>
        <v>Phone</v>
      </c>
      <c r="E1133" s="4">
        <f>'Raw Data'!E1133</f>
        <v>1</v>
      </c>
      <c r="F1133" s="4">
        <f>'Raw Data'!F1133</f>
        <v>694.5</v>
      </c>
      <c r="G1133" s="4" t="str">
        <f>'Raw Data'!G1133</f>
        <v>195 Main St</v>
      </c>
      <c r="H1133" s="4" t="str">
        <f>'Raw Data'!H1133</f>
        <v>Credit Card</v>
      </c>
      <c r="I1133" s="4" t="str">
        <f>'Raw Data'!I1133</f>
        <v>Pending</v>
      </c>
      <c r="J1133" s="4" t="str">
        <f>'Raw Data'!J1133</f>
        <v>TRK41691086</v>
      </c>
      <c r="K1133" s="4">
        <f>'Raw Data'!K1133</f>
        <v>3</v>
      </c>
      <c r="L1133" s="4" t="str">
        <f>IF('Raw Data'!L1133="","No Coupon",'Raw Data'!L1133)</f>
        <v>WINTER15</v>
      </c>
      <c r="M1133" s="4" t="str">
        <f>'Raw Data'!M1133</f>
        <v>Facebook</v>
      </c>
      <c r="N1133" s="4">
        <f>'Raw Data'!N1133</f>
        <v>694.5</v>
      </c>
    </row>
    <row r="1134" spans="1:14" ht="15" customHeight="1" x14ac:dyDescent="0.2">
      <c r="A1134" s="4" t="str">
        <f>'Raw Data'!A1134</f>
        <v>ORD201132</v>
      </c>
      <c r="B1134" s="6">
        <f>'Raw Data'!B1134</f>
        <v>45628</v>
      </c>
      <c r="C1134" s="4" t="str">
        <f>'Raw Data'!C1134</f>
        <v>C58858</v>
      </c>
      <c r="D1134" s="4" t="str">
        <f>'Raw Data'!D1134</f>
        <v>Chair</v>
      </c>
      <c r="E1134" s="4">
        <f>'Raw Data'!E1134</f>
        <v>2</v>
      </c>
      <c r="F1134" s="4">
        <f>'Raw Data'!F1134</f>
        <v>337.32</v>
      </c>
      <c r="G1134" s="4" t="str">
        <f>'Raw Data'!G1134</f>
        <v>948 Main St</v>
      </c>
      <c r="H1134" s="4" t="str">
        <f>'Raw Data'!H1134</f>
        <v>Credit Card</v>
      </c>
      <c r="I1134" s="4" t="str">
        <f>'Raw Data'!I1134</f>
        <v>Cancelled</v>
      </c>
      <c r="J1134" s="4" t="str">
        <f>'Raw Data'!J1134</f>
        <v>TRK30406357</v>
      </c>
      <c r="K1134" s="4">
        <f>'Raw Data'!K1134</f>
        <v>4</v>
      </c>
      <c r="L1134" s="4" t="str">
        <f>IF('Raw Data'!L1134="","No Coupon",'Raw Data'!L1134)</f>
        <v>SAVE10</v>
      </c>
      <c r="M1134" s="4" t="str">
        <f>'Raw Data'!M1134</f>
        <v>Email</v>
      </c>
      <c r="N1134" s="4">
        <f>'Raw Data'!N1134</f>
        <v>674.64</v>
      </c>
    </row>
    <row r="1135" spans="1:14" ht="15" customHeight="1" x14ac:dyDescent="0.2">
      <c r="A1135" s="4" t="str">
        <f>'Raw Data'!A1135</f>
        <v>ORD201133</v>
      </c>
      <c r="B1135" s="6">
        <f>'Raw Data'!B1135</f>
        <v>45391</v>
      </c>
      <c r="C1135" s="4" t="str">
        <f>'Raw Data'!C1135</f>
        <v>C20670</v>
      </c>
      <c r="D1135" s="4" t="str">
        <f>'Raw Data'!D1135</f>
        <v>Printer</v>
      </c>
      <c r="E1135" s="4">
        <f>'Raw Data'!E1135</f>
        <v>2</v>
      </c>
      <c r="F1135" s="4">
        <f>'Raw Data'!F1135</f>
        <v>467.91</v>
      </c>
      <c r="G1135" s="4" t="str">
        <f>'Raw Data'!G1135</f>
        <v>432 Main St</v>
      </c>
      <c r="H1135" s="4" t="str">
        <f>'Raw Data'!H1135</f>
        <v>Gift Card</v>
      </c>
      <c r="I1135" s="4" t="str">
        <f>'Raw Data'!I1135</f>
        <v>Returned</v>
      </c>
      <c r="J1135" s="4" t="str">
        <f>'Raw Data'!J1135</f>
        <v>TRK76731303</v>
      </c>
      <c r="K1135" s="4">
        <f>'Raw Data'!K1135</f>
        <v>5</v>
      </c>
      <c r="L1135" s="4" t="str">
        <f>IF('Raw Data'!L1135="","No Coupon",'Raw Data'!L1135)</f>
        <v>WINTER15</v>
      </c>
      <c r="M1135" s="4" t="str">
        <f>'Raw Data'!M1135</f>
        <v>Facebook</v>
      </c>
      <c r="N1135" s="4">
        <f>'Raw Data'!N1135</f>
        <v>935.82</v>
      </c>
    </row>
    <row r="1136" spans="1:14" ht="15" customHeight="1" x14ac:dyDescent="0.2">
      <c r="A1136" s="4" t="str">
        <f>'Raw Data'!A1136</f>
        <v>ORD201134</v>
      </c>
      <c r="B1136" s="6">
        <f>'Raw Data'!B1136</f>
        <v>45451</v>
      </c>
      <c r="C1136" s="4" t="str">
        <f>'Raw Data'!C1136</f>
        <v>C90993</v>
      </c>
      <c r="D1136" s="4" t="str">
        <f>'Raw Data'!D1136</f>
        <v>Desk</v>
      </c>
      <c r="E1136" s="4">
        <f>'Raw Data'!E1136</f>
        <v>4</v>
      </c>
      <c r="F1136" s="4">
        <f>'Raw Data'!F1136</f>
        <v>38.28</v>
      </c>
      <c r="G1136" s="4" t="str">
        <f>'Raw Data'!G1136</f>
        <v>950 Main St</v>
      </c>
      <c r="H1136" s="4" t="str">
        <f>'Raw Data'!H1136</f>
        <v>Debit Card</v>
      </c>
      <c r="I1136" s="4" t="str">
        <f>'Raw Data'!I1136</f>
        <v>Cancelled</v>
      </c>
      <c r="J1136" s="4" t="str">
        <f>'Raw Data'!J1136</f>
        <v>TRK53964711</v>
      </c>
      <c r="K1136" s="4">
        <f>'Raw Data'!K1136</f>
        <v>4</v>
      </c>
      <c r="L1136" s="4" t="str">
        <f>IF('Raw Data'!L1136="","No Coupon",'Raw Data'!L1136)</f>
        <v>WINTER15</v>
      </c>
      <c r="M1136" s="4" t="str">
        <f>'Raw Data'!M1136</f>
        <v>Facebook</v>
      </c>
      <c r="N1136" s="4">
        <f>'Raw Data'!N1136</f>
        <v>153.12</v>
      </c>
    </row>
    <row r="1137" spans="1:14" ht="15" customHeight="1" x14ac:dyDescent="0.2">
      <c r="A1137" s="4" t="str">
        <f>'Raw Data'!A1137</f>
        <v>ORD201135</v>
      </c>
      <c r="B1137" s="6">
        <f>'Raw Data'!B1137</f>
        <v>45288</v>
      </c>
      <c r="C1137" s="4" t="str">
        <f>'Raw Data'!C1137</f>
        <v>C11473</v>
      </c>
      <c r="D1137" s="4" t="str">
        <f>'Raw Data'!D1137</f>
        <v>Printer</v>
      </c>
      <c r="E1137" s="4">
        <f>'Raw Data'!E1137</f>
        <v>2</v>
      </c>
      <c r="F1137" s="4">
        <f>'Raw Data'!F1137</f>
        <v>73.41</v>
      </c>
      <c r="G1137" s="4" t="str">
        <f>'Raw Data'!G1137</f>
        <v>562 Main St</v>
      </c>
      <c r="H1137" s="4" t="str">
        <f>'Raw Data'!H1137</f>
        <v>Online</v>
      </c>
      <c r="I1137" s="4" t="str">
        <f>'Raw Data'!I1137</f>
        <v>Shipped</v>
      </c>
      <c r="J1137" s="4" t="str">
        <f>'Raw Data'!J1137</f>
        <v>TRK97793275</v>
      </c>
      <c r="K1137" s="4">
        <f>'Raw Data'!K1137</f>
        <v>2</v>
      </c>
      <c r="L1137" s="4" t="str">
        <f>IF('Raw Data'!L1137="","No Coupon",'Raw Data'!L1137)</f>
        <v>SAVE10</v>
      </c>
      <c r="M1137" s="4" t="str">
        <f>'Raw Data'!M1137</f>
        <v>Google</v>
      </c>
      <c r="N1137" s="4">
        <f>'Raw Data'!N1137</f>
        <v>146.82</v>
      </c>
    </row>
    <row r="1138" spans="1:14" ht="15" customHeight="1" x14ac:dyDescent="0.2">
      <c r="A1138" s="4" t="str">
        <f>'Raw Data'!A1138</f>
        <v>ORD201136</v>
      </c>
      <c r="B1138" s="6">
        <f>'Raw Data'!B1138</f>
        <v>45193</v>
      </c>
      <c r="C1138" s="4" t="str">
        <f>'Raw Data'!C1138</f>
        <v>C71899</v>
      </c>
      <c r="D1138" s="4" t="str">
        <f>'Raw Data'!D1138</f>
        <v>Tablet</v>
      </c>
      <c r="E1138" s="4">
        <f>'Raw Data'!E1138</f>
        <v>3</v>
      </c>
      <c r="F1138" s="4">
        <f>'Raw Data'!F1138</f>
        <v>668.33</v>
      </c>
      <c r="G1138" s="4" t="str">
        <f>'Raw Data'!G1138</f>
        <v>799 Main St</v>
      </c>
      <c r="H1138" s="4" t="str">
        <f>'Raw Data'!H1138</f>
        <v>Gift Card</v>
      </c>
      <c r="I1138" s="4" t="str">
        <f>'Raw Data'!I1138</f>
        <v>Pending</v>
      </c>
      <c r="J1138" s="4" t="str">
        <f>'Raw Data'!J1138</f>
        <v>TRK34856025</v>
      </c>
      <c r="K1138" s="4">
        <f>'Raw Data'!K1138</f>
        <v>4</v>
      </c>
      <c r="L1138" s="4" t="str">
        <f>IF('Raw Data'!L1138="","No Coupon",'Raw Data'!L1138)</f>
        <v>WINTER15</v>
      </c>
      <c r="M1138" s="4" t="str">
        <f>'Raw Data'!M1138</f>
        <v>Facebook</v>
      </c>
      <c r="N1138" s="4">
        <f>'Raw Data'!N1138</f>
        <v>2004.99</v>
      </c>
    </row>
    <row r="1139" spans="1:14" ht="15" customHeight="1" x14ac:dyDescent="0.2">
      <c r="A1139" s="4" t="str">
        <f>'Raw Data'!A1139</f>
        <v>ORD201137</v>
      </c>
      <c r="B1139" s="6">
        <f>'Raw Data'!B1139</f>
        <v>45502</v>
      </c>
      <c r="C1139" s="4" t="str">
        <f>'Raw Data'!C1139</f>
        <v>C48577</v>
      </c>
      <c r="D1139" s="4" t="str">
        <f>'Raw Data'!D1139</f>
        <v>Printer</v>
      </c>
      <c r="E1139" s="4">
        <f>'Raw Data'!E1139</f>
        <v>4</v>
      </c>
      <c r="F1139" s="4">
        <f>'Raw Data'!F1139</f>
        <v>410.21</v>
      </c>
      <c r="G1139" s="4" t="str">
        <f>'Raw Data'!G1139</f>
        <v>841 Main St</v>
      </c>
      <c r="H1139" s="4" t="str">
        <f>'Raw Data'!H1139</f>
        <v>Cash</v>
      </c>
      <c r="I1139" s="4" t="str">
        <f>'Raw Data'!I1139</f>
        <v>Pending</v>
      </c>
      <c r="J1139" s="4" t="str">
        <f>'Raw Data'!J1139</f>
        <v>TRK59911645</v>
      </c>
      <c r="K1139" s="4">
        <f>'Raw Data'!K1139</f>
        <v>5</v>
      </c>
      <c r="L1139" s="4" t="str">
        <f>IF('Raw Data'!L1139="","No Coupon",'Raw Data'!L1139)</f>
        <v>WINTER15</v>
      </c>
      <c r="M1139" s="4" t="str">
        <f>'Raw Data'!M1139</f>
        <v>Instagram</v>
      </c>
      <c r="N1139" s="4">
        <f>'Raw Data'!N1139</f>
        <v>1640.84</v>
      </c>
    </row>
    <row r="1140" spans="1:14" ht="15" customHeight="1" x14ac:dyDescent="0.2">
      <c r="A1140" s="4" t="str">
        <f>'Raw Data'!A1140</f>
        <v>ORD201138</v>
      </c>
      <c r="B1140" s="6">
        <f>'Raw Data'!B1140</f>
        <v>45278</v>
      </c>
      <c r="C1140" s="4" t="str">
        <f>'Raw Data'!C1140</f>
        <v>C13100</v>
      </c>
      <c r="D1140" s="4" t="str">
        <f>'Raw Data'!D1140</f>
        <v>Desk</v>
      </c>
      <c r="E1140" s="4">
        <f>'Raw Data'!E1140</f>
        <v>4</v>
      </c>
      <c r="F1140" s="4">
        <f>'Raw Data'!F1140</f>
        <v>294.41000000000003</v>
      </c>
      <c r="G1140" s="4" t="str">
        <f>'Raw Data'!G1140</f>
        <v>188 Main St</v>
      </c>
      <c r="H1140" s="4" t="str">
        <f>'Raw Data'!H1140</f>
        <v>Debit Card</v>
      </c>
      <c r="I1140" s="4" t="str">
        <f>'Raw Data'!I1140</f>
        <v>Pending</v>
      </c>
      <c r="J1140" s="4" t="str">
        <f>'Raw Data'!J1140</f>
        <v>TRK55565668</v>
      </c>
      <c r="K1140" s="4">
        <f>'Raw Data'!K1140</f>
        <v>4</v>
      </c>
      <c r="L1140" s="4" t="str">
        <f>IF('Raw Data'!L1140="","No Coupon",'Raw Data'!L1140)</f>
        <v>No Coupon</v>
      </c>
      <c r="M1140" s="4" t="str">
        <f>'Raw Data'!M1140</f>
        <v>Instagram</v>
      </c>
      <c r="N1140" s="4">
        <f>'Raw Data'!N1140</f>
        <v>1177.6400000000001</v>
      </c>
    </row>
    <row r="1141" spans="1:14" ht="15" customHeight="1" x14ac:dyDescent="0.2">
      <c r="A1141" s="4" t="str">
        <f>'Raw Data'!A1141</f>
        <v>ORD201139</v>
      </c>
      <c r="B1141" s="6">
        <f>'Raw Data'!B1141</f>
        <v>45717</v>
      </c>
      <c r="C1141" s="4" t="str">
        <f>'Raw Data'!C1141</f>
        <v>C70659</v>
      </c>
      <c r="D1141" s="4" t="str">
        <f>'Raw Data'!D1141</f>
        <v>Chair</v>
      </c>
      <c r="E1141" s="4">
        <f>'Raw Data'!E1141</f>
        <v>3</v>
      </c>
      <c r="F1141" s="4">
        <f>'Raw Data'!F1141</f>
        <v>501.82</v>
      </c>
      <c r="G1141" s="4" t="str">
        <f>'Raw Data'!G1141</f>
        <v>568 Main St</v>
      </c>
      <c r="H1141" s="4" t="str">
        <f>'Raw Data'!H1141</f>
        <v>Gift Card</v>
      </c>
      <c r="I1141" s="4" t="str">
        <f>'Raw Data'!I1141</f>
        <v>Cancelled</v>
      </c>
      <c r="J1141" s="4" t="str">
        <f>'Raw Data'!J1141</f>
        <v>TRK28290825</v>
      </c>
      <c r="K1141" s="4">
        <f>'Raw Data'!K1141</f>
        <v>4</v>
      </c>
      <c r="L1141" s="4" t="str">
        <f>IF('Raw Data'!L1141="","No Coupon",'Raw Data'!L1141)</f>
        <v>FREESHIP</v>
      </c>
      <c r="M1141" s="4" t="str">
        <f>'Raw Data'!M1141</f>
        <v>Email</v>
      </c>
      <c r="N1141" s="4">
        <f>'Raw Data'!N1141</f>
        <v>1505.46</v>
      </c>
    </row>
    <row r="1142" spans="1:14" ht="15" customHeight="1" x14ac:dyDescent="0.2">
      <c r="A1142" s="4" t="str">
        <f>'Raw Data'!A1142</f>
        <v>ORD201140</v>
      </c>
      <c r="B1142" s="6">
        <f>'Raw Data'!B1142</f>
        <v>45467</v>
      </c>
      <c r="C1142" s="4" t="str">
        <f>'Raw Data'!C1142</f>
        <v>C49838</v>
      </c>
      <c r="D1142" s="4" t="str">
        <f>'Raw Data'!D1142</f>
        <v>Printer</v>
      </c>
      <c r="E1142" s="4">
        <f>'Raw Data'!E1142</f>
        <v>2</v>
      </c>
      <c r="F1142" s="4">
        <f>'Raw Data'!F1142</f>
        <v>552.83000000000004</v>
      </c>
      <c r="G1142" s="4" t="str">
        <f>'Raw Data'!G1142</f>
        <v>904 Main St</v>
      </c>
      <c r="H1142" s="4" t="str">
        <f>'Raw Data'!H1142</f>
        <v>Credit Card</v>
      </c>
      <c r="I1142" s="4" t="str">
        <f>'Raw Data'!I1142</f>
        <v>Cancelled</v>
      </c>
      <c r="J1142" s="4" t="str">
        <f>'Raw Data'!J1142</f>
        <v>TRK38297718</v>
      </c>
      <c r="K1142" s="4">
        <f>'Raw Data'!K1142</f>
        <v>3</v>
      </c>
      <c r="L1142" s="4" t="str">
        <f>IF('Raw Data'!L1142="","No Coupon",'Raw Data'!L1142)</f>
        <v>No Coupon</v>
      </c>
      <c r="M1142" s="4" t="str">
        <f>'Raw Data'!M1142</f>
        <v>Referral</v>
      </c>
      <c r="N1142" s="4">
        <f>'Raw Data'!N1142</f>
        <v>1105.6600000000001</v>
      </c>
    </row>
    <row r="1143" spans="1:14" ht="15" customHeight="1" x14ac:dyDescent="0.2">
      <c r="A1143" s="4" t="str">
        <f>'Raw Data'!A1143</f>
        <v>ORD201141</v>
      </c>
      <c r="B1143" s="6">
        <f>'Raw Data'!B1143</f>
        <v>45704</v>
      </c>
      <c r="C1143" s="4" t="str">
        <f>'Raw Data'!C1143</f>
        <v>C11998</v>
      </c>
      <c r="D1143" s="4" t="str">
        <f>'Raw Data'!D1143</f>
        <v>Chair</v>
      </c>
      <c r="E1143" s="4">
        <f>'Raw Data'!E1143</f>
        <v>3</v>
      </c>
      <c r="F1143" s="4">
        <f>'Raw Data'!F1143</f>
        <v>498.66</v>
      </c>
      <c r="G1143" s="4" t="str">
        <f>'Raw Data'!G1143</f>
        <v>382 Main St</v>
      </c>
      <c r="H1143" s="4" t="str">
        <f>'Raw Data'!H1143</f>
        <v>Cash</v>
      </c>
      <c r="I1143" s="4" t="str">
        <f>'Raw Data'!I1143</f>
        <v>Cancelled</v>
      </c>
      <c r="J1143" s="4" t="str">
        <f>'Raw Data'!J1143</f>
        <v>TRK26707221</v>
      </c>
      <c r="K1143" s="4">
        <f>'Raw Data'!K1143</f>
        <v>6</v>
      </c>
      <c r="L1143" s="4" t="str">
        <f>IF('Raw Data'!L1143="","No Coupon",'Raw Data'!L1143)</f>
        <v>No Coupon</v>
      </c>
      <c r="M1143" s="4" t="str">
        <f>'Raw Data'!M1143</f>
        <v>Email</v>
      </c>
      <c r="N1143" s="4">
        <f>'Raw Data'!N1143</f>
        <v>1495.98</v>
      </c>
    </row>
    <row r="1144" spans="1:14" ht="15" customHeight="1" x14ac:dyDescent="0.2">
      <c r="A1144" s="4" t="str">
        <f>'Raw Data'!A1144</f>
        <v>ORD201142</v>
      </c>
      <c r="B1144" s="6">
        <f>'Raw Data'!B1144</f>
        <v>45527</v>
      </c>
      <c r="C1144" s="4" t="str">
        <f>'Raw Data'!C1144</f>
        <v>C23405</v>
      </c>
      <c r="D1144" s="4" t="str">
        <f>'Raw Data'!D1144</f>
        <v>Phone</v>
      </c>
      <c r="E1144" s="4">
        <f>'Raw Data'!E1144</f>
        <v>4</v>
      </c>
      <c r="F1144" s="4">
        <f>'Raw Data'!F1144</f>
        <v>695.1</v>
      </c>
      <c r="G1144" s="4" t="str">
        <f>'Raw Data'!G1144</f>
        <v>484 Main St</v>
      </c>
      <c r="H1144" s="4" t="str">
        <f>'Raw Data'!H1144</f>
        <v>Debit Card</v>
      </c>
      <c r="I1144" s="4" t="str">
        <f>'Raw Data'!I1144</f>
        <v>Returned</v>
      </c>
      <c r="J1144" s="4" t="str">
        <f>'Raw Data'!J1144</f>
        <v>TRK83678708</v>
      </c>
      <c r="K1144" s="4">
        <f>'Raw Data'!K1144</f>
        <v>8</v>
      </c>
      <c r="L1144" s="4" t="str">
        <f>IF('Raw Data'!L1144="","No Coupon",'Raw Data'!L1144)</f>
        <v>No Coupon</v>
      </c>
      <c r="M1144" s="4" t="str">
        <f>'Raw Data'!M1144</f>
        <v>Email</v>
      </c>
      <c r="N1144" s="4">
        <f>'Raw Data'!N1144</f>
        <v>2780.4</v>
      </c>
    </row>
    <row r="1145" spans="1:14" ht="15" customHeight="1" x14ac:dyDescent="0.2">
      <c r="A1145" s="4" t="str">
        <f>'Raw Data'!A1145</f>
        <v>ORD201143</v>
      </c>
      <c r="B1145" s="6">
        <f>'Raw Data'!B1145</f>
        <v>45019</v>
      </c>
      <c r="C1145" s="4" t="str">
        <f>'Raw Data'!C1145</f>
        <v>C41132</v>
      </c>
      <c r="D1145" s="4" t="str">
        <f>'Raw Data'!D1145</f>
        <v>Chair</v>
      </c>
      <c r="E1145" s="4">
        <f>'Raw Data'!E1145</f>
        <v>1</v>
      </c>
      <c r="F1145" s="4">
        <f>'Raw Data'!F1145</f>
        <v>381.61</v>
      </c>
      <c r="G1145" s="4" t="str">
        <f>'Raw Data'!G1145</f>
        <v>114 Main St</v>
      </c>
      <c r="H1145" s="4" t="str">
        <f>'Raw Data'!H1145</f>
        <v>Debit Card</v>
      </c>
      <c r="I1145" s="4" t="str">
        <f>'Raw Data'!I1145</f>
        <v>Pending</v>
      </c>
      <c r="J1145" s="4" t="str">
        <f>'Raw Data'!J1145</f>
        <v>TRK51040137</v>
      </c>
      <c r="K1145" s="4">
        <f>'Raw Data'!K1145</f>
        <v>5</v>
      </c>
      <c r="L1145" s="4" t="str">
        <f>IF('Raw Data'!L1145="","No Coupon",'Raw Data'!L1145)</f>
        <v>No Coupon</v>
      </c>
      <c r="M1145" s="4" t="str">
        <f>'Raw Data'!M1145</f>
        <v>Email</v>
      </c>
      <c r="N1145" s="4">
        <f>'Raw Data'!N1145</f>
        <v>381.61</v>
      </c>
    </row>
    <row r="1146" spans="1:14" ht="15" customHeight="1" x14ac:dyDescent="0.2">
      <c r="A1146" s="4" t="str">
        <f>'Raw Data'!A1146</f>
        <v>ORD201144</v>
      </c>
      <c r="B1146" s="6">
        <f>'Raw Data'!B1146</f>
        <v>44973</v>
      </c>
      <c r="C1146" s="4" t="str">
        <f>'Raw Data'!C1146</f>
        <v>C88463</v>
      </c>
      <c r="D1146" s="4" t="str">
        <f>'Raw Data'!D1146</f>
        <v>Desk</v>
      </c>
      <c r="E1146" s="4">
        <f>'Raw Data'!E1146</f>
        <v>5</v>
      </c>
      <c r="F1146" s="4">
        <f>'Raw Data'!F1146</f>
        <v>507.94</v>
      </c>
      <c r="G1146" s="4" t="str">
        <f>'Raw Data'!G1146</f>
        <v>292 Main St</v>
      </c>
      <c r="H1146" s="4" t="str">
        <f>'Raw Data'!H1146</f>
        <v>Online</v>
      </c>
      <c r="I1146" s="4" t="str">
        <f>'Raw Data'!I1146</f>
        <v>Cancelled</v>
      </c>
      <c r="J1146" s="4" t="str">
        <f>'Raw Data'!J1146</f>
        <v>TRK88749996</v>
      </c>
      <c r="K1146" s="4">
        <f>'Raw Data'!K1146</f>
        <v>9</v>
      </c>
      <c r="L1146" s="4" t="str">
        <f>IF('Raw Data'!L1146="","No Coupon",'Raw Data'!L1146)</f>
        <v>No Coupon</v>
      </c>
      <c r="M1146" s="4" t="str">
        <f>'Raw Data'!M1146</f>
        <v>Facebook</v>
      </c>
      <c r="N1146" s="4">
        <f>'Raw Data'!N1146</f>
        <v>2539.6999999999998</v>
      </c>
    </row>
    <row r="1147" spans="1:14" ht="15" customHeight="1" x14ac:dyDescent="0.2">
      <c r="A1147" s="4" t="str">
        <f>'Raw Data'!A1147</f>
        <v>ORD201145</v>
      </c>
      <c r="B1147" s="6">
        <f>'Raw Data'!B1147</f>
        <v>45789</v>
      </c>
      <c r="C1147" s="4" t="str">
        <f>'Raw Data'!C1147</f>
        <v>C28152</v>
      </c>
      <c r="D1147" s="4" t="str">
        <f>'Raw Data'!D1147</f>
        <v>Desk</v>
      </c>
      <c r="E1147" s="4">
        <f>'Raw Data'!E1147</f>
        <v>3</v>
      </c>
      <c r="F1147" s="4">
        <f>'Raw Data'!F1147</f>
        <v>571.53</v>
      </c>
      <c r="G1147" s="4" t="str">
        <f>'Raw Data'!G1147</f>
        <v>821 Main St</v>
      </c>
      <c r="H1147" s="4" t="str">
        <f>'Raw Data'!H1147</f>
        <v>Debit Card</v>
      </c>
      <c r="I1147" s="4" t="str">
        <f>'Raw Data'!I1147</f>
        <v>Delivered</v>
      </c>
      <c r="J1147" s="4" t="str">
        <f>'Raw Data'!J1147</f>
        <v>TRK59642814</v>
      </c>
      <c r="K1147" s="4">
        <f>'Raw Data'!K1147</f>
        <v>6</v>
      </c>
      <c r="L1147" s="4" t="str">
        <f>IF('Raw Data'!L1147="","No Coupon",'Raw Data'!L1147)</f>
        <v>FREESHIP</v>
      </c>
      <c r="M1147" s="4" t="str">
        <f>'Raw Data'!M1147</f>
        <v>Facebook</v>
      </c>
      <c r="N1147" s="4">
        <f>'Raw Data'!N1147</f>
        <v>1714.59</v>
      </c>
    </row>
    <row r="1148" spans="1:14" ht="15" customHeight="1" x14ac:dyDescent="0.2">
      <c r="A1148" s="4" t="str">
        <f>'Raw Data'!A1148</f>
        <v>ORD201146</v>
      </c>
      <c r="B1148" s="6">
        <f>'Raw Data'!B1148</f>
        <v>45568</v>
      </c>
      <c r="C1148" s="4" t="str">
        <f>'Raw Data'!C1148</f>
        <v>C36383</v>
      </c>
      <c r="D1148" s="4" t="str">
        <f>'Raw Data'!D1148</f>
        <v>Monitor</v>
      </c>
      <c r="E1148" s="4">
        <f>'Raw Data'!E1148</f>
        <v>5</v>
      </c>
      <c r="F1148" s="4">
        <f>'Raw Data'!F1148</f>
        <v>421.44</v>
      </c>
      <c r="G1148" s="4" t="str">
        <f>'Raw Data'!G1148</f>
        <v>286 Main St</v>
      </c>
      <c r="H1148" s="4" t="str">
        <f>'Raw Data'!H1148</f>
        <v>Cash</v>
      </c>
      <c r="I1148" s="4" t="str">
        <f>'Raw Data'!I1148</f>
        <v>Pending</v>
      </c>
      <c r="J1148" s="4" t="str">
        <f>'Raw Data'!J1148</f>
        <v>TRK93336357</v>
      </c>
      <c r="K1148" s="4">
        <f>'Raw Data'!K1148</f>
        <v>5</v>
      </c>
      <c r="L1148" s="4" t="str">
        <f>IF('Raw Data'!L1148="","No Coupon",'Raw Data'!L1148)</f>
        <v>SAVE10</v>
      </c>
      <c r="M1148" s="4" t="str">
        <f>'Raw Data'!M1148</f>
        <v>Instagram</v>
      </c>
      <c r="N1148" s="4">
        <f>'Raw Data'!N1148</f>
        <v>2107.1999999999998</v>
      </c>
    </row>
    <row r="1149" spans="1:14" ht="15" customHeight="1" x14ac:dyDescent="0.2">
      <c r="A1149" s="4" t="str">
        <f>'Raw Data'!A1149</f>
        <v>ORD201147</v>
      </c>
      <c r="B1149" s="6">
        <f>'Raw Data'!B1149</f>
        <v>45659</v>
      </c>
      <c r="C1149" s="4" t="str">
        <f>'Raw Data'!C1149</f>
        <v>C19759</v>
      </c>
      <c r="D1149" s="4" t="str">
        <f>'Raw Data'!D1149</f>
        <v>Chair</v>
      </c>
      <c r="E1149" s="4">
        <f>'Raw Data'!E1149</f>
        <v>2</v>
      </c>
      <c r="F1149" s="4">
        <f>'Raw Data'!F1149</f>
        <v>588.29999999999995</v>
      </c>
      <c r="G1149" s="4" t="str">
        <f>'Raw Data'!G1149</f>
        <v>234 Main St</v>
      </c>
      <c r="H1149" s="4" t="str">
        <f>'Raw Data'!H1149</f>
        <v>Online</v>
      </c>
      <c r="I1149" s="4" t="str">
        <f>'Raw Data'!I1149</f>
        <v>Pending</v>
      </c>
      <c r="J1149" s="4" t="str">
        <f>'Raw Data'!J1149</f>
        <v>TRK22515454</v>
      </c>
      <c r="K1149" s="4">
        <f>'Raw Data'!K1149</f>
        <v>2</v>
      </c>
      <c r="L1149" s="4" t="str">
        <f>IF('Raw Data'!L1149="","No Coupon",'Raw Data'!L1149)</f>
        <v>FREESHIP</v>
      </c>
      <c r="M1149" s="4" t="str">
        <f>'Raw Data'!M1149</f>
        <v>Email</v>
      </c>
      <c r="N1149" s="4">
        <f>'Raw Data'!N1149</f>
        <v>1176.5999999999999</v>
      </c>
    </row>
    <row r="1150" spans="1:14" ht="15" customHeight="1" x14ac:dyDescent="0.2">
      <c r="A1150" s="4" t="str">
        <f>'Raw Data'!A1150</f>
        <v>ORD201148</v>
      </c>
      <c r="B1150" s="6">
        <f>'Raw Data'!B1150</f>
        <v>45468</v>
      </c>
      <c r="C1150" s="4" t="str">
        <f>'Raw Data'!C1150</f>
        <v>C54886</v>
      </c>
      <c r="D1150" s="4" t="str">
        <f>'Raw Data'!D1150</f>
        <v>Phone</v>
      </c>
      <c r="E1150" s="4">
        <f>'Raw Data'!E1150</f>
        <v>1</v>
      </c>
      <c r="F1150" s="4">
        <f>'Raw Data'!F1150</f>
        <v>355.15</v>
      </c>
      <c r="G1150" s="4" t="str">
        <f>'Raw Data'!G1150</f>
        <v>442 Main St</v>
      </c>
      <c r="H1150" s="4" t="str">
        <f>'Raw Data'!H1150</f>
        <v>Cash</v>
      </c>
      <c r="I1150" s="4" t="str">
        <f>'Raw Data'!I1150</f>
        <v>Returned</v>
      </c>
      <c r="J1150" s="4" t="str">
        <f>'Raw Data'!J1150</f>
        <v>TRK66241930</v>
      </c>
      <c r="K1150" s="4">
        <f>'Raw Data'!K1150</f>
        <v>2</v>
      </c>
      <c r="L1150" s="4" t="str">
        <f>IF('Raw Data'!L1150="","No Coupon",'Raw Data'!L1150)</f>
        <v>SAVE10</v>
      </c>
      <c r="M1150" s="4" t="str">
        <f>'Raw Data'!M1150</f>
        <v>Email</v>
      </c>
      <c r="N1150" s="4">
        <f>'Raw Data'!N1150</f>
        <v>355.15</v>
      </c>
    </row>
    <row r="1151" spans="1:14" ht="15" customHeight="1" x14ac:dyDescent="0.2">
      <c r="A1151" s="4" t="str">
        <f>'Raw Data'!A1151</f>
        <v>ORD201149</v>
      </c>
      <c r="B1151" s="6">
        <f>'Raw Data'!B1151</f>
        <v>45498</v>
      </c>
      <c r="C1151" s="4" t="str">
        <f>'Raw Data'!C1151</f>
        <v>C27305</v>
      </c>
      <c r="D1151" s="4" t="str">
        <f>'Raw Data'!D1151</f>
        <v>Chair</v>
      </c>
      <c r="E1151" s="4">
        <f>'Raw Data'!E1151</f>
        <v>2</v>
      </c>
      <c r="F1151" s="4">
        <f>'Raw Data'!F1151</f>
        <v>695.29</v>
      </c>
      <c r="G1151" s="4" t="str">
        <f>'Raw Data'!G1151</f>
        <v>957 Main St</v>
      </c>
      <c r="H1151" s="4" t="str">
        <f>'Raw Data'!H1151</f>
        <v>Credit Card</v>
      </c>
      <c r="I1151" s="4" t="str">
        <f>'Raw Data'!I1151</f>
        <v>Pending</v>
      </c>
      <c r="J1151" s="4" t="str">
        <f>'Raw Data'!J1151</f>
        <v>TRK28789916</v>
      </c>
      <c r="K1151" s="4">
        <f>'Raw Data'!K1151</f>
        <v>6</v>
      </c>
      <c r="L1151" s="4" t="str">
        <f>IF('Raw Data'!L1151="","No Coupon",'Raw Data'!L1151)</f>
        <v>FREESHIP</v>
      </c>
      <c r="M1151" s="4" t="str">
        <f>'Raw Data'!M1151</f>
        <v>Instagram</v>
      </c>
      <c r="N1151" s="4">
        <f>'Raw Data'!N1151</f>
        <v>1390.58</v>
      </c>
    </row>
    <row r="1152" spans="1:14" ht="15" customHeight="1" x14ac:dyDescent="0.2">
      <c r="A1152" s="4" t="str">
        <f>'Raw Data'!A1152</f>
        <v>ORD201150</v>
      </c>
      <c r="B1152" s="6">
        <f>'Raw Data'!B1152</f>
        <v>44977</v>
      </c>
      <c r="C1152" s="4" t="str">
        <f>'Raw Data'!C1152</f>
        <v>C17921</v>
      </c>
      <c r="D1152" s="4" t="str">
        <f>'Raw Data'!D1152</f>
        <v>Desk</v>
      </c>
      <c r="E1152" s="4">
        <f>'Raw Data'!E1152</f>
        <v>4</v>
      </c>
      <c r="F1152" s="4">
        <f>'Raw Data'!F1152</f>
        <v>302.64999999999998</v>
      </c>
      <c r="G1152" s="4" t="str">
        <f>'Raw Data'!G1152</f>
        <v>119 Main St</v>
      </c>
      <c r="H1152" s="4" t="str">
        <f>'Raw Data'!H1152</f>
        <v>Credit Card</v>
      </c>
      <c r="I1152" s="4" t="str">
        <f>'Raw Data'!I1152</f>
        <v>Cancelled</v>
      </c>
      <c r="J1152" s="4" t="str">
        <f>'Raw Data'!J1152</f>
        <v>TRK79291524</v>
      </c>
      <c r="K1152" s="4">
        <f>'Raw Data'!K1152</f>
        <v>8</v>
      </c>
      <c r="L1152" s="4" t="str">
        <f>IF('Raw Data'!L1152="","No Coupon",'Raw Data'!L1152)</f>
        <v>SAVE10</v>
      </c>
      <c r="M1152" s="4" t="str">
        <f>'Raw Data'!M1152</f>
        <v>Referral</v>
      </c>
      <c r="N1152" s="4">
        <f>'Raw Data'!N1152</f>
        <v>1210.5999999999999</v>
      </c>
    </row>
    <row r="1153" spans="1:14" ht="15" customHeight="1" x14ac:dyDescent="0.2">
      <c r="A1153" s="4" t="str">
        <f>'Raw Data'!A1153</f>
        <v>ORD201151</v>
      </c>
      <c r="B1153" s="6">
        <f>'Raw Data'!B1153</f>
        <v>44955</v>
      </c>
      <c r="C1153" s="4" t="str">
        <f>'Raw Data'!C1153</f>
        <v>C94381</v>
      </c>
      <c r="D1153" s="4" t="str">
        <f>'Raw Data'!D1153</f>
        <v>Chair</v>
      </c>
      <c r="E1153" s="4">
        <f>'Raw Data'!E1153</f>
        <v>2</v>
      </c>
      <c r="F1153" s="4">
        <f>'Raw Data'!F1153</f>
        <v>608.04</v>
      </c>
      <c r="G1153" s="4" t="str">
        <f>'Raw Data'!G1153</f>
        <v>962 Main St</v>
      </c>
      <c r="H1153" s="4" t="str">
        <f>'Raw Data'!H1153</f>
        <v>Cash</v>
      </c>
      <c r="I1153" s="4" t="str">
        <f>'Raw Data'!I1153</f>
        <v>Cancelled</v>
      </c>
      <c r="J1153" s="4" t="str">
        <f>'Raw Data'!J1153</f>
        <v>TRK69804304</v>
      </c>
      <c r="K1153" s="4">
        <f>'Raw Data'!K1153</f>
        <v>4</v>
      </c>
      <c r="L1153" s="4" t="str">
        <f>IF('Raw Data'!L1153="","No Coupon",'Raw Data'!L1153)</f>
        <v>No Coupon</v>
      </c>
      <c r="M1153" s="4" t="str">
        <f>'Raw Data'!M1153</f>
        <v>Google</v>
      </c>
      <c r="N1153" s="4">
        <f>'Raw Data'!N1153</f>
        <v>1216.08</v>
      </c>
    </row>
    <row r="1154" spans="1:14" ht="15" customHeight="1" x14ac:dyDescent="0.2">
      <c r="A1154" s="4" t="str">
        <f>'Raw Data'!A1154</f>
        <v>ORD201152</v>
      </c>
      <c r="B1154" s="6">
        <f>'Raw Data'!B1154</f>
        <v>45239</v>
      </c>
      <c r="C1154" s="4" t="str">
        <f>'Raw Data'!C1154</f>
        <v>C25162</v>
      </c>
      <c r="D1154" s="4" t="str">
        <f>'Raw Data'!D1154</f>
        <v>Tablet</v>
      </c>
      <c r="E1154" s="4">
        <f>'Raw Data'!E1154</f>
        <v>2</v>
      </c>
      <c r="F1154" s="4">
        <f>'Raw Data'!F1154</f>
        <v>344.18</v>
      </c>
      <c r="G1154" s="4" t="str">
        <f>'Raw Data'!G1154</f>
        <v>533 Main St</v>
      </c>
      <c r="H1154" s="4" t="str">
        <f>'Raw Data'!H1154</f>
        <v>Credit Card</v>
      </c>
      <c r="I1154" s="4" t="str">
        <f>'Raw Data'!I1154</f>
        <v>Shipped</v>
      </c>
      <c r="J1154" s="4" t="str">
        <f>'Raw Data'!J1154</f>
        <v>TRK42183078</v>
      </c>
      <c r="K1154" s="4">
        <f>'Raw Data'!K1154</f>
        <v>7</v>
      </c>
      <c r="L1154" s="4" t="str">
        <f>IF('Raw Data'!L1154="","No Coupon",'Raw Data'!L1154)</f>
        <v>No Coupon</v>
      </c>
      <c r="M1154" s="4" t="str">
        <f>'Raw Data'!M1154</f>
        <v>Referral</v>
      </c>
      <c r="N1154" s="4">
        <f>'Raw Data'!N1154</f>
        <v>688.36</v>
      </c>
    </row>
    <row r="1155" spans="1:14" ht="15" customHeight="1" x14ac:dyDescent="0.2">
      <c r="A1155" s="4" t="str">
        <f>'Raw Data'!A1155</f>
        <v>ORD201153</v>
      </c>
      <c r="B1155" s="6">
        <f>'Raw Data'!B1155</f>
        <v>45642</v>
      </c>
      <c r="C1155" s="4" t="str">
        <f>'Raw Data'!C1155</f>
        <v>C98317</v>
      </c>
      <c r="D1155" s="4" t="str">
        <f>'Raw Data'!D1155</f>
        <v>Monitor</v>
      </c>
      <c r="E1155" s="4">
        <f>'Raw Data'!E1155</f>
        <v>4</v>
      </c>
      <c r="F1155" s="4">
        <f>'Raw Data'!F1155</f>
        <v>696.71</v>
      </c>
      <c r="G1155" s="4" t="str">
        <f>'Raw Data'!G1155</f>
        <v>276 Main St</v>
      </c>
      <c r="H1155" s="4" t="str">
        <f>'Raw Data'!H1155</f>
        <v>Debit Card</v>
      </c>
      <c r="I1155" s="4" t="str">
        <f>'Raw Data'!I1155</f>
        <v>Shipped</v>
      </c>
      <c r="J1155" s="4" t="str">
        <f>'Raw Data'!J1155</f>
        <v>TRK37172138</v>
      </c>
      <c r="K1155" s="4">
        <f>'Raw Data'!K1155</f>
        <v>4</v>
      </c>
      <c r="L1155" s="4" t="str">
        <f>IF('Raw Data'!L1155="","No Coupon",'Raw Data'!L1155)</f>
        <v>No Coupon</v>
      </c>
      <c r="M1155" s="4" t="str">
        <f>'Raw Data'!M1155</f>
        <v>Instagram</v>
      </c>
      <c r="N1155" s="4">
        <f>'Raw Data'!N1155</f>
        <v>2786.84</v>
      </c>
    </row>
    <row r="1156" spans="1:14" ht="15" customHeight="1" x14ac:dyDescent="0.2">
      <c r="A1156" s="4" t="str">
        <f>'Raw Data'!A1156</f>
        <v>ORD201154</v>
      </c>
      <c r="B1156" s="6">
        <f>'Raw Data'!B1156</f>
        <v>45819</v>
      </c>
      <c r="C1156" s="4" t="str">
        <f>'Raw Data'!C1156</f>
        <v>C53631</v>
      </c>
      <c r="D1156" s="4" t="str">
        <f>'Raw Data'!D1156</f>
        <v>Monitor</v>
      </c>
      <c r="E1156" s="4">
        <f>'Raw Data'!E1156</f>
        <v>3</v>
      </c>
      <c r="F1156" s="4">
        <f>'Raw Data'!F1156</f>
        <v>198.63</v>
      </c>
      <c r="G1156" s="4" t="str">
        <f>'Raw Data'!G1156</f>
        <v>593 Main St</v>
      </c>
      <c r="H1156" s="4" t="str">
        <f>'Raw Data'!H1156</f>
        <v>Cash</v>
      </c>
      <c r="I1156" s="4" t="str">
        <f>'Raw Data'!I1156</f>
        <v>Pending</v>
      </c>
      <c r="J1156" s="4" t="str">
        <f>'Raw Data'!J1156</f>
        <v>TRK67589167</v>
      </c>
      <c r="K1156" s="4">
        <f>'Raw Data'!K1156</f>
        <v>8</v>
      </c>
      <c r="L1156" s="4" t="str">
        <f>IF('Raw Data'!L1156="","No Coupon",'Raw Data'!L1156)</f>
        <v>SAVE10</v>
      </c>
      <c r="M1156" s="4" t="str">
        <f>'Raw Data'!M1156</f>
        <v>Instagram</v>
      </c>
      <c r="N1156" s="4">
        <f>'Raw Data'!N1156</f>
        <v>595.89</v>
      </c>
    </row>
    <row r="1157" spans="1:14" ht="15" customHeight="1" x14ac:dyDescent="0.2">
      <c r="A1157" s="4" t="str">
        <f>'Raw Data'!A1157</f>
        <v>ORD201155</v>
      </c>
      <c r="B1157" s="6">
        <f>'Raw Data'!B1157</f>
        <v>45151</v>
      </c>
      <c r="C1157" s="4" t="str">
        <f>'Raw Data'!C1157</f>
        <v>C41478</v>
      </c>
      <c r="D1157" s="4" t="str">
        <f>'Raw Data'!D1157</f>
        <v>Printer</v>
      </c>
      <c r="E1157" s="4">
        <f>'Raw Data'!E1157</f>
        <v>4</v>
      </c>
      <c r="F1157" s="4">
        <f>'Raw Data'!F1157</f>
        <v>534.57000000000005</v>
      </c>
      <c r="G1157" s="4" t="str">
        <f>'Raw Data'!G1157</f>
        <v>667 Main St</v>
      </c>
      <c r="H1157" s="4" t="str">
        <f>'Raw Data'!H1157</f>
        <v>Credit Card</v>
      </c>
      <c r="I1157" s="4" t="str">
        <f>'Raw Data'!I1157</f>
        <v>Delivered</v>
      </c>
      <c r="J1157" s="4" t="str">
        <f>'Raw Data'!J1157</f>
        <v>TRK62068126</v>
      </c>
      <c r="K1157" s="4">
        <f>'Raw Data'!K1157</f>
        <v>6</v>
      </c>
      <c r="L1157" s="4" t="str">
        <f>IF('Raw Data'!L1157="","No Coupon",'Raw Data'!L1157)</f>
        <v>FREESHIP</v>
      </c>
      <c r="M1157" s="4" t="str">
        <f>'Raw Data'!M1157</f>
        <v>Facebook</v>
      </c>
      <c r="N1157" s="4">
        <f>'Raw Data'!N1157</f>
        <v>2138.2800000000002</v>
      </c>
    </row>
    <row r="1158" spans="1:14" ht="15" customHeight="1" x14ac:dyDescent="0.2">
      <c r="A1158" s="4" t="str">
        <f>'Raw Data'!A1158</f>
        <v>ORD201156</v>
      </c>
      <c r="B1158" s="6">
        <f>'Raw Data'!B1158</f>
        <v>45126</v>
      </c>
      <c r="C1158" s="4" t="str">
        <f>'Raw Data'!C1158</f>
        <v>C20512</v>
      </c>
      <c r="D1158" s="4" t="str">
        <f>'Raw Data'!D1158</f>
        <v>Laptop</v>
      </c>
      <c r="E1158" s="4">
        <f>'Raw Data'!E1158</f>
        <v>4</v>
      </c>
      <c r="F1158" s="4">
        <f>'Raw Data'!F1158</f>
        <v>690.78</v>
      </c>
      <c r="G1158" s="4" t="str">
        <f>'Raw Data'!G1158</f>
        <v>980 Main St</v>
      </c>
      <c r="H1158" s="4" t="str">
        <f>'Raw Data'!H1158</f>
        <v>Credit Card</v>
      </c>
      <c r="I1158" s="4" t="str">
        <f>'Raw Data'!I1158</f>
        <v>Shipped</v>
      </c>
      <c r="J1158" s="4" t="str">
        <f>'Raw Data'!J1158</f>
        <v>TRK98234737</v>
      </c>
      <c r="K1158" s="4">
        <f>'Raw Data'!K1158</f>
        <v>9</v>
      </c>
      <c r="L1158" s="4" t="str">
        <f>IF('Raw Data'!L1158="","No Coupon",'Raw Data'!L1158)</f>
        <v>No Coupon</v>
      </c>
      <c r="M1158" s="4" t="str">
        <f>'Raw Data'!M1158</f>
        <v>Referral</v>
      </c>
      <c r="N1158" s="4">
        <f>'Raw Data'!N1158</f>
        <v>2763.12</v>
      </c>
    </row>
    <row r="1159" spans="1:14" ht="15" customHeight="1" x14ac:dyDescent="0.2">
      <c r="A1159" s="4" t="str">
        <f>'Raw Data'!A1159</f>
        <v>ORD201157</v>
      </c>
      <c r="B1159" s="6">
        <f>'Raw Data'!B1159</f>
        <v>45441</v>
      </c>
      <c r="C1159" s="4" t="str">
        <f>'Raw Data'!C1159</f>
        <v>C25841</v>
      </c>
      <c r="D1159" s="4" t="str">
        <f>'Raw Data'!D1159</f>
        <v>Monitor</v>
      </c>
      <c r="E1159" s="4">
        <f>'Raw Data'!E1159</f>
        <v>3</v>
      </c>
      <c r="F1159" s="4">
        <f>'Raw Data'!F1159</f>
        <v>301.55</v>
      </c>
      <c r="G1159" s="4" t="str">
        <f>'Raw Data'!G1159</f>
        <v>242 Main St</v>
      </c>
      <c r="H1159" s="4" t="str">
        <f>'Raw Data'!H1159</f>
        <v>Debit Card</v>
      </c>
      <c r="I1159" s="4" t="str">
        <f>'Raw Data'!I1159</f>
        <v>Delivered</v>
      </c>
      <c r="J1159" s="4" t="str">
        <f>'Raw Data'!J1159</f>
        <v>TRK21451375</v>
      </c>
      <c r="K1159" s="4">
        <f>'Raw Data'!K1159</f>
        <v>5</v>
      </c>
      <c r="L1159" s="4" t="str">
        <f>IF('Raw Data'!L1159="","No Coupon",'Raw Data'!L1159)</f>
        <v>FREESHIP</v>
      </c>
      <c r="M1159" s="4" t="str">
        <f>'Raw Data'!M1159</f>
        <v>Google</v>
      </c>
      <c r="N1159" s="4">
        <f>'Raw Data'!N1159</f>
        <v>904.65</v>
      </c>
    </row>
    <row r="1160" spans="1:14" ht="15" customHeight="1" x14ac:dyDescent="0.2">
      <c r="A1160" s="4" t="str">
        <f>'Raw Data'!A1160</f>
        <v>ORD201158</v>
      </c>
      <c r="B1160" s="6">
        <f>'Raw Data'!B1160</f>
        <v>45036</v>
      </c>
      <c r="C1160" s="4" t="str">
        <f>'Raw Data'!C1160</f>
        <v>C82781</v>
      </c>
      <c r="D1160" s="4" t="str">
        <f>'Raw Data'!D1160</f>
        <v>Monitor</v>
      </c>
      <c r="E1160" s="4">
        <f>'Raw Data'!E1160</f>
        <v>4</v>
      </c>
      <c r="F1160" s="4">
        <f>'Raw Data'!F1160</f>
        <v>27.42</v>
      </c>
      <c r="G1160" s="4" t="str">
        <f>'Raw Data'!G1160</f>
        <v>661 Main St</v>
      </c>
      <c r="H1160" s="4" t="str">
        <f>'Raw Data'!H1160</f>
        <v>Debit Card</v>
      </c>
      <c r="I1160" s="4" t="str">
        <f>'Raw Data'!I1160</f>
        <v>Pending</v>
      </c>
      <c r="J1160" s="4" t="str">
        <f>'Raw Data'!J1160</f>
        <v>TRK20605418</v>
      </c>
      <c r="K1160" s="4">
        <f>'Raw Data'!K1160</f>
        <v>4</v>
      </c>
      <c r="L1160" s="4" t="str">
        <f>IF('Raw Data'!L1160="","No Coupon",'Raw Data'!L1160)</f>
        <v>SAVE10</v>
      </c>
      <c r="M1160" s="4" t="str">
        <f>'Raw Data'!M1160</f>
        <v>Referral</v>
      </c>
      <c r="N1160" s="4">
        <f>'Raw Data'!N1160</f>
        <v>109.68</v>
      </c>
    </row>
    <row r="1161" spans="1:14" ht="15" customHeight="1" x14ac:dyDescent="0.2">
      <c r="A1161" s="4" t="str">
        <f>'Raw Data'!A1161</f>
        <v>ORD201159</v>
      </c>
      <c r="B1161" s="6">
        <f>'Raw Data'!B1161</f>
        <v>45345</v>
      </c>
      <c r="C1161" s="4" t="str">
        <f>'Raw Data'!C1161</f>
        <v>C66112</v>
      </c>
      <c r="D1161" s="4" t="str">
        <f>'Raw Data'!D1161</f>
        <v>Desk</v>
      </c>
      <c r="E1161" s="4">
        <f>'Raw Data'!E1161</f>
        <v>4</v>
      </c>
      <c r="F1161" s="4">
        <f>'Raw Data'!F1161</f>
        <v>466.7</v>
      </c>
      <c r="G1161" s="4" t="str">
        <f>'Raw Data'!G1161</f>
        <v>874 Main St</v>
      </c>
      <c r="H1161" s="4" t="str">
        <f>'Raw Data'!H1161</f>
        <v>Debit Card</v>
      </c>
      <c r="I1161" s="4" t="str">
        <f>'Raw Data'!I1161</f>
        <v>Returned</v>
      </c>
      <c r="J1161" s="4" t="str">
        <f>'Raw Data'!J1161</f>
        <v>TRK60955607</v>
      </c>
      <c r="K1161" s="4">
        <f>'Raw Data'!K1161</f>
        <v>8</v>
      </c>
      <c r="L1161" s="4" t="str">
        <f>IF('Raw Data'!L1161="","No Coupon",'Raw Data'!L1161)</f>
        <v>No Coupon</v>
      </c>
      <c r="M1161" s="4" t="str">
        <f>'Raw Data'!M1161</f>
        <v>Instagram</v>
      </c>
      <c r="N1161" s="4">
        <f>'Raw Data'!N1161</f>
        <v>1866.8</v>
      </c>
    </row>
    <row r="1162" spans="1:14" ht="15" customHeight="1" x14ac:dyDescent="0.2">
      <c r="A1162" s="4" t="str">
        <f>'Raw Data'!A1162</f>
        <v>ORD201160</v>
      </c>
      <c r="B1162" s="6">
        <f>'Raw Data'!B1162</f>
        <v>45539</v>
      </c>
      <c r="C1162" s="4" t="str">
        <f>'Raw Data'!C1162</f>
        <v>C40466</v>
      </c>
      <c r="D1162" s="4" t="str">
        <f>'Raw Data'!D1162</f>
        <v>Desk</v>
      </c>
      <c r="E1162" s="4">
        <f>'Raw Data'!E1162</f>
        <v>1</v>
      </c>
      <c r="F1162" s="4">
        <f>'Raw Data'!F1162</f>
        <v>541.64</v>
      </c>
      <c r="G1162" s="4" t="str">
        <f>'Raw Data'!G1162</f>
        <v>449 Main St</v>
      </c>
      <c r="H1162" s="4" t="str">
        <f>'Raw Data'!H1162</f>
        <v>Debit Card</v>
      </c>
      <c r="I1162" s="4" t="str">
        <f>'Raw Data'!I1162</f>
        <v>Shipped</v>
      </c>
      <c r="J1162" s="4" t="str">
        <f>'Raw Data'!J1162</f>
        <v>TRK70255168</v>
      </c>
      <c r="K1162" s="4">
        <f>'Raw Data'!K1162</f>
        <v>5</v>
      </c>
      <c r="L1162" s="4" t="str">
        <f>IF('Raw Data'!L1162="","No Coupon",'Raw Data'!L1162)</f>
        <v>SAVE10</v>
      </c>
      <c r="M1162" s="4" t="str">
        <f>'Raw Data'!M1162</f>
        <v>Email</v>
      </c>
      <c r="N1162" s="4">
        <f>'Raw Data'!N1162</f>
        <v>541.64</v>
      </c>
    </row>
    <row r="1163" spans="1:14" ht="15" customHeight="1" x14ac:dyDescent="0.2">
      <c r="A1163" s="4" t="str">
        <f>'Raw Data'!A1163</f>
        <v>ORD201161</v>
      </c>
      <c r="B1163" s="6">
        <f>'Raw Data'!B1163</f>
        <v>45215</v>
      </c>
      <c r="C1163" s="4" t="str">
        <f>'Raw Data'!C1163</f>
        <v>C32570</v>
      </c>
      <c r="D1163" s="4" t="str">
        <f>'Raw Data'!D1163</f>
        <v>Phone</v>
      </c>
      <c r="E1163" s="4">
        <f>'Raw Data'!E1163</f>
        <v>1</v>
      </c>
      <c r="F1163" s="4">
        <f>'Raw Data'!F1163</f>
        <v>11.39</v>
      </c>
      <c r="G1163" s="4" t="str">
        <f>'Raw Data'!G1163</f>
        <v>826 Main St</v>
      </c>
      <c r="H1163" s="4" t="str">
        <f>'Raw Data'!H1163</f>
        <v>Cash</v>
      </c>
      <c r="I1163" s="4" t="str">
        <f>'Raw Data'!I1163</f>
        <v>Cancelled</v>
      </c>
      <c r="J1163" s="4" t="str">
        <f>'Raw Data'!J1163</f>
        <v>TRK35969968</v>
      </c>
      <c r="K1163" s="4">
        <f>'Raw Data'!K1163</f>
        <v>6</v>
      </c>
      <c r="L1163" s="4" t="str">
        <f>IF('Raw Data'!L1163="","No Coupon",'Raw Data'!L1163)</f>
        <v>WINTER15</v>
      </c>
      <c r="M1163" s="4" t="str">
        <f>'Raw Data'!M1163</f>
        <v>Email</v>
      </c>
      <c r="N1163" s="4">
        <f>'Raw Data'!N1163</f>
        <v>11.39</v>
      </c>
    </row>
    <row r="1164" spans="1:14" ht="15" customHeight="1" x14ac:dyDescent="0.2">
      <c r="A1164" s="4" t="str">
        <f>'Raw Data'!A1164</f>
        <v>ORD201162</v>
      </c>
      <c r="B1164" s="6">
        <f>'Raw Data'!B1164</f>
        <v>45727</v>
      </c>
      <c r="C1164" s="4" t="str">
        <f>'Raw Data'!C1164</f>
        <v>C29405</v>
      </c>
      <c r="D1164" s="4" t="str">
        <f>'Raw Data'!D1164</f>
        <v>Phone</v>
      </c>
      <c r="E1164" s="4">
        <f>'Raw Data'!E1164</f>
        <v>2</v>
      </c>
      <c r="F1164" s="4">
        <f>'Raw Data'!F1164</f>
        <v>224.37</v>
      </c>
      <c r="G1164" s="4" t="str">
        <f>'Raw Data'!G1164</f>
        <v>251 Main St</v>
      </c>
      <c r="H1164" s="4" t="str">
        <f>'Raw Data'!H1164</f>
        <v>Debit Card</v>
      </c>
      <c r="I1164" s="4" t="str">
        <f>'Raw Data'!I1164</f>
        <v>Delivered</v>
      </c>
      <c r="J1164" s="4" t="str">
        <f>'Raw Data'!J1164</f>
        <v>TRK33125798</v>
      </c>
      <c r="K1164" s="4">
        <f>'Raw Data'!K1164</f>
        <v>3</v>
      </c>
      <c r="L1164" s="4" t="str">
        <f>IF('Raw Data'!L1164="","No Coupon",'Raw Data'!L1164)</f>
        <v>WINTER15</v>
      </c>
      <c r="M1164" s="4" t="str">
        <f>'Raw Data'!M1164</f>
        <v>Referral</v>
      </c>
      <c r="N1164" s="4">
        <f>'Raw Data'!N1164</f>
        <v>448.74</v>
      </c>
    </row>
    <row r="1165" spans="1:14" ht="15" customHeight="1" x14ac:dyDescent="0.2">
      <c r="A1165" s="4" t="str">
        <f>'Raw Data'!A1165</f>
        <v>ORD201163</v>
      </c>
      <c r="B1165" s="6">
        <f>'Raw Data'!B1165</f>
        <v>45454</v>
      </c>
      <c r="C1165" s="4" t="str">
        <f>'Raw Data'!C1165</f>
        <v>C30643</v>
      </c>
      <c r="D1165" s="4" t="str">
        <f>'Raw Data'!D1165</f>
        <v>Laptop</v>
      </c>
      <c r="E1165" s="4">
        <f>'Raw Data'!E1165</f>
        <v>3</v>
      </c>
      <c r="F1165" s="4">
        <f>'Raw Data'!F1165</f>
        <v>306.29000000000002</v>
      </c>
      <c r="G1165" s="4" t="str">
        <f>'Raw Data'!G1165</f>
        <v>966 Main St</v>
      </c>
      <c r="H1165" s="4" t="str">
        <f>'Raw Data'!H1165</f>
        <v>Credit Card</v>
      </c>
      <c r="I1165" s="4" t="str">
        <f>'Raw Data'!I1165</f>
        <v>Returned</v>
      </c>
      <c r="J1165" s="4" t="str">
        <f>'Raw Data'!J1165</f>
        <v>TRK19477485</v>
      </c>
      <c r="K1165" s="4">
        <f>'Raw Data'!K1165</f>
        <v>7</v>
      </c>
      <c r="L1165" s="4" t="str">
        <f>IF('Raw Data'!L1165="","No Coupon",'Raw Data'!L1165)</f>
        <v>WINTER15</v>
      </c>
      <c r="M1165" s="4" t="str">
        <f>'Raw Data'!M1165</f>
        <v>Instagram</v>
      </c>
      <c r="N1165" s="4">
        <f>'Raw Data'!N1165</f>
        <v>918.87</v>
      </c>
    </row>
    <row r="1166" spans="1:14" ht="15" customHeight="1" x14ac:dyDescent="0.2">
      <c r="A1166" s="4" t="str">
        <f>'Raw Data'!A1166</f>
        <v>ORD201164</v>
      </c>
      <c r="B1166" s="6">
        <f>'Raw Data'!B1166</f>
        <v>45299</v>
      </c>
      <c r="C1166" s="4" t="str">
        <f>'Raw Data'!C1166</f>
        <v>C65890</v>
      </c>
      <c r="D1166" s="4" t="str">
        <f>'Raw Data'!D1166</f>
        <v>Tablet</v>
      </c>
      <c r="E1166" s="4">
        <f>'Raw Data'!E1166</f>
        <v>5</v>
      </c>
      <c r="F1166" s="4">
        <f>'Raw Data'!F1166</f>
        <v>315.57</v>
      </c>
      <c r="G1166" s="4" t="str">
        <f>'Raw Data'!G1166</f>
        <v>340 Main St</v>
      </c>
      <c r="H1166" s="4" t="str">
        <f>'Raw Data'!H1166</f>
        <v>Debit Card</v>
      </c>
      <c r="I1166" s="4" t="str">
        <f>'Raw Data'!I1166</f>
        <v>Delivered</v>
      </c>
      <c r="J1166" s="4" t="str">
        <f>'Raw Data'!J1166</f>
        <v>TRK64530489</v>
      </c>
      <c r="K1166" s="4">
        <f>'Raw Data'!K1166</f>
        <v>6</v>
      </c>
      <c r="L1166" s="4" t="str">
        <f>IF('Raw Data'!L1166="","No Coupon",'Raw Data'!L1166)</f>
        <v>WINTER15</v>
      </c>
      <c r="M1166" s="4" t="str">
        <f>'Raw Data'!M1166</f>
        <v>Email</v>
      </c>
      <c r="N1166" s="4">
        <f>'Raw Data'!N1166</f>
        <v>1577.85</v>
      </c>
    </row>
    <row r="1167" spans="1:14" ht="15" customHeight="1" x14ac:dyDescent="0.2">
      <c r="A1167" s="4" t="str">
        <f>'Raw Data'!A1167</f>
        <v>ORD201165</v>
      </c>
      <c r="B1167" s="6">
        <f>'Raw Data'!B1167</f>
        <v>45121</v>
      </c>
      <c r="C1167" s="4" t="str">
        <f>'Raw Data'!C1167</f>
        <v>C36992</v>
      </c>
      <c r="D1167" s="4" t="str">
        <f>'Raw Data'!D1167</f>
        <v>Chair</v>
      </c>
      <c r="E1167" s="4">
        <f>'Raw Data'!E1167</f>
        <v>3</v>
      </c>
      <c r="F1167" s="4">
        <f>'Raw Data'!F1167</f>
        <v>223.79</v>
      </c>
      <c r="G1167" s="4" t="str">
        <f>'Raw Data'!G1167</f>
        <v>617 Main St</v>
      </c>
      <c r="H1167" s="4" t="str">
        <f>'Raw Data'!H1167</f>
        <v>Debit Card</v>
      </c>
      <c r="I1167" s="4" t="str">
        <f>'Raw Data'!I1167</f>
        <v>Pending</v>
      </c>
      <c r="J1167" s="4" t="str">
        <f>'Raw Data'!J1167</f>
        <v>TRK63460217</v>
      </c>
      <c r="K1167" s="4">
        <f>'Raw Data'!K1167</f>
        <v>3</v>
      </c>
      <c r="L1167" s="4" t="str">
        <f>IF('Raw Data'!L1167="","No Coupon",'Raw Data'!L1167)</f>
        <v>No Coupon</v>
      </c>
      <c r="M1167" s="4" t="str">
        <f>'Raw Data'!M1167</f>
        <v>Google</v>
      </c>
      <c r="N1167" s="4">
        <f>'Raw Data'!N1167</f>
        <v>671.37</v>
      </c>
    </row>
    <row r="1168" spans="1:14" ht="15" customHeight="1" x14ac:dyDescent="0.2">
      <c r="A1168" s="4" t="str">
        <f>'Raw Data'!A1168</f>
        <v>ORD201166</v>
      </c>
      <c r="B1168" s="6">
        <f>'Raw Data'!B1168</f>
        <v>45138</v>
      </c>
      <c r="C1168" s="4" t="str">
        <f>'Raw Data'!C1168</f>
        <v>C95568</v>
      </c>
      <c r="D1168" s="4" t="str">
        <f>'Raw Data'!D1168</f>
        <v>Chair</v>
      </c>
      <c r="E1168" s="4">
        <f>'Raw Data'!E1168</f>
        <v>3</v>
      </c>
      <c r="F1168" s="4">
        <f>'Raw Data'!F1168</f>
        <v>324.47000000000003</v>
      </c>
      <c r="G1168" s="4" t="str">
        <f>'Raw Data'!G1168</f>
        <v>971 Main St</v>
      </c>
      <c r="H1168" s="4" t="str">
        <f>'Raw Data'!H1168</f>
        <v>Cash</v>
      </c>
      <c r="I1168" s="4" t="str">
        <f>'Raw Data'!I1168</f>
        <v>Delivered</v>
      </c>
      <c r="J1168" s="4" t="str">
        <f>'Raw Data'!J1168</f>
        <v>TRK37075292</v>
      </c>
      <c r="K1168" s="4">
        <f>'Raw Data'!K1168</f>
        <v>4</v>
      </c>
      <c r="L1168" s="4" t="str">
        <f>IF('Raw Data'!L1168="","No Coupon",'Raw Data'!L1168)</f>
        <v>WINTER15</v>
      </c>
      <c r="M1168" s="4" t="str">
        <f>'Raw Data'!M1168</f>
        <v>Email</v>
      </c>
      <c r="N1168" s="4">
        <f>'Raw Data'!N1168</f>
        <v>973.41</v>
      </c>
    </row>
    <row r="1169" spans="1:14" ht="15" customHeight="1" x14ac:dyDescent="0.2">
      <c r="A1169" s="4" t="str">
        <f>'Raw Data'!A1169</f>
        <v>ORD201167</v>
      </c>
      <c r="B1169" s="6">
        <f>'Raw Data'!B1169</f>
        <v>45216</v>
      </c>
      <c r="C1169" s="4" t="str">
        <f>'Raw Data'!C1169</f>
        <v>C17966</v>
      </c>
      <c r="D1169" s="4" t="str">
        <f>'Raw Data'!D1169</f>
        <v>Printer</v>
      </c>
      <c r="E1169" s="4">
        <f>'Raw Data'!E1169</f>
        <v>2</v>
      </c>
      <c r="F1169" s="4">
        <f>'Raw Data'!F1169</f>
        <v>92.87</v>
      </c>
      <c r="G1169" s="4" t="str">
        <f>'Raw Data'!G1169</f>
        <v>360 Main St</v>
      </c>
      <c r="H1169" s="4" t="str">
        <f>'Raw Data'!H1169</f>
        <v>Credit Card</v>
      </c>
      <c r="I1169" s="4" t="str">
        <f>'Raw Data'!I1169</f>
        <v>Pending</v>
      </c>
      <c r="J1169" s="4" t="str">
        <f>'Raw Data'!J1169</f>
        <v>TRK31169396</v>
      </c>
      <c r="K1169" s="4">
        <f>'Raw Data'!K1169</f>
        <v>5</v>
      </c>
      <c r="L1169" s="4" t="str">
        <f>IF('Raw Data'!L1169="","No Coupon",'Raw Data'!L1169)</f>
        <v>FREESHIP</v>
      </c>
      <c r="M1169" s="4" t="str">
        <f>'Raw Data'!M1169</f>
        <v>Facebook</v>
      </c>
      <c r="N1169" s="4">
        <f>'Raw Data'!N1169</f>
        <v>185.74</v>
      </c>
    </row>
    <row r="1170" spans="1:14" ht="15" customHeight="1" x14ac:dyDescent="0.2">
      <c r="A1170" s="4" t="str">
        <f>'Raw Data'!A1170</f>
        <v>ORD201168</v>
      </c>
      <c r="B1170" s="6">
        <f>'Raw Data'!B1170</f>
        <v>45024</v>
      </c>
      <c r="C1170" s="4" t="str">
        <f>'Raw Data'!C1170</f>
        <v>C89559</v>
      </c>
      <c r="D1170" s="4" t="str">
        <f>'Raw Data'!D1170</f>
        <v>Laptop</v>
      </c>
      <c r="E1170" s="4">
        <f>'Raw Data'!E1170</f>
        <v>2</v>
      </c>
      <c r="F1170" s="4">
        <f>'Raw Data'!F1170</f>
        <v>331.42</v>
      </c>
      <c r="G1170" s="4" t="str">
        <f>'Raw Data'!G1170</f>
        <v>297 Main St</v>
      </c>
      <c r="H1170" s="4" t="str">
        <f>'Raw Data'!H1170</f>
        <v>Credit Card</v>
      </c>
      <c r="I1170" s="4" t="str">
        <f>'Raw Data'!I1170</f>
        <v>Delivered</v>
      </c>
      <c r="J1170" s="4" t="str">
        <f>'Raw Data'!J1170</f>
        <v>TRK82838108</v>
      </c>
      <c r="K1170" s="4">
        <f>'Raw Data'!K1170</f>
        <v>6</v>
      </c>
      <c r="L1170" s="4" t="str">
        <f>IF('Raw Data'!L1170="","No Coupon",'Raw Data'!L1170)</f>
        <v>WINTER15</v>
      </c>
      <c r="M1170" s="4" t="str">
        <f>'Raw Data'!M1170</f>
        <v>Google</v>
      </c>
      <c r="N1170" s="4">
        <f>'Raw Data'!N1170</f>
        <v>662.84</v>
      </c>
    </row>
    <row r="1171" spans="1:14" ht="15" customHeight="1" x14ac:dyDescent="0.2">
      <c r="A1171" s="4" t="str">
        <f>'Raw Data'!A1171</f>
        <v>ORD201169</v>
      </c>
      <c r="B1171" s="6">
        <f>'Raw Data'!B1171</f>
        <v>45649</v>
      </c>
      <c r="C1171" s="4" t="str">
        <f>'Raw Data'!C1171</f>
        <v>C15849</v>
      </c>
      <c r="D1171" s="4" t="str">
        <f>'Raw Data'!D1171</f>
        <v>Chair</v>
      </c>
      <c r="E1171" s="4">
        <f>'Raw Data'!E1171</f>
        <v>1</v>
      </c>
      <c r="F1171" s="4">
        <f>'Raw Data'!F1171</f>
        <v>525.42999999999995</v>
      </c>
      <c r="G1171" s="4" t="str">
        <f>'Raw Data'!G1171</f>
        <v>643 Main St</v>
      </c>
      <c r="H1171" s="4" t="str">
        <f>'Raw Data'!H1171</f>
        <v>Cash</v>
      </c>
      <c r="I1171" s="4" t="str">
        <f>'Raw Data'!I1171</f>
        <v>Cancelled</v>
      </c>
      <c r="J1171" s="4" t="str">
        <f>'Raw Data'!J1171</f>
        <v>TRK26794546</v>
      </c>
      <c r="K1171" s="4">
        <f>'Raw Data'!K1171</f>
        <v>2</v>
      </c>
      <c r="L1171" s="4" t="str">
        <f>IF('Raw Data'!L1171="","No Coupon",'Raw Data'!L1171)</f>
        <v>SAVE10</v>
      </c>
      <c r="M1171" s="4" t="str">
        <f>'Raw Data'!M1171</f>
        <v>Instagram</v>
      </c>
      <c r="N1171" s="4">
        <f>'Raw Data'!N1171</f>
        <v>525.42999999999995</v>
      </c>
    </row>
    <row r="1172" spans="1:14" ht="15" customHeight="1" x14ac:dyDescent="0.2">
      <c r="A1172" s="4" t="str">
        <f>'Raw Data'!A1172</f>
        <v>ORD201170</v>
      </c>
      <c r="B1172" s="6">
        <f>'Raw Data'!B1172</f>
        <v>45141</v>
      </c>
      <c r="C1172" s="4" t="str">
        <f>'Raw Data'!C1172</f>
        <v>C94257</v>
      </c>
      <c r="D1172" s="4" t="str">
        <f>'Raw Data'!D1172</f>
        <v>Printer</v>
      </c>
      <c r="E1172" s="4">
        <f>'Raw Data'!E1172</f>
        <v>2</v>
      </c>
      <c r="F1172" s="4">
        <f>'Raw Data'!F1172</f>
        <v>697.19</v>
      </c>
      <c r="G1172" s="4" t="str">
        <f>'Raw Data'!G1172</f>
        <v>762 Main St</v>
      </c>
      <c r="H1172" s="4" t="str">
        <f>'Raw Data'!H1172</f>
        <v>Cash</v>
      </c>
      <c r="I1172" s="4" t="str">
        <f>'Raw Data'!I1172</f>
        <v>Returned</v>
      </c>
      <c r="J1172" s="4" t="str">
        <f>'Raw Data'!J1172</f>
        <v>TRK40220743</v>
      </c>
      <c r="K1172" s="4">
        <f>'Raw Data'!K1172</f>
        <v>7</v>
      </c>
      <c r="L1172" s="4" t="str">
        <f>IF('Raw Data'!L1172="","No Coupon",'Raw Data'!L1172)</f>
        <v>FREESHIP</v>
      </c>
      <c r="M1172" s="4" t="str">
        <f>'Raw Data'!M1172</f>
        <v>Email</v>
      </c>
      <c r="N1172" s="4">
        <f>'Raw Data'!N1172</f>
        <v>1394.38</v>
      </c>
    </row>
    <row r="1173" spans="1:14" ht="15" customHeight="1" x14ac:dyDescent="0.2">
      <c r="A1173" s="4" t="str">
        <f>'Raw Data'!A1173</f>
        <v>ORD201171</v>
      </c>
      <c r="B1173" s="6">
        <f>'Raw Data'!B1173</f>
        <v>45166</v>
      </c>
      <c r="C1173" s="4" t="str">
        <f>'Raw Data'!C1173</f>
        <v>C39911</v>
      </c>
      <c r="D1173" s="4" t="str">
        <f>'Raw Data'!D1173</f>
        <v>Phone</v>
      </c>
      <c r="E1173" s="4">
        <f>'Raw Data'!E1173</f>
        <v>4</v>
      </c>
      <c r="F1173" s="4">
        <f>'Raw Data'!F1173</f>
        <v>518.4</v>
      </c>
      <c r="G1173" s="4" t="str">
        <f>'Raw Data'!G1173</f>
        <v>699 Main St</v>
      </c>
      <c r="H1173" s="4" t="str">
        <f>'Raw Data'!H1173</f>
        <v>Credit Card</v>
      </c>
      <c r="I1173" s="4" t="str">
        <f>'Raw Data'!I1173</f>
        <v>Delivered</v>
      </c>
      <c r="J1173" s="4" t="str">
        <f>'Raw Data'!J1173</f>
        <v>TRK80431998</v>
      </c>
      <c r="K1173" s="4">
        <f>'Raw Data'!K1173</f>
        <v>7</v>
      </c>
      <c r="L1173" s="4" t="str">
        <f>IF('Raw Data'!L1173="","No Coupon",'Raw Data'!L1173)</f>
        <v>SAVE10</v>
      </c>
      <c r="M1173" s="4" t="str">
        <f>'Raw Data'!M1173</f>
        <v>Facebook</v>
      </c>
      <c r="N1173" s="4">
        <f>'Raw Data'!N1173</f>
        <v>2073.6</v>
      </c>
    </row>
    <row r="1174" spans="1:14" ht="15" customHeight="1" x14ac:dyDescent="0.2">
      <c r="A1174" s="4" t="str">
        <f>'Raw Data'!A1174</f>
        <v>ORD201172</v>
      </c>
      <c r="B1174" s="6">
        <f>'Raw Data'!B1174</f>
        <v>45692</v>
      </c>
      <c r="C1174" s="4" t="str">
        <f>'Raw Data'!C1174</f>
        <v>C28828</v>
      </c>
      <c r="D1174" s="4" t="str">
        <f>'Raw Data'!D1174</f>
        <v>Desk</v>
      </c>
      <c r="E1174" s="4">
        <f>'Raw Data'!E1174</f>
        <v>3</v>
      </c>
      <c r="F1174" s="4">
        <f>'Raw Data'!F1174</f>
        <v>131.96</v>
      </c>
      <c r="G1174" s="4" t="str">
        <f>'Raw Data'!G1174</f>
        <v>745 Main St</v>
      </c>
      <c r="H1174" s="4" t="str">
        <f>'Raw Data'!H1174</f>
        <v>Credit Card</v>
      </c>
      <c r="I1174" s="4" t="str">
        <f>'Raw Data'!I1174</f>
        <v>Pending</v>
      </c>
      <c r="J1174" s="4" t="str">
        <f>'Raw Data'!J1174</f>
        <v>TRK32550359</v>
      </c>
      <c r="K1174" s="4">
        <f>'Raw Data'!K1174</f>
        <v>8</v>
      </c>
      <c r="L1174" s="4" t="str">
        <f>IF('Raw Data'!L1174="","No Coupon",'Raw Data'!L1174)</f>
        <v>No Coupon</v>
      </c>
      <c r="M1174" s="4" t="str">
        <f>'Raw Data'!M1174</f>
        <v>Instagram</v>
      </c>
      <c r="N1174" s="4">
        <f>'Raw Data'!N1174</f>
        <v>395.88</v>
      </c>
    </row>
    <row r="1175" spans="1:14" ht="15" customHeight="1" x14ac:dyDescent="0.2">
      <c r="A1175" s="4" t="str">
        <f>'Raw Data'!A1175</f>
        <v>ORD201173</v>
      </c>
      <c r="B1175" s="6">
        <f>'Raw Data'!B1175</f>
        <v>45569</v>
      </c>
      <c r="C1175" s="4" t="str">
        <f>'Raw Data'!C1175</f>
        <v>C82921</v>
      </c>
      <c r="D1175" s="4" t="str">
        <f>'Raw Data'!D1175</f>
        <v>Monitor</v>
      </c>
      <c r="E1175" s="4">
        <f>'Raw Data'!E1175</f>
        <v>1</v>
      </c>
      <c r="F1175" s="4">
        <f>'Raw Data'!F1175</f>
        <v>208.36</v>
      </c>
      <c r="G1175" s="4" t="str">
        <f>'Raw Data'!G1175</f>
        <v>703 Main St</v>
      </c>
      <c r="H1175" s="4" t="str">
        <f>'Raw Data'!H1175</f>
        <v>Online</v>
      </c>
      <c r="I1175" s="4" t="str">
        <f>'Raw Data'!I1175</f>
        <v>Shipped</v>
      </c>
      <c r="J1175" s="4" t="str">
        <f>'Raw Data'!J1175</f>
        <v>TRK31079911</v>
      </c>
      <c r="K1175" s="4">
        <f>'Raw Data'!K1175</f>
        <v>4</v>
      </c>
      <c r="L1175" s="4" t="str">
        <f>IF('Raw Data'!L1175="","No Coupon",'Raw Data'!L1175)</f>
        <v>FREESHIP</v>
      </c>
      <c r="M1175" s="4" t="str">
        <f>'Raw Data'!M1175</f>
        <v>Email</v>
      </c>
      <c r="N1175" s="4">
        <f>'Raw Data'!N1175</f>
        <v>208.36</v>
      </c>
    </row>
    <row r="1176" spans="1:14" ht="15" customHeight="1" x14ac:dyDescent="0.2">
      <c r="A1176" s="4" t="str">
        <f>'Raw Data'!A1176</f>
        <v>ORD201174</v>
      </c>
      <c r="B1176" s="6">
        <f>'Raw Data'!B1176</f>
        <v>45257</v>
      </c>
      <c r="C1176" s="4" t="str">
        <f>'Raw Data'!C1176</f>
        <v>C50159</v>
      </c>
      <c r="D1176" s="4" t="str">
        <f>'Raw Data'!D1176</f>
        <v>Printer</v>
      </c>
      <c r="E1176" s="4">
        <f>'Raw Data'!E1176</f>
        <v>3</v>
      </c>
      <c r="F1176" s="4">
        <f>'Raw Data'!F1176</f>
        <v>222.34</v>
      </c>
      <c r="G1176" s="4" t="str">
        <f>'Raw Data'!G1176</f>
        <v>105 Main St</v>
      </c>
      <c r="H1176" s="4" t="str">
        <f>'Raw Data'!H1176</f>
        <v>Credit Card</v>
      </c>
      <c r="I1176" s="4" t="str">
        <f>'Raw Data'!I1176</f>
        <v>Returned</v>
      </c>
      <c r="J1176" s="4" t="str">
        <f>'Raw Data'!J1176</f>
        <v>TRK53737452</v>
      </c>
      <c r="K1176" s="4">
        <f>'Raw Data'!K1176</f>
        <v>5</v>
      </c>
      <c r="L1176" s="4" t="str">
        <f>IF('Raw Data'!L1176="","No Coupon",'Raw Data'!L1176)</f>
        <v>WINTER15</v>
      </c>
      <c r="M1176" s="4" t="str">
        <f>'Raw Data'!M1176</f>
        <v>Email</v>
      </c>
      <c r="N1176" s="4">
        <f>'Raw Data'!N1176</f>
        <v>667.02</v>
      </c>
    </row>
    <row r="1177" spans="1:14" ht="15" customHeight="1" x14ac:dyDescent="0.2">
      <c r="A1177" s="4" t="str">
        <f>'Raw Data'!A1177</f>
        <v>ORD201175</v>
      </c>
      <c r="B1177" s="6">
        <f>'Raw Data'!B1177</f>
        <v>45545</v>
      </c>
      <c r="C1177" s="4" t="str">
        <f>'Raw Data'!C1177</f>
        <v>C62512</v>
      </c>
      <c r="D1177" s="4" t="str">
        <f>'Raw Data'!D1177</f>
        <v>Printer</v>
      </c>
      <c r="E1177" s="4">
        <f>'Raw Data'!E1177</f>
        <v>3</v>
      </c>
      <c r="F1177" s="4">
        <f>'Raw Data'!F1177</f>
        <v>91.74</v>
      </c>
      <c r="G1177" s="4" t="str">
        <f>'Raw Data'!G1177</f>
        <v>368 Main St</v>
      </c>
      <c r="H1177" s="4" t="str">
        <f>'Raw Data'!H1177</f>
        <v>Debit Card</v>
      </c>
      <c r="I1177" s="4" t="str">
        <f>'Raw Data'!I1177</f>
        <v>Returned</v>
      </c>
      <c r="J1177" s="4" t="str">
        <f>'Raw Data'!J1177</f>
        <v>TRK24139954</v>
      </c>
      <c r="K1177" s="4">
        <f>'Raw Data'!K1177</f>
        <v>8</v>
      </c>
      <c r="L1177" s="4" t="str">
        <f>IF('Raw Data'!L1177="","No Coupon",'Raw Data'!L1177)</f>
        <v>FREESHIP</v>
      </c>
      <c r="M1177" s="4" t="str">
        <f>'Raw Data'!M1177</f>
        <v>Referral</v>
      </c>
      <c r="N1177" s="4">
        <f>'Raw Data'!N1177</f>
        <v>275.22000000000003</v>
      </c>
    </row>
    <row r="1178" spans="1:14" ht="15" customHeight="1" x14ac:dyDescent="0.2">
      <c r="A1178" s="4" t="str">
        <f>'Raw Data'!A1178</f>
        <v>ORD201176</v>
      </c>
      <c r="B1178" s="6">
        <f>'Raw Data'!B1178</f>
        <v>45151</v>
      </c>
      <c r="C1178" s="4" t="str">
        <f>'Raw Data'!C1178</f>
        <v>C39260</v>
      </c>
      <c r="D1178" s="4" t="str">
        <f>'Raw Data'!D1178</f>
        <v>Tablet</v>
      </c>
      <c r="E1178" s="4">
        <f>'Raw Data'!E1178</f>
        <v>2</v>
      </c>
      <c r="F1178" s="4">
        <f>'Raw Data'!F1178</f>
        <v>213.83</v>
      </c>
      <c r="G1178" s="4" t="str">
        <f>'Raw Data'!G1178</f>
        <v>374 Main St</v>
      </c>
      <c r="H1178" s="4" t="str">
        <f>'Raw Data'!H1178</f>
        <v>Debit Card</v>
      </c>
      <c r="I1178" s="4" t="str">
        <f>'Raw Data'!I1178</f>
        <v>Cancelled</v>
      </c>
      <c r="J1178" s="4" t="str">
        <f>'Raw Data'!J1178</f>
        <v>TRK55587314</v>
      </c>
      <c r="K1178" s="4">
        <f>'Raw Data'!K1178</f>
        <v>2</v>
      </c>
      <c r="L1178" s="4" t="str">
        <f>IF('Raw Data'!L1178="","No Coupon",'Raw Data'!L1178)</f>
        <v>WINTER15</v>
      </c>
      <c r="M1178" s="4" t="str">
        <f>'Raw Data'!M1178</f>
        <v>Email</v>
      </c>
      <c r="N1178" s="4">
        <f>'Raw Data'!N1178</f>
        <v>427.66</v>
      </c>
    </row>
    <row r="1179" spans="1:14" ht="15" customHeight="1" x14ac:dyDescent="0.2">
      <c r="A1179" s="4" t="str">
        <f>'Raw Data'!A1179</f>
        <v>ORD201177</v>
      </c>
      <c r="B1179" s="6">
        <f>'Raw Data'!B1179</f>
        <v>45043</v>
      </c>
      <c r="C1179" s="4" t="str">
        <f>'Raw Data'!C1179</f>
        <v>C23917</v>
      </c>
      <c r="D1179" s="4" t="str">
        <f>'Raw Data'!D1179</f>
        <v>Printer</v>
      </c>
      <c r="E1179" s="4">
        <f>'Raw Data'!E1179</f>
        <v>1</v>
      </c>
      <c r="F1179" s="4">
        <f>'Raw Data'!F1179</f>
        <v>127.55</v>
      </c>
      <c r="G1179" s="4" t="str">
        <f>'Raw Data'!G1179</f>
        <v>433 Main St</v>
      </c>
      <c r="H1179" s="4" t="str">
        <f>'Raw Data'!H1179</f>
        <v>Cash</v>
      </c>
      <c r="I1179" s="4" t="str">
        <f>'Raw Data'!I1179</f>
        <v>Shipped</v>
      </c>
      <c r="J1179" s="4" t="str">
        <f>'Raw Data'!J1179</f>
        <v>TRK44434536</v>
      </c>
      <c r="K1179" s="4">
        <f>'Raw Data'!K1179</f>
        <v>3</v>
      </c>
      <c r="L1179" s="4" t="str">
        <f>IF('Raw Data'!L1179="","No Coupon",'Raw Data'!L1179)</f>
        <v>SAVE10</v>
      </c>
      <c r="M1179" s="4" t="str">
        <f>'Raw Data'!M1179</f>
        <v>Referral</v>
      </c>
      <c r="N1179" s="4">
        <f>'Raw Data'!N1179</f>
        <v>127.55</v>
      </c>
    </row>
    <row r="1180" spans="1:14" ht="15" customHeight="1" x14ac:dyDescent="0.2">
      <c r="A1180" s="4" t="str">
        <f>'Raw Data'!A1180</f>
        <v>ORD201178</v>
      </c>
      <c r="B1180" s="6">
        <f>'Raw Data'!B1180</f>
        <v>45543</v>
      </c>
      <c r="C1180" s="4" t="str">
        <f>'Raw Data'!C1180</f>
        <v>C65107</v>
      </c>
      <c r="D1180" s="4" t="str">
        <f>'Raw Data'!D1180</f>
        <v>Monitor</v>
      </c>
      <c r="E1180" s="4">
        <f>'Raw Data'!E1180</f>
        <v>1</v>
      </c>
      <c r="F1180" s="4">
        <f>'Raw Data'!F1180</f>
        <v>70.239999999999995</v>
      </c>
      <c r="G1180" s="4" t="str">
        <f>'Raw Data'!G1180</f>
        <v>456 Main St</v>
      </c>
      <c r="H1180" s="4" t="str">
        <f>'Raw Data'!H1180</f>
        <v>Credit Card</v>
      </c>
      <c r="I1180" s="4" t="str">
        <f>'Raw Data'!I1180</f>
        <v>Cancelled</v>
      </c>
      <c r="J1180" s="4" t="str">
        <f>'Raw Data'!J1180</f>
        <v>TRK10261578</v>
      </c>
      <c r="K1180" s="4">
        <f>'Raw Data'!K1180</f>
        <v>4</v>
      </c>
      <c r="L1180" s="4" t="str">
        <f>IF('Raw Data'!L1180="","No Coupon",'Raw Data'!L1180)</f>
        <v>FREESHIP</v>
      </c>
      <c r="M1180" s="4" t="str">
        <f>'Raw Data'!M1180</f>
        <v>Google</v>
      </c>
      <c r="N1180" s="4">
        <f>'Raw Data'!N1180</f>
        <v>70.239999999999995</v>
      </c>
    </row>
    <row r="1181" spans="1:14" ht="15" customHeight="1" x14ac:dyDescent="0.2">
      <c r="A1181" s="4" t="str">
        <f>'Raw Data'!A1181</f>
        <v>ORD201179</v>
      </c>
      <c r="B1181" s="6">
        <f>'Raw Data'!B1181</f>
        <v>44934</v>
      </c>
      <c r="C1181" s="4" t="str">
        <f>'Raw Data'!C1181</f>
        <v>C84630</v>
      </c>
      <c r="D1181" s="4" t="str">
        <f>'Raw Data'!D1181</f>
        <v>Laptop</v>
      </c>
      <c r="E1181" s="4">
        <f>'Raw Data'!E1181</f>
        <v>5</v>
      </c>
      <c r="F1181" s="4">
        <f>'Raw Data'!F1181</f>
        <v>518.54999999999995</v>
      </c>
      <c r="G1181" s="4" t="str">
        <f>'Raw Data'!G1181</f>
        <v>907 Main St</v>
      </c>
      <c r="H1181" s="4" t="str">
        <f>'Raw Data'!H1181</f>
        <v>Credit Card</v>
      </c>
      <c r="I1181" s="4" t="str">
        <f>'Raw Data'!I1181</f>
        <v>Cancelled</v>
      </c>
      <c r="J1181" s="4" t="str">
        <f>'Raw Data'!J1181</f>
        <v>TRK48054997</v>
      </c>
      <c r="K1181" s="4">
        <f>'Raw Data'!K1181</f>
        <v>6</v>
      </c>
      <c r="L1181" s="4" t="str">
        <f>IF('Raw Data'!L1181="","No Coupon",'Raw Data'!L1181)</f>
        <v>WINTER15</v>
      </c>
      <c r="M1181" s="4" t="str">
        <f>'Raw Data'!M1181</f>
        <v>Instagram</v>
      </c>
      <c r="N1181" s="4">
        <f>'Raw Data'!N1181</f>
        <v>2592.75</v>
      </c>
    </row>
    <row r="1182" spans="1:14" ht="15" customHeight="1" x14ac:dyDescent="0.2">
      <c r="A1182" s="4" t="str">
        <f>'Raw Data'!A1182</f>
        <v>ORD201180</v>
      </c>
      <c r="B1182" s="6">
        <f>'Raw Data'!B1182</f>
        <v>45230</v>
      </c>
      <c r="C1182" s="4" t="str">
        <f>'Raw Data'!C1182</f>
        <v>C42235</v>
      </c>
      <c r="D1182" s="4" t="str">
        <f>'Raw Data'!D1182</f>
        <v>Chair</v>
      </c>
      <c r="E1182" s="4">
        <f>'Raw Data'!E1182</f>
        <v>4</v>
      </c>
      <c r="F1182" s="4">
        <f>'Raw Data'!F1182</f>
        <v>298.36</v>
      </c>
      <c r="G1182" s="4" t="str">
        <f>'Raw Data'!G1182</f>
        <v>722 Main St</v>
      </c>
      <c r="H1182" s="4" t="str">
        <f>'Raw Data'!H1182</f>
        <v>Debit Card</v>
      </c>
      <c r="I1182" s="4" t="str">
        <f>'Raw Data'!I1182</f>
        <v>Pending</v>
      </c>
      <c r="J1182" s="4" t="str">
        <f>'Raw Data'!J1182</f>
        <v>TRK49379882</v>
      </c>
      <c r="K1182" s="4">
        <f>'Raw Data'!K1182</f>
        <v>8</v>
      </c>
      <c r="L1182" s="4" t="str">
        <f>IF('Raw Data'!L1182="","No Coupon",'Raw Data'!L1182)</f>
        <v>FREESHIP</v>
      </c>
      <c r="M1182" s="4" t="str">
        <f>'Raw Data'!M1182</f>
        <v>Google</v>
      </c>
      <c r="N1182" s="4">
        <f>'Raw Data'!N1182</f>
        <v>1193.44</v>
      </c>
    </row>
    <row r="1183" spans="1:14" ht="15" customHeight="1" x14ac:dyDescent="0.2">
      <c r="A1183" s="4" t="str">
        <f>'Raw Data'!A1183</f>
        <v>ORD201181</v>
      </c>
      <c r="B1183" s="6">
        <f>'Raw Data'!B1183</f>
        <v>45134</v>
      </c>
      <c r="C1183" s="4" t="str">
        <f>'Raw Data'!C1183</f>
        <v>C70246</v>
      </c>
      <c r="D1183" s="4" t="str">
        <f>'Raw Data'!D1183</f>
        <v>Desk</v>
      </c>
      <c r="E1183" s="4">
        <f>'Raw Data'!E1183</f>
        <v>3</v>
      </c>
      <c r="F1183" s="4">
        <f>'Raw Data'!F1183</f>
        <v>158.74</v>
      </c>
      <c r="G1183" s="4" t="str">
        <f>'Raw Data'!G1183</f>
        <v>293 Main St</v>
      </c>
      <c r="H1183" s="4" t="str">
        <f>'Raw Data'!H1183</f>
        <v>Online</v>
      </c>
      <c r="I1183" s="4" t="str">
        <f>'Raw Data'!I1183</f>
        <v>Pending</v>
      </c>
      <c r="J1183" s="4" t="str">
        <f>'Raw Data'!J1183</f>
        <v>TRK45708320</v>
      </c>
      <c r="K1183" s="4">
        <f>'Raw Data'!K1183</f>
        <v>7</v>
      </c>
      <c r="L1183" s="4" t="str">
        <f>IF('Raw Data'!L1183="","No Coupon",'Raw Data'!L1183)</f>
        <v>FREESHIP</v>
      </c>
      <c r="M1183" s="4" t="str">
        <f>'Raw Data'!M1183</f>
        <v>Instagram</v>
      </c>
      <c r="N1183" s="4">
        <f>'Raw Data'!N1183</f>
        <v>476.22</v>
      </c>
    </row>
    <row r="1184" spans="1:14" ht="15" customHeight="1" x14ac:dyDescent="0.2">
      <c r="A1184" s="4" t="str">
        <f>'Raw Data'!A1184</f>
        <v>ORD201182</v>
      </c>
      <c r="B1184" s="6">
        <f>'Raw Data'!B1184</f>
        <v>45822</v>
      </c>
      <c r="C1184" s="4" t="str">
        <f>'Raw Data'!C1184</f>
        <v>C18473</v>
      </c>
      <c r="D1184" s="4" t="str">
        <f>'Raw Data'!D1184</f>
        <v>Chair</v>
      </c>
      <c r="E1184" s="4">
        <f>'Raw Data'!E1184</f>
        <v>2</v>
      </c>
      <c r="F1184" s="4">
        <f>'Raw Data'!F1184</f>
        <v>420.29</v>
      </c>
      <c r="G1184" s="4" t="str">
        <f>'Raw Data'!G1184</f>
        <v>700 Main St</v>
      </c>
      <c r="H1184" s="4" t="str">
        <f>'Raw Data'!H1184</f>
        <v>Gift Card</v>
      </c>
      <c r="I1184" s="4" t="str">
        <f>'Raw Data'!I1184</f>
        <v>Returned</v>
      </c>
      <c r="J1184" s="4" t="str">
        <f>'Raw Data'!J1184</f>
        <v>TRK97834202</v>
      </c>
      <c r="K1184" s="4">
        <f>'Raw Data'!K1184</f>
        <v>3</v>
      </c>
      <c r="L1184" s="4" t="str">
        <f>IF('Raw Data'!L1184="","No Coupon",'Raw Data'!L1184)</f>
        <v>SAVE10</v>
      </c>
      <c r="M1184" s="4" t="str">
        <f>'Raw Data'!M1184</f>
        <v>Google</v>
      </c>
      <c r="N1184" s="4">
        <f>'Raw Data'!N1184</f>
        <v>840.58</v>
      </c>
    </row>
    <row r="1185" spans="1:14" ht="15" customHeight="1" x14ac:dyDescent="0.2">
      <c r="A1185" s="4" t="str">
        <f>'Raw Data'!A1185</f>
        <v>ORD201183</v>
      </c>
      <c r="B1185" s="6">
        <f>'Raw Data'!B1185</f>
        <v>45021</v>
      </c>
      <c r="C1185" s="4" t="str">
        <f>'Raw Data'!C1185</f>
        <v>C12607</v>
      </c>
      <c r="D1185" s="4" t="str">
        <f>'Raw Data'!D1185</f>
        <v>Desk</v>
      </c>
      <c r="E1185" s="4">
        <f>'Raw Data'!E1185</f>
        <v>1</v>
      </c>
      <c r="F1185" s="4">
        <f>'Raw Data'!F1185</f>
        <v>281.52</v>
      </c>
      <c r="G1185" s="4" t="str">
        <f>'Raw Data'!G1185</f>
        <v>460 Main St</v>
      </c>
      <c r="H1185" s="4" t="str">
        <f>'Raw Data'!H1185</f>
        <v>Gift Card</v>
      </c>
      <c r="I1185" s="4" t="str">
        <f>'Raw Data'!I1185</f>
        <v>Shipped</v>
      </c>
      <c r="J1185" s="4" t="str">
        <f>'Raw Data'!J1185</f>
        <v>TRK83653396</v>
      </c>
      <c r="K1185" s="4">
        <f>'Raw Data'!K1185</f>
        <v>6</v>
      </c>
      <c r="L1185" s="4" t="str">
        <f>IF('Raw Data'!L1185="","No Coupon",'Raw Data'!L1185)</f>
        <v>WINTER15</v>
      </c>
      <c r="M1185" s="4" t="str">
        <f>'Raw Data'!M1185</f>
        <v>Referral</v>
      </c>
      <c r="N1185" s="4">
        <f>'Raw Data'!N1185</f>
        <v>281.52</v>
      </c>
    </row>
    <row r="1186" spans="1:14" ht="15" customHeight="1" x14ac:dyDescent="0.2">
      <c r="A1186" s="4" t="str">
        <f>'Raw Data'!A1186</f>
        <v>ORD201184</v>
      </c>
      <c r="B1186" s="6">
        <f>'Raw Data'!B1186</f>
        <v>45196</v>
      </c>
      <c r="C1186" s="4" t="str">
        <f>'Raw Data'!C1186</f>
        <v>C10222</v>
      </c>
      <c r="D1186" s="4" t="str">
        <f>'Raw Data'!D1186</f>
        <v>Laptop</v>
      </c>
      <c r="E1186" s="4">
        <f>'Raw Data'!E1186</f>
        <v>1</v>
      </c>
      <c r="F1186" s="4">
        <f>'Raw Data'!F1186</f>
        <v>204.08</v>
      </c>
      <c r="G1186" s="4" t="str">
        <f>'Raw Data'!G1186</f>
        <v>979 Main St</v>
      </c>
      <c r="H1186" s="4" t="str">
        <f>'Raw Data'!H1186</f>
        <v>Gift Card</v>
      </c>
      <c r="I1186" s="4" t="str">
        <f>'Raw Data'!I1186</f>
        <v>Returned</v>
      </c>
      <c r="J1186" s="4" t="str">
        <f>'Raw Data'!J1186</f>
        <v>TRK86297895</v>
      </c>
      <c r="K1186" s="4">
        <f>'Raw Data'!K1186</f>
        <v>4</v>
      </c>
      <c r="L1186" s="4" t="str">
        <f>IF('Raw Data'!L1186="","No Coupon",'Raw Data'!L1186)</f>
        <v>No Coupon</v>
      </c>
      <c r="M1186" s="4" t="str">
        <f>'Raw Data'!M1186</f>
        <v>Google</v>
      </c>
      <c r="N1186" s="4">
        <f>'Raw Data'!N1186</f>
        <v>204.08</v>
      </c>
    </row>
    <row r="1187" spans="1:14" ht="15" customHeight="1" x14ac:dyDescent="0.2">
      <c r="A1187" s="4" t="str">
        <f>'Raw Data'!A1187</f>
        <v>ORD201185</v>
      </c>
      <c r="B1187" s="6">
        <f>'Raw Data'!B1187</f>
        <v>45481</v>
      </c>
      <c r="C1187" s="4" t="str">
        <f>'Raw Data'!C1187</f>
        <v>C77344</v>
      </c>
      <c r="D1187" s="4" t="str">
        <f>'Raw Data'!D1187</f>
        <v>Chair</v>
      </c>
      <c r="E1187" s="4">
        <f>'Raw Data'!E1187</f>
        <v>1</v>
      </c>
      <c r="F1187" s="4">
        <f>'Raw Data'!F1187</f>
        <v>343.31</v>
      </c>
      <c r="G1187" s="4" t="str">
        <f>'Raw Data'!G1187</f>
        <v>777 Main St</v>
      </c>
      <c r="H1187" s="4" t="str">
        <f>'Raw Data'!H1187</f>
        <v>Gift Card</v>
      </c>
      <c r="I1187" s="4" t="str">
        <f>'Raw Data'!I1187</f>
        <v>Returned</v>
      </c>
      <c r="J1187" s="4" t="str">
        <f>'Raw Data'!J1187</f>
        <v>TRK20605055</v>
      </c>
      <c r="K1187" s="4">
        <f>'Raw Data'!K1187</f>
        <v>6</v>
      </c>
      <c r="L1187" s="4" t="str">
        <f>IF('Raw Data'!L1187="","No Coupon",'Raw Data'!L1187)</f>
        <v>SAVE10</v>
      </c>
      <c r="M1187" s="4" t="str">
        <f>'Raw Data'!M1187</f>
        <v>Google</v>
      </c>
      <c r="N1187" s="4">
        <f>'Raw Data'!N1187</f>
        <v>343.31</v>
      </c>
    </row>
    <row r="1188" spans="1:14" ht="15" customHeight="1" x14ac:dyDescent="0.2">
      <c r="A1188" s="4" t="str">
        <f>'Raw Data'!A1188</f>
        <v>ORD201186</v>
      </c>
      <c r="B1188" s="6">
        <f>'Raw Data'!B1188</f>
        <v>45248</v>
      </c>
      <c r="C1188" s="4" t="str">
        <f>'Raw Data'!C1188</f>
        <v>C65497</v>
      </c>
      <c r="D1188" s="4" t="str">
        <f>'Raw Data'!D1188</f>
        <v>Monitor</v>
      </c>
      <c r="E1188" s="4">
        <f>'Raw Data'!E1188</f>
        <v>1</v>
      </c>
      <c r="F1188" s="4">
        <f>'Raw Data'!F1188</f>
        <v>163.32</v>
      </c>
      <c r="G1188" s="4" t="str">
        <f>'Raw Data'!G1188</f>
        <v>676 Main St</v>
      </c>
      <c r="H1188" s="4" t="str">
        <f>'Raw Data'!H1188</f>
        <v>Cash</v>
      </c>
      <c r="I1188" s="4" t="str">
        <f>'Raw Data'!I1188</f>
        <v>Shipped</v>
      </c>
      <c r="J1188" s="4" t="str">
        <f>'Raw Data'!J1188</f>
        <v>TRK83702761</v>
      </c>
      <c r="K1188" s="4">
        <f>'Raw Data'!K1188</f>
        <v>6</v>
      </c>
      <c r="L1188" s="4" t="str">
        <f>IF('Raw Data'!L1188="","No Coupon",'Raw Data'!L1188)</f>
        <v>WINTER15</v>
      </c>
      <c r="M1188" s="4" t="str">
        <f>'Raw Data'!M1188</f>
        <v>Facebook</v>
      </c>
      <c r="N1188" s="4">
        <f>'Raw Data'!N1188</f>
        <v>163.32</v>
      </c>
    </row>
    <row r="1189" spans="1:14" ht="15" customHeight="1" x14ac:dyDescent="0.2">
      <c r="A1189" s="4" t="str">
        <f>'Raw Data'!A1189</f>
        <v>ORD201187</v>
      </c>
      <c r="B1189" s="6">
        <f>'Raw Data'!B1189</f>
        <v>45364</v>
      </c>
      <c r="C1189" s="4" t="str">
        <f>'Raw Data'!C1189</f>
        <v>C26340</v>
      </c>
      <c r="D1189" s="4" t="str">
        <f>'Raw Data'!D1189</f>
        <v>Desk</v>
      </c>
      <c r="E1189" s="4">
        <f>'Raw Data'!E1189</f>
        <v>2</v>
      </c>
      <c r="F1189" s="4">
        <f>'Raw Data'!F1189</f>
        <v>184.6</v>
      </c>
      <c r="G1189" s="4" t="str">
        <f>'Raw Data'!G1189</f>
        <v>562 Main St</v>
      </c>
      <c r="H1189" s="4" t="str">
        <f>'Raw Data'!H1189</f>
        <v>Gift Card</v>
      </c>
      <c r="I1189" s="4" t="str">
        <f>'Raw Data'!I1189</f>
        <v>Delivered</v>
      </c>
      <c r="J1189" s="4" t="str">
        <f>'Raw Data'!J1189</f>
        <v>TRK59962703</v>
      </c>
      <c r="K1189" s="4">
        <f>'Raw Data'!K1189</f>
        <v>7</v>
      </c>
      <c r="L1189" s="4" t="str">
        <f>IF('Raw Data'!L1189="","No Coupon",'Raw Data'!L1189)</f>
        <v>WINTER15</v>
      </c>
      <c r="M1189" s="4" t="str">
        <f>'Raw Data'!M1189</f>
        <v>Email</v>
      </c>
      <c r="N1189" s="4">
        <f>'Raw Data'!N1189</f>
        <v>369.2</v>
      </c>
    </row>
    <row r="1190" spans="1:14" ht="15" customHeight="1" x14ac:dyDescent="0.2">
      <c r="A1190" s="4" t="str">
        <f>'Raw Data'!A1190</f>
        <v>ORD201188</v>
      </c>
      <c r="B1190" s="6">
        <f>'Raw Data'!B1190</f>
        <v>45206</v>
      </c>
      <c r="C1190" s="4" t="str">
        <f>'Raw Data'!C1190</f>
        <v>C75619</v>
      </c>
      <c r="D1190" s="4" t="str">
        <f>'Raw Data'!D1190</f>
        <v>Printer</v>
      </c>
      <c r="E1190" s="4">
        <f>'Raw Data'!E1190</f>
        <v>2</v>
      </c>
      <c r="F1190" s="4">
        <f>'Raw Data'!F1190</f>
        <v>371.29</v>
      </c>
      <c r="G1190" s="4" t="str">
        <f>'Raw Data'!G1190</f>
        <v>924 Main St</v>
      </c>
      <c r="H1190" s="4" t="str">
        <f>'Raw Data'!H1190</f>
        <v>Gift Card</v>
      </c>
      <c r="I1190" s="4" t="str">
        <f>'Raw Data'!I1190</f>
        <v>Shipped</v>
      </c>
      <c r="J1190" s="4" t="str">
        <f>'Raw Data'!J1190</f>
        <v>TRK23086941</v>
      </c>
      <c r="K1190" s="4">
        <f>'Raw Data'!K1190</f>
        <v>5</v>
      </c>
      <c r="L1190" s="4" t="str">
        <f>IF('Raw Data'!L1190="","No Coupon",'Raw Data'!L1190)</f>
        <v>WINTER15</v>
      </c>
      <c r="M1190" s="4" t="str">
        <f>'Raw Data'!M1190</f>
        <v>Facebook</v>
      </c>
      <c r="N1190" s="4">
        <f>'Raw Data'!N1190</f>
        <v>742.58</v>
      </c>
    </row>
    <row r="1191" spans="1:14" ht="15" customHeight="1" x14ac:dyDescent="0.2">
      <c r="A1191" s="4" t="str">
        <f>'Raw Data'!A1191</f>
        <v>ORD201189</v>
      </c>
      <c r="B1191" s="6">
        <f>'Raw Data'!B1191</f>
        <v>45521</v>
      </c>
      <c r="C1191" s="4" t="str">
        <f>'Raw Data'!C1191</f>
        <v>C96136</v>
      </c>
      <c r="D1191" s="4" t="str">
        <f>'Raw Data'!D1191</f>
        <v>Tablet</v>
      </c>
      <c r="E1191" s="4">
        <f>'Raw Data'!E1191</f>
        <v>5</v>
      </c>
      <c r="F1191" s="4">
        <f>'Raw Data'!F1191</f>
        <v>389.22</v>
      </c>
      <c r="G1191" s="4" t="str">
        <f>'Raw Data'!G1191</f>
        <v>149 Main St</v>
      </c>
      <c r="H1191" s="4" t="str">
        <f>'Raw Data'!H1191</f>
        <v>Cash</v>
      </c>
      <c r="I1191" s="4" t="str">
        <f>'Raw Data'!I1191</f>
        <v>Cancelled</v>
      </c>
      <c r="J1191" s="4" t="str">
        <f>'Raw Data'!J1191</f>
        <v>TRK60856682</v>
      </c>
      <c r="K1191" s="4">
        <f>'Raw Data'!K1191</f>
        <v>7</v>
      </c>
      <c r="L1191" s="4" t="str">
        <f>IF('Raw Data'!L1191="","No Coupon",'Raw Data'!L1191)</f>
        <v>No Coupon</v>
      </c>
      <c r="M1191" s="4" t="str">
        <f>'Raw Data'!M1191</f>
        <v>Referral</v>
      </c>
      <c r="N1191" s="4">
        <f>'Raw Data'!N1191</f>
        <v>1946.1</v>
      </c>
    </row>
    <row r="1192" spans="1:14" ht="15" customHeight="1" x14ac:dyDescent="0.2">
      <c r="A1192" s="4" t="str">
        <f>'Raw Data'!A1192</f>
        <v>ORD201190</v>
      </c>
      <c r="B1192" s="6">
        <f>'Raw Data'!B1192</f>
        <v>45816</v>
      </c>
      <c r="C1192" s="4" t="str">
        <f>'Raw Data'!C1192</f>
        <v>C46886</v>
      </c>
      <c r="D1192" s="4" t="str">
        <f>'Raw Data'!D1192</f>
        <v>Desk</v>
      </c>
      <c r="E1192" s="4">
        <f>'Raw Data'!E1192</f>
        <v>3</v>
      </c>
      <c r="F1192" s="4">
        <f>'Raw Data'!F1192</f>
        <v>616.39</v>
      </c>
      <c r="G1192" s="4" t="str">
        <f>'Raw Data'!G1192</f>
        <v>754 Main St</v>
      </c>
      <c r="H1192" s="4" t="str">
        <f>'Raw Data'!H1192</f>
        <v>Credit Card</v>
      </c>
      <c r="I1192" s="4" t="str">
        <f>'Raw Data'!I1192</f>
        <v>Shipped</v>
      </c>
      <c r="J1192" s="4" t="str">
        <f>'Raw Data'!J1192</f>
        <v>TRK82791646</v>
      </c>
      <c r="K1192" s="4">
        <f>'Raw Data'!K1192</f>
        <v>6</v>
      </c>
      <c r="L1192" s="4" t="str">
        <f>IF('Raw Data'!L1192="","No Coupon",'Raw Data'!L1192)</f>
        <v>FREESHIP</v>
      </c>
      <c r="M1192" s="4" t="str">
        <f>'Raw Data'!M1192</f>
        <v>Instagram</v>
      </c>
      <c r="N1192" s="4">
        <f>'Raw Data'!N1192</f>
        <v>1849.17</v>
      </c>
    </row>
    <row r="1193" spans="1:14" ht="15" customHeight="1" x14ac:dyDescent="0.2">
      <c r="A1193" s="4" t="str">
        <f>'Raw Data'!A1193</f>
        <v>ORD201191</v>
      </c>
      <c r="B1193" s="6">
        <f>'Raw Data'!B1193</f>
        <v>45698</v>
      </c>
      <c r="C1193" s="4" t="str">
        <f>'Raw Data'!C1193</f>
        <v>C44148</v>
      </c>
      <c r="D1193" s="4" t="str">
        <f>'Raw Data'!D1193</f>
        <v>Desk</v>
      </c>
      <c r="E1193" s="4">
        <f>'Raw Data'!E1193</f>
        <v>4</v>
      </c>
      <c r="F1193" s="4">
        <f>'Raw Data'!F1193</f>
        <v>376.43</v>
      </c>
      <c r="G1193" s="4" t="str">
        <f>'Raw Data'!G1193</f>
        <v>809 Main St</v>
      </c>
      <c r="H1193" s="4" t="str">
        <f>'Raw Data'!H1193</f>
        <v>Gift Card</v>
      </c>
      <c r="I1193" s="4" t="str">
        <f>'Raw Data'!I1193</f>
        <v>Pending</v>
      </c>
      <c r="J1193" s="4" t="str">
        <f>'Raw Data'!J1193</f>
        <v>TRK67872709</v>
      </c>
      <c r="K1193" s="4">
        <f>'Raw Data'!K1193</f>
        <v>5</v>
      </c>
      <c r="L1193" s="4" t="str">
        <f>IF('Raw Data'!L1193="","No Coupon",'Raw Data'!L1193)</f>
        <v>WINTER15</v>
      </c>
      <c r="M1193" s="4" t="str">
        <f>'Raw Data'!M1193</f>
        <v>Instagram</v>
      </c>
      <c r="N1193" s="4">
        <f>'Raw Data'!N1193</f>
        <v>1505.72</v>
      </c>
    </row>
    <row r="1194" spans="1:14" ht="15" customHeight="1" x14ac:dyDescent="0.2">
      <c r="A1194" s="4" t="str">
        <f>'Raw Data'!A1194</f>
        <v>ORD201192</v>
      </c>
      <c r="B1194" s="6">
        <f>'Raw Data'!B1194</f>
        <v>45350</v>
      </c>
      <c r="C1194" s="4" t="str">
        <f>'Raw Data'!C1194</f>
        <v>C72007</v>
      </c>
      <c r="D1194" s="4" t="str">
        <f>'Raw Data'!D1194</f>
        <v>Chair</v>
      </c>
      <c r="E1194" s="4">
        <f>'Raw Data'!E1194</f>
        <v>3</v>
      </c>
      <c r="F1194" s="4">
        <f>'Raw Data'!F1194</f>
        <v>432.85</v>
      </c>
      <c r="G1194" s="4" t="str">
        <f>'Raw Data'!G1194</f>
        <v>999 Main St</v>
      </c>
      <c r="H1194" s="4" t="str">
        <f>'Raw Data'!H1194</f>
        <v>Online</v>
      </c>
      <c r="I1194" s="4" t="str">
        <f>'Raw Data'!I1194</f>
        <v>Pending</v>
      </c>
      <c r="J1194" s="4" t="str">
        <f>'Raw Data'!J1194</f>
        <v>TRK16240916</v>
      </c>
      <c r="K1194" s="4">
        <f>'Raw Data'!K1194</f>
        <v>4</v>
      </c>
      <c r="L1194" s="4" t="str">
        <f>IF('Raw Data'!L1194="","No Coupon",'Raw Data'!L1194)</f>
        <v>No Coupon</v>
      </c>
      <c r="M1194" s="4" t="str">
        <f>'Raw Data'!M1194</f>
        <v>Instagram</v>
      </c>
      <c r="N1194" s="4">
        <f>'Raw Data'!N1194</f>
        <v>1298.55</v>
      </c>
    </row>
    <row r="1195" spans="1:14" ht="15" customHeight="1" x14ac:dyDescent="0.2">
      <c r="A1195" s="4" t="str">
        <f>'Raw Data'!A1195</f>
        <v>ORD201193</v>
      </c>
      <c r="B1195" s="6">
        <f>'Raw Data'!B1195</f>
        <v>45824</v>
      </c>
      <c r="C1195" s="4" t="str">
        <f>'Raw Data'!C1195</f>
        <v>C45104</v>
      </c>
      <c r="D1195" s="4" t="str">
        <f>'Raw Data'!D1195</f>
        <v>Tablet</v>
      </c>
      <c r="E1195" s="4">
        <f>'Raw Data'!E1195</f>
        <v>1</v>
      </c>
      <c r="F1195" s="4">
        <f>'Raw Data'!F1195</f>
        <v>687.89</v>
      </c>
      <c r="G1195" s="4" t="str">
        <f>'Raw Data'!G1195</f>
        <v>348 Main St</v>
      </c>
      <c r="H1195" s="4" t="str">
        <f>'Raw Data'!H1195</f>
        <v>Cash</v>
      </c>
      <c r="I1195" s="4" t="str">
        <f>'Raw Data'!I1195</f>
        <v>Returned</v>
      </c>
      <c r="J1195" s="4" t="str">
        <f>'Raw Data'!J1195</f>
        <v>TRK38559816</v>
      </c>
      <c r="K1195" s="4">
        <f>'Raw Data'!K1195</f>
        <v>1</v>
      </c>
      <c r="L1195" s="4" t="str">
        <f>IF('Raw Data'!L1195="","No Coupon",'Raw Data'!L1195)</f>
        <v>FREESHIP</v>
      </c>
      <c r="M1195" s="4" t="str">
        <f>'Raw Data'!M1195</f>
        <v>Email</v>
      </c>
      <c r="N1195" s="4">
        <f>'Raw Data'!N1195</f>
        <v>687.89</v>
      </c>
    </row>
    <row r="1196" spans="1:14" ht="15" customHeight="1" x14ac:dyDescent="0.2">
      <c r="A1196" s="4" t="str">
        <f>'Raw Data'!A1196</f>
        <v>ORD201194</v>
      </c>
      <c r="B1196" s="6">
        <f>'Raw Data'!B1196</f>
        <v>45249</v>
      </c>
      <c r="C1196" s="4" t="str">
        <f>'Raw Data'!C1196</f>
        <v>C29885</v>
      </c>
      <c r="D1196" s="4" t="str">
        <f>'Raw Data'!D1196</f>
        <v>Printer</v>
      </c>
      <c r="E1196" s="4">
        <f>'Raw Data'!E1196</f>
        <v>3</v>
      </c>
      <c r="F1196" s="4">
        <f>'Raw Data'!F1196</f>
        <v>189.44</v>
      </c>
      <c r="G1196" s="4" t="str">
        <f>'Raw Data'!G1196</f>
        <v>725 Main St</v>
      </c>
      <c r="H1196" s="4" t="str">
        <f>'Raw Data'!H1196</f>
        <v>Cash</v>
      </c>
      <c r="I1196" s="4" t="str">
        <f>'Raw Data'!I1196</f>
        <v>Pending</v>
      </c>
      <c r="J1196" s="4" t="str">
        <f>'Raw Data'!J1196</f>
        <v>TRK62067865</v>
      </c>
      <c r="K1196" s="4">
        <f>'Raw Data'!K1196</f>
        <v>4</v>
      </c>
      <c r="L1196" s="4" t="str">
        <f>IF('Raw Data'!L1196="","No Coupon",'Raw Data'!L1196)</f>
        <v>FREESHIP</v>
      </c>
      <c r="M1196" s="4" t="str">
        <f>'Raw Data'!M1196</f>
        <v>Email</v>
      </c>
      <c r="N1196" s="4">
        <f>'Raw Data'!N1196</f>
        <v>568.32000000000005</v>
      </c>
    </row>
    <row r="1197" spans="1:14" ht="15" customHeight="1" x14ac:dyDescent="0.2">
      <c r="A1197" s="4" t="str">
        <f>'Raw Data'!A1197</f>
        <v>ORD201195</v>
      </c>
      <c r="B1197" s="6">
        <f>'Raw Data'!B1197</f>
        <v>45463</v>
      </c>
      <c r="C1197" s="4" t="str">
        <f>'Raw Data'!C1197</f>
        <v>C21126</v>
      </c>
      <c r="D1197" s="4" t="str">
        <f>'Raw Data'!D1197</f>
        <v>Desk</v>
      </c>
      <c r="E1197" s="4">
        <f>'Raw Data'!E1197</f>
        <v>1</v>
      </c>
      <c r="F1197" s="4">
        <f>'Raw Data'!F1197</f>
        <v>107.04</v>
      </c>
      <c r="G1197" s="4" t="str">
        <f>'Raw Data'!G1197</f>
        <v>392 Main St</v>
      </c>
      <c r="H1197" s="4" t="str">
        <f>'Raw Data'!H1197</f>
        <v>Credit Card</v>
      </c>
      <c r="I1197" s="4" t="str">
        <f>'Raw Data'!I1197</f>
        <v>Cancelled</v>
      </c>
      <c r="J1197" s="4" t="str">
        <f>'Raw Data'!J1197</f>
        <v>TRK38009181</v>
      </c>
      <c r="K1197" s="4">
        <f>'Raw Data'!K1197</f>
        <v>6</v>
      </c>
      <c r="L1197" s="4" t="str">
        <f>IF('Raw Data'!L1197="","No Coupon",'Raw Data'!L1197)</f>
        <v>FREESHIP</v>
      </c>
      <c r="M1197" s="4" t="str">
        <f>'Raw Data'!M1197</f>
        <v>Google</v>
      </c>
      <c r="N1197" s="4">
        <f>'Raw Data'!N1197</f>
        <v>107.04</v>
      </c>
    </row>
    <row r="1198" spans="1:14" ht="15" customHeight="1" x14ac:dyDescent="0.2">
      <c r="A1198" s="4" t="str">
        <f>'Raw Data'!A1198</f>
        <v>ORD201196</v>
      </c>
      <c r="B1198" s="6">
        <f>'Raw Data'!B1198</f>
        <v>45355</v>
      </c>
      <c r="C1198" s="4" t="str">
        <f>'Raw Data'!C1198</f>
        <v>C20095</v>
      </c>
      <c r="D1198" s="4" t="str">
        <f>'Raw Data'!D1198</f>
        <v>Monitor</v>
      </c>
      <c r="E1198" s="4">
        <f>'Raw Data'!E1198</f>
        <v>2</v>
      </c>
      <c r="F1198" s="4">
        <f>'Raw Data'!F1198</f>
        <v>662.53</v>
      </c>
      <c r="G1198" s="4" t="str">
        <f>'Raw Data'!G1198</f>
        <v>778 Main St</v>
      </c>
      <c r="H1198" s="4" t="str">
        <f>'Raw Data'!H1198</f>
        <v>Online</v>
      </c>
      <c r="I1198" s="4" t="str">
        <f>'Raw Data'!I1198</f>
        <v>Cancelled</v>
      </c>
      <c r="J1198" s="4" t="str">
        <f>'Raw Data'!J1198</f>
        <v>TRK69207593</v>
      </c>
      <c r="K1198" s="4">
        <f>'Raw Data'!K1198</f>
        <v>5</v>
      </c>
      <c r="L1198" s="4" t="str">
        <f>IF('Raw Data'!L1198="","No Coupon",'Raw Data'!L1198)</f>
        <v>No Coupon</v>
      </c>
      <c r="M1198" s="4" t="str">
        <f>'Raw Data'!M1198</f>
        <v>Facebook</v>
      </c>
      <c r="N1198" s="4">
        <f>'Raw Data'!N1198</f>
        <v>1325.06</v>
      </c>
    </row>
    <row r="1199" spans="1:14" ht="15" customHeight="1" x14ac:dyDescent="0.2">
      <c r="A1199" s="4" t="str">
        <f>'Raw Data'!A1199</f>
        <v>ORD201197</v>
      </c>
      <c r="B1199" s="6">
        <f>'Raw Data'!B1199</f>
        <v>45120</v>
      </c>
      <c r="C1199" s="4" t="str">
        <f>'Raw Data'!C1199</f>
        <v>C79674</v>
      </c>
      <c r="D1199" s="4" t="str">
        <f>'Raw Data'!D1199</f>
        <v>Tablet</v>
      </c>
      <c r="E1199" s="4">
        <f>'Raw Data'!E1199</f>
        <v>2</v>
      </c>
      <c r="F1199" s="4">
        <f>'Raw Data'!F1199</f>
        <v>436.84</v>
      </c>
      <c r="G1199" s="4" t="str">
        <f>'Raw Data'!G1199</f>
        <v>275 Main St</v>
      </c>
      <c r="H1199" s="4" t="str">
        <f>'Raw Data'!H1199</f>
        <v>Online</v>
      </c>
      <c r="I1199" s="4" t="str">
        <f>'Raw Data'!I1199</f>
        <v>Delivered</v>
      </c>
      <c r="J1199" s="4" t="str">
        <f>'Raw Data'!J1199</f>
        <v>TRK88039356</v>
      </c>
      <c r="K1199" s="4">
        <f>'Raw Data'!K1199</f>
        <v>2</v>
      </c>
      <c r="L1199" s="4" t="str">
        <f>IF('Raw Data'!L1199="","No Coupon",'Raw Data'!L1199)</f>
        <v>FREESHIP</v>
      </c>
      <c r="M1199" s="4" t="str">
        <f>'Raw Data'!M1199</f>
        <v>Instagram</v>
      </c>
      <c r="N1199" s="4">
        <f>'Raw Data'!N1199</f>
        <v>873.68</v>
      </c>
    </row>
    <row r="1200" spans="1:14" ht="15" customHeight="1" x14ac:dyDescent="0.2">
      <c r="A1200" s="4" t="str">
        <f>'Raw Data'!A1200</f>
        <v>ORD201198</v>
      </c>
      <c r="B1200" s="6">
        <f>'Raw Data'!B1200</f>
        <v>45526</v>
      </c>
      <c r="C1200" s="4" t="str">
        <f>'Raw Data'!C1200</f>
        <v>C64753</v>
      </c>
      <c r="D1200" s="4" t="str">
        <f>'Raw Data'!D1200</f>
        <v>Chair</v>
      </c>
      <c r="E1200" s="4">
        <f>'Raw Data'!E1200</f>
        <v>4</v>
      </c>
      <c r="F1200" s="4">
        <f>'Raw Data'!F1200</f>
        <v>262.52</v>
      </c>
      <c r="G1200" s="4" t="str">
        <f>'Raw Data'!G1200</f>
        <v>509 Main St</v>
      </c>
      <c r="H1200" s="4" t="str">
        <f>'Raw Data'!H1200</f>
        <v>Debit Card</v>
      </c>
      <c r="I1200" s="4" t="str">
        <f>'Raw Data'!I1200</f>
        <v>Cancelled</v>
      </c>
      <c r="J1200" s="4" t="str">
        <f>'Raw Data'!J1200</f>
        <v>TRK71683331</v>
      </c>
      <c r="K1200" s="4">
        <f>'Raw Data'!K1200</f>
        <v>4</v>
      </c>
      <c r="L1200" s="4" t="str">
        <f>IF('Raw Data'!L1200="","No Coupon",'Raw Data'!L1200)</f>
        <v>WINTER15</v>
      </c>
      <c r="M1200" s="4" t="str">
        <f>'Raw Data'!M1200</f>
        <v>Instagram</v>
      </c>
      <c r="N1200" s="4">
        <f>'Raw Data'!N1200</f>
        <v>1050.08</v>
      </c>
    </row>
    <row r="1201" spans="1:14" ht="15" customHeight="1" x14ac:dyDescent="0.2">
      <c r="A1201" s="4" t="str">
        <f>'Raw Data'!A1201</f>
        <v>ORD201199</v>
      </c>
      <c r="B1201" s="6">
        <f>'Raw Data'!B1201</f>
        <v>45088</v>
      </c>
      <c r="C1201" s="4" t="str">
        <f>'Raw Data'!C1201</f>
        <v>C57502</v>
      </c>
      <c r="D1201" s="4" t="str">
        <f>'Raw Data'!D1201</f>
        <v>Tablet</v>
      </c>
      <c r="E1201" s="4">
        <f>'Raw Data'!E1201</f>
        <v>4</v>
      </c>
      <c r="F1201" s="4">
        <f>'Raw Data'!F1201</f>
        <v>560.58000000000004</v>
      </c>
      <c r="G1201" s="4" t="str">
        <f>'Raw Data'!G1201</f>
        <v>201 Main St</v>
      </c>
      <c r="H1201" s="4" t="str">
        <f>'Raw Data'!H1201</f>
        <v>Gift Card</v>
      </c>
      <c r="I1201" s="4" t="str">
        <f>'Raw Data'!I1201</f>
        <v>Returned</v>
      </c>
      <c r="J1201" s="4" t="str">
        <f>'Raw Data'!J1201</f>
        <v>TRK51116746</v>
      </c>
      <c r="K1201" s="4">
        <f>'Raw Data'!K1201</f>
        <v>6</v>
      </c>
      <c r="L1201" s="4" t="str">
        <f>IF('Raw Data'!L1201="","No Coupon",'Raw Data'!L1201)</f>
        <v>SAVE10</v>
      </c>
      <c r="M1201" s="4" t="str">
        <f>'Raw Data'!M1201</f>
        <v>Referral</v>
      </c>
      <c r="N1201" s="4">
        <f>'Raw Data'!N1201</f>
        <v>2242.3200000000002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showGridLines="0" zoomScaleNormal="100" workbookViewId="0"/>
  </sheetViews>
  <sheetFormatPr defaultColWidth="8.7421875" defaultRowHeight="15" x14ac:dyDescent="0.2"/>
  <cols>
    <col min="1" max="1" width="41.96875" style="4" customWidth="1"/>
    <col min="2" max="2" width="16.0078125" style="4" customWidth="1"/>
    <col min="3" max="3" width="13.98828125" style="4" customWidth="1"/>
    <col min="4" max="5" width="11.97265625" style="4" customWidth="1"/>
  </cols>
  <sheetData>
    <row r="1" spans="1:5" ht="21.75" customHeight="1" x14ac:dyDescent="0.25">
      <c r="A1" s="3" t="s">
        <v>4283</v>
      </c>
      <c r="B1" s="3"/>
      <c r="C1" s="3"/>
      <c r="D1" s="3"/>
      <c r="E1" s="3"/>
    </row>
    <row r="2" spans="1:5" ht="15" customHeight="1" x14ac:dyDescent="0.2">
      <c r="A2" s="7" t="s">
        <v>4284</v>
      </c>
    </row>
    <row r="4" spans="1:5" ht="15.75" customHeight="1" x14ac:dyDescent="0.2">
      <c r="A4" s="8" t="s">
        <v>4285</v>
      </c>
    </row>
    <row r="5" spans="1:5" ht="15" customHeight="1" x14ac:dyDescent="0.2">
      <c r="A5" s="9" t="s">
        <v>4286</v>
      </c>
      <c r="B5" s="9" t="s">
        <v>4287</v>
      </c>
    </row>
    <row r="6" spans="1:5" ht="15" customHeight="1" x14ac:dyDescent="0.2">
      <c r="A6" s="10" t="s">
        <v>4288</v>
      </c>
      <c r="B6" s="11">
        <f>COUNTA('Raw Data'!A2:A1201)</f>
        <v>1200</v>
      </c>
    </row>
    <row r="7" spans="1:5" ht="15" customHeight="1" x14ac:dyDescent="0.2">
      <c r="A7" s="10" t="s">
        <v>4289</v>
      </c>
      <c r="B7" s="11">
        <f>SUMPRODUCT(1/COUNTIF('Raw Data'!A2:A1201,'Raw Data'!A2:A1201))</f>
        <v>1200</v>
      </c>
    </row>
    <row r="8" spans="1:5" ht="15" customHeight="1" x14ac:dyDescent="0.2">
      <c r="A8" s="10" t="s">
        <v>4290</v>
      </c>
      <c r="B8" s="11">
        <f>B6-B7</f>
        <v>0</v>
      </c>
    </row>
    <row r="9" spans="1:5" ht="15" customHeight="1" x14ac:dyDescent="0.2">
      <c r="A9" s="10" t="s">
        <v>4291</v>
      </c>
      <c r="B9" s="12">
        <f>B8/B6</f>
        <v>0</v>
      </c>
    </row>
    <row r="10" spans="1:5" ht="15" customHeight="1" x14ac:dyDescent="0.2">
      <c r="A10" s="10" t="s">
        <v>4292</v>
      </c>
      <c r="B10" s="11" t="str">
        <f>IF(B8=0,"PASS - 0% Duplicates","FAIL - Duplicates Found")</f>
        <v>PASS - 0% Duplicates</v>
      </c>
    </row>
    <row r="12" spans="1:5" ht="15.75" customHeight="1" x14ac:dyDescent="0.2">
      <c r="A12" s="8" t="s">
        <v>4293</v>
      </c>
    </row>
    <row r="13" spans="1:5" ht="15" customHeight="1" x14ac:dyDescent="0.2">
      <c r="A13" s="9" t="s">
        <v>4286</v>
      </c>
      <c r="B13" s="9" t="s">
        <v>4287</v>
      </c>
    </row>
    <row r="14" spans="1:5" ht="15" customHeight="1" x14ac:dyDescent="0.2">
      <c r="A14" s="10" t="s">
        <v>4294</v>
      </c>
      <c r="B14" s="11">
        <f>SUMPRODUCT(1/COUNTIF('Raw Data'!J2:J1201,'Raw Data'!J2:J1201))</f>
        <v>1200</v>
      </c>
    </row>
    <row r="15" spans="1:5" ht="15" customHeight="1" x14ac:dyDescent="0.2">
      <c r="A15" s="10" t="s">
        <v>4290</v>
      </c>
      <c r="B15" s="11">
        <f>COUNTA('Raw Data'!J2:J1201)-B14</f>
        <v>0</v>
      </c>
    </row>
    <row r="16" spans="1:5" ht="15" customHeight="1" x14ac:dyDescent="0.2">
      <c r="A16" s="10" t="s">
        <v>4292</v>
      </c>
      <c r="B16" s="11" t="str">
        <f>IF(B15=0,"PASS - 0% Duplicates","FAIL - Duplicates Found")</f>
        <v>PASS - 0% Duplicates</v>
      </c>
    </row>
    <row r="18" spans="1:3" ht="15.75" customHeight="1" x14ac:dyDescent="0.2">
      <c r="A18" s="8" t="s">
        <v>4295</v>
      </c>
    </row>
    <row r="19" spans="1:3" ht="15" customHeight="1" x14ac:dyDescent="0.2">
      <c r="A19" s="9" t="s">
        <v>4286</v>
      </c>
      <c r="B19" s="9" t="s">
        <v>4287</v>
      </c>
    </row>
    <row r="20" spans="1:3" ht="15" customHeight="1" x14ac:dyDescent="0.2">
      <c r="A20" s="10" t="s">
        <v>4296</v>
      </c>
      <c r="B20" s="11">
        <f>COUNTA('Raw Data'!B2:B1201)</f>
        <v>1200</v>
      </c>
    </row>
    <row r="21" spans="1:3" ht="15" customHeight="1" x14ac:dyDescent="0.2">
      <c r="A21" s="10" t="s">
        <v>4297</v>
      </c>
      <c r="B21" s="11">
        <f>SUMPRODUCT(--ISNUMBER('Raw Data'!B2:B1201*1))</f>
        <v>1200</v>
      </c>
    </row>
    <row r="22" spans="1:3" ht="15" customHeight="1" x14ac:dyDescent="0.2">
      <c r="A22" s="10" t="s">
        <v>4298</v>
      </c>
      <c r="B22" s="11">
        <f>B20-B21</f>
        <v>0</v>
      </c>
    </row>
    <row r="23" spans="1:3" ht="15" customHeight="1" x14ac:dyDescent="0.2">
      <c r="A23" s="10" t="s">
        <v>4299</v>
      </c>
      <c r="B23" s="11">
        <f>SUMPRODUCT(--(('Raw Data'!B2:B1201&lt;DATE(2023,1,1))+('Raw Data'!B2:B1201&gt;DATE(2025,12,31))))</f>
        <v>0</v>
      </c>
    </row>
    <row r="24" spans="1:3" ht="15" customHeight="1" x14ac:dyDescent="0.2">
      <c r="A24" s="10" t="s">
        <v>4292</v>
      </c>
      <c r="B24" s="11" t="str">
        <f>IF(AND(B22=0,B23=0),"PASS - 0% Format Errors","FAIL - Format Issues Found")</f>
        <v>PASS - 0% Format Errors</v>
      </c>
    </row>
    <row r="26" spans="1:3" ht="15.75" customHeight="1" x14ac:dyDescent="0.2">
      <c r="A26" s="8" t="s">
        <v>4300</v>
      </c>
    </row>
    <row r="27" spans="1:3" ht="15" customHeight="1" x14ac:dyDescent="0.2">
      <c r="A27" s="9" t="s">
        <v>4301</v>
      </c>
      <c r="B27" s="9" t="s">
        <v>4302</v>
      </c>
      <c r="C27" s="9" t="s">
        <v>4303</v>
      </c>
    </row>
    <row r="28" spans="1:3" ht="15" customHeight="1" x14ac:dyDescent="0.2">
      <c r="A28" s="11" t="s">
        <v>0</v>
      </c>
      <c r="B28" s="11">
        <f>COUNTBLANK('Raw Data'!A2:A1201)</f>
        <v>0</v>
      </c>
      <c r="C28" s="12">
        <f>B28/1200</f>
        <v>0</v>
      </c>
    </row>
    <row r="29" spans="1:3" ht="15" customHeight="1" x14ac:dyDescent="0.2">
      <c r="A29" s="11" t="s">
        <v>1</v>
      </c>
      <c r="B29" s="11">
        <f>COUNTBLANK('Raw Data'!B2:B1201)</f>
        <v>0</v>
      </c>
      <c r="C29" s="12">
        <f>B29/1200</f>
        <v>0</v>
      </c>
    </row>
    <row r="30" spans="1:3" ht="15" customHeight="1" x14ac:dyDescent="0.2">
      <c r="A30" s="11" t="s">
        <v>2</v>
      </c>
      <c r="B30" s="11">
        <f>COUNTBLANK('Raw Data'!C2:C1201)</f>
        <v>0</v>
      </c>
      <c r="C30" s="12">
        <f>B30/1200</f>
        <v>0</v>
      </c>
    </row>
    <row r="31" spans="1:3" ht="15" customHeight="1" x14ac:dyDescent="0.2">
      <c r="A31" s="11" t="s">
        <v>3</v>
      </c>
      <c r="B31" s="11">
        <f>COUNTBLANK('Raw Data'!D2:D1201)</f>
        <v>0</v>
      </c>
      <c r="C31" s="12">
        <f>B31/1200</f>
        <v>0</v>
      </c>
    </row>
    <row r="32" spans="1:3" ht="15" customHeight="1" x14ac:dyDescent="0.2">
      <c r="A32" s="11" t="s">
        <v>4</v>
      </c>
      <c r="B32" s="11">
        <f>COUNTBLANK('Raw Data'!E2:E1201)</f>
        <v>0</v>
      </c>
      <c r="C32" s="12">
        <f>B32/1200</f>
        <v>0</v>
      </c>
    </row>
    <row r="33" spans="1:5" ht="15" customHeight="1" x14ac:dyDescent="0.2">
      <c r="A33" s="11" t="s">
        <v>5</v>
      </c>
      <c r="B33" s="11">
        <f>COUNTBLANK('Raw Data'!F2:F1201)</f>
        <v>0</v>
      </c>
      <c r="C33" s="12">
        <f>B33/1200</f>
        <v>0</v>
      </c>
    </row>
    <row r="34" spans="1:5" ht="15" customHeight="1" x14ac:dyDescent="0.2">
      <c r="A34" s="11" t="s">
        <v>6</v>
      </c>
      <c r="B34" s="11">
        <f>COUNTBLANK('Raw Data'!G2:G1201)</f>
        <v>0</v>
      </c>
      <c r="C34" s="12">
        <f>B34/1200</f>
        <v>0</v>
      </c>
    </row>
    <row r="35" spans="1:5" ht="15" customHeight="1" x14ac:dyDescent="0.2">
      <c r="A35" s="11" t="s">
        <v>7</v>
      </c>
      <c r="B35" s="11">
        <f>COUNTBLANK('Raw Data'!H2:H1201)</f>
        <v>0</v>
      </c>
      <c r="C35" s="12">
        <f>B35/1200</f>
        <v>0</v>
      </c>
    </row>
    <row r="36" spans="1:5" ht="15" customHeight="1" x14ac:dyDescent="0.2">
      <c r="A36" s="11" t="s">
        <v>8</v>
      </c>
      <c r="B36" s="11">
        <f>COUNTBLANK('Raw Data'!I2:I1201)</f>
        <v>0</v>
      </c>
      <c r="C36" s="12">
        <f>B36/1200</f>
        <v>0</v>
      </c>
    </row>
    <row r="37" spans="1:5" ht="15" customHeight="1" x14ac:dyDescent="0.2">
      <c r="A37" s="11" t="s">
        <v>9</v>
      </c>
      <c r="B37" s="11">
        <f>COUNTBLANK('Raw Data'!J2:J1201)</f>
        <v>0</v>
      </c>
      <c r="C37" s="12">
        <f>B37/1200</f>
        <v>0</v>
      </c>
    </row>
    <row r="38" spans="1:5" ht="15" customHeight="1" x14ac:dyDescent="0.2">
      <c r="A38" s="11" t="s">
        <v>10</v>
      </c>
      <c r="B38" s="11">
        <f>COUNTBLANK('Raw Data'!K2:K1201)</f>
        <v>0</v>
      </c>
      <c r="C38" s="12">
        <f>B38/1200</f>
        <v>0</v>
      </c>
    </row>
    <row r="39" spans="1:5" ht="15" customHeight="1" x14ac:dyDescent="0.2">
      <c r="A39" s="11" t="s">
        <v>11</v>
      </c>
      <c r="B39" s="11">
        <f>COUNTBLANK('Raw Data'!L2:L1201)</f>
        <v>309</v>
      </c>
      <c r="C39" s="12">
        <f>B39/1200</f>
        <v>0.25750000000000001</v>
      </c>
    </row>
    <row r="40" spans="1:5" ht="15" customHeight="1" x14ac:dyDescent="0.2">
      <c r="A40" s="11" t="s">
        <v>12</v>
      </c>
      <c r="B40" s="11">
        <f>COUNTBLANK('Raw Data'!M2:M1201)</f>
        <v>0</v>
      </c>
      <c r="C40" s="12">
        <f>B40/1200</f>
        <v>0</v>
      </c>
    </row>
    <row r="41" spans="1:5" ht="15" customHeight="1" x14ac:dyDescent="0.2">
      <c r="A41" s="11" t="s">
        <v>13</v>
      </c>
      <c r="B41" s="11">
        <f>COUNTBLANK('Raw Data'!N2:N1201)</f>
        <v>0</v>
      </c>
      <c r="C41" s="12">
        <f>B41/1200</f>
        <v>0</v>
      </c>
    </row>
    <row r="43" spans="1:5" ht="15" customHeight="1" x14ac:dyDescent="0.2">
      <c r="A43" s="2" t="s">
        <v>4304</v>
      </c>
      <c r="B43" s="2"/>
      <c r="C43" s="2"/>
      <c r="D43" s="2"/>
      <c r="E43" s="2"/>
    </row>
    <row r="45" spans="1:5" ht="15.75" customHeight="1" x14ac:dyDescent="0.2">
      <c r="A45" s="8" t="s">
        <v>4305</v>
      </c>
    </row>
    <row r="46" spans="1:5" ht="15" customHeight="1" x14ac:dyDescent="0.2">
      <c r="A46" s="1" t="s">
        <v>4306</v>
      </c>
      <c r="B46" s="1"/>
      <c r="C46" s="1"/>
      <c r="D46" s="1"/>
      <c r="E46" s="1"/>
    </row>
    <row r="47" spans="1:5" ht="15" customHeight="1" x14ac:dyDescent="0.2">
      <c r="A47" s="1"/>
      <c r="B47" s="1"/>
      <c r="C47" s="1"/>
      <c r="D47" s="1"/>
      <c r="E47" s="1"/>
    </row>
    <row r="48" spans="1:5" ht="15" customHeight="1" x14ac:dyDescent="0.2">
      <c r="A48" s="1"/>
      <c r="B48" s="1"/>
      <c r="C48" s="1"/>
      <c r="D48" s="1"/>
      <c r="E48" s="1"/>
    </row>
  </sheetData>
  <mergeCells count="3">
    <mergeCell ref="A1:E1"/>
    <mergeCell ref="A43:E43"/>
    <mergeCell ref="A46:E4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QA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2026-09-13T02:22:26Z</dcterms:created>
  <dcterms:modified xsi:type="dcterms:W3CDTF">2026-09-18T06:12:56Z</dcterms:modified>
  <dc:language>en-US</dc:language>
</cp:coreProperties>
</file>